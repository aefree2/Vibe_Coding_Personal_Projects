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5"/>
  <workbookPr defaultThemeVersion="202300"/>
  <mc:AlternateContent xmlns:mc="http://schemas.openxmlformats.org/markup-compatibility/2006">
    <mc:Choice Requires="x15">
      <x15ac:absPath xmlns:x15ac="http://schemas.microsoft.com/office/spreadsheetml/2010/11/ac" url="https://umass-my.sharepoint.com/personal/aefreeman_umass_edu/Documents/Documents/vibecoding2/"/>
    </mc:Choice>
  </mc:AlternateContent>
  <xr:revisionPtr revIDLastSave="203" documentId="8_{3BCCD13D-846C-CA47-94CF-1ACE0D142435}" xr6:coauthVersionLast="47" xr6:coauthVersionMax="47" xr10:uidLastSave="{FAF56CDE-AE18-A64F-849E-1B31869F76F7}"/>
  <bookViews>
    <workbookView xWindow="0" yWindow="740" windowWidth="30240" windowHeight="18900" activeTab="5" xr2:uid="{7D1C200A-E539-2146-8913-1610CAAC2A78}"/>
  </bookViews>
  <sheets>
    <sheet name="full_exp_sheet" sheetId="7" r:id="rId1"/>
    <sheet name="main_exp_sheet" sheetId="1" r:id="rId2"/>
    <sheet name="numbers" sheetId="2" r:id="rId3"/>
    <sheet name="Numbers 2" sheetId="9" r:id="rId4"/>
    <sheet name="Sheet1" sheetId="8" r:id="rId5"/>
    <sheet name="Data Tinder" sheetId="4" r:id="rId6"/>
    <sheet name="Timing" sheetId="3" r:id="rId7"/>
    <sheet name="Error Message Sideproject" sheetId="5" r:id="rId8"/>
    <sheet name="Error Message Vibecoding" sheetId="6" r:id="rId9"/>
  </sheets>
  <definedNames>
    <definedName name="_xlnm._FilterDatabase" localSheetId="0" hidden="1">full_exp_sheet!$E$1:$E$1045</definedName>
    <definedName name="_xleta.COUNTIF" hidden="1" xlm="1">#NAME?</definedName>
    <definedName name="_xleta.COUNTIFS"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 i="4" l="1"/>
  <c r="K2" i="4"/>
  <c r="H1" i="5"/>
  <c r="I2" i="4"/>
  <c r="J2" i="4"/>
  <c r="B2" i="9"/>
  <c r="A2" i="9"/>
  <c r="I3" i="4"/>
  <c r="D23" i="2" s="1"/>
  <c r="G3" i="4"/>
  <c r="H3" i="2"/>
  <c r="F3" i="2"/>
  <c r="E3" i="2"/>
  <c r="D3" i="2"/>
  <c r="B3" i="2"/>
  <c r="D2" i="2"/>
  <c r="B2" i="2"/>
  <c r="F1" i="6"/>
  <c r="G2" i="4" s="1"/>
  <c r="E1" i="6"/>
  <c r="F2" i="4" s="1"/>
  <c r="F1" i="5"/>
  <c r="E1" i="5"/>
  <c r="F3" i="4" s="1"/>
  <c r="D3" i="4"/>
  <c r="D2" i="4"/>
  <c r="J2" i="2"/>
  <c r="J3" i="2" s="1"/>
  <c r="E2" i="2"/>
  <c r="K2" i="2"/>
  <c r="M2" i="2" s="1"/>
  <c r="H2" i="2"/>
  <c r="F2" i="2"/>
  <c r="C2" i="9" l="1"/>
  <c r="H7" i="2"/>
  <c r="B22" i="2"/>
  <c r="J5" i="4"/>
  <c r="F7" i="2"/>
  <c r="K3" i="4"/>
  <c r="D22" i="2"/>
  <c r="B9" i="2"/>
  <c r="E5" i="4" s="1"/>
  <c r="K3" i="2"/>
  <c r="D26" i="2" l="1"/>
  <c r="C9" i="2"/>
  <c r="F6" i="2"/>
  <c r="E4" i="4" s="1"/>
  <c r="B6" i="2"/>
  <c r="H6" i="2" l="1"/>
  <c r="D6" i="2"/>
  <c r="G2" i="2" s="1"/>
  <c r="N2" i="2" l="1"/>
  <c r="B1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Anders Freeman</author>
  </authors>
  <commentList>
    <comment ref="B13" authorId="0" shapeId="0" xr:uid="{714E41C1-F995-6E42-9299-C18FABC399BF}">
      <text>
        <r>
          <rPr>
            <b/>
            <sz val="10"/>
            <color rgb="FF000000"/>
            <rFont val="Tahoma"/>
            <family val="2"/>
          </rPr>
          <t>Anders Freeman:</t>
        </r>
        <r>
          <rPr>
            <sz val="10"/>
            <color rgb="FF000000"/>
            <rFont val="Tahoma"/>
            <family val="2"/>
          </rPr>
          <t xml:space="preserve">
</t>
        </r>
        <r>
          <rPr>
            <sz val="10"/>
            <color rgb="FF000000"/>
            <rFont val="Tahoma"/>
            <family val="2"/>
          </rPr>
          <t>Each half of this proscess should take about the same time, so it will take TWO DAYS about to clone everything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tc={27908413-811A-A048-9ACA-A5CF7B3A08AB}</author>
  </authors>
  <commentList>
    <comment ref="D3" authorId="0" shapeId="0" xr:uid="{27908413-811A-A048-9ACA-A5CF7B3A08AB}">
      <text>
        <t>[Threaded comment]
Your version of Excel allows you to read this threaded comment; however, any edits to it will get removed if the file is opened in a newer version of Excel. Learn more: https://go.microsoft.com/fwlink/?linkid=870924
Comment:
    Up to 888 for second run
Reply:
    {
  "byte_offset": 5074229,
  "line_number": 1144
}</t>
      </text>
    </comment>
  </commentList>
</comments>
</file>

<file path=xl/sharedStrings.xml><?xml version="1.0" encoding="utf-8"?>
<sst xmlns="http://schemas.openxmlformats.org/spreadsheetml/2006/main" count="22879" uniqueCount="9419">
  <si>
    <t>url</t>
  </si>
  <si>
    <t>commit</t>
  </si>
  <si>
    <t>Vibecoding</t>
  </si>
  <si>
    <t>error</t>
  </si>
  <si>
    <t>Vibecoding_history</t>
  </si>
  <si>
    <t>Vibecoding_control</t>
  </si>
  <si>
    <t>time_out</t>
  </si>
  <si>
    <t>https://github.com/joshbrew/3D_Fractals_Scale_Space</t>
  </si>
  <si>
    <t>8cd89148a7ef2725be17b54858295d445d248df6</t>
  </si>
  <si>
    <t>https://github.com/joshbrew/3dsRecordAnimation</t>
  </si>
  <si>
    <t>2748cd310919a0358bab7a19ec2cc02e20f11baa</t>
  </si>
  <si>
    <t>https://github.com/joshbrew/3d_and_physics</t>
  </si>
  <si>
    <t>d88658298ace779c12762f77f1af0c5bde929136</t>
  </si>
  <si>
    <t>https://github.com/joshbrew/AcyclicGraph.js</t>
  </si>
  <si>
    <t>c662958c08d422fdc591548ed947ce402634cea7</t>
  </si>
  <si>
    <t>https://github.com/joshbrew/AD7771_Breakout_Board</t>
  </si>
  <si>
    <t>e1213dcdee40966dda609782395f608bc909a35e</t>
  </si>
  <si>
    <t>https://github.com/joshbrew/ADS131M08_Arduino</t>
  </si>
  <si>
    <t>835c186599ac9515e7995e119ab70aaef0e0b112</t>
  </si>
  <si>
    <t>https://github.com/joshbrew/babylon_compute</t>
  </si>
  <si>
    <t>7a37b01f62e6efd94e14b2a83654e4d24452562e</t>
  </si>
  <si>
    <t>https://github.com/joshbrew/BiquadFilters.js</t>
  </si>
  <si>
    <t>8873367625e1d715ba8fe4b67893fdbc4fa03aca</t>
  </si>
  <si>
    <t>https://github.com/joshbrew/BLE_web_tester</t>
  </si>
  <si>
    <t>1aed42d13432b9b69ab74caefbe7a75e3631499b</t>
  </si>
  <si>
    <t>https://github.com/joshbrew/bp_cordova_electron-old-</t>
  </si>
  <si>
    <t>27d92f46ca6683fb22ce87057ad3b792385b6c39</t>
  </si>
  <si>
    <t>https://github.com/joshbrew/BRAIN-OVERLOAD</t>
  </si>
  <si>
    <t>d6dd392ce0bb748039938830e76551a24a21f0e2</t>
  </si>
  <si>
    <t>https://github.com/joshbrew/BreathCapture.js</t>
  </si>
  <si>
    <t>8daf76d16564e5dd457d1ef26a9e13518b13cfb7</t>
  </si>
  <si>
    <t>https://github.com/joshbrew/BT832A_Zephyr</t>
  </si>
  <si>
    <t>72eb1dd4719a0028d934d7a278021ce4222b88f8</t>
  </si>
  <si>
    <t>https://github.com/joshbrew/cameraId-wonnx-wasm</t>
  </si>
  <si>
    <t>623f8b4bb06249c080310a713d072b0c198116d3</t>
  </si>
  <si>
    <t>https://github.com/joshbrew/canvasdraw-webcomponent</t>
  </si>
  <si>
    <t>8b7467ceb1fd5bde6ee6078dcb6981eee14a25da</t>
  </si>
  <si>
    <t>https://github.com/joshbrew/chrome-serial-utils</t>
  </si>
  <si>
    <t>593f3d9d9e53960979f624de38ec0eec7df71d55</t>
  </si>
  <si>
    <t>https://github.com/joshbrew/cyton.js</t>
  </si>
  <si>
    <t>b38d3816bd5cd2c2be72da59d8c02503062443bf</t>
  </si>
  <si>
    <t>https://github.com/joshbrew/device-decoder</t>
  </si>
  <si>
    <t>f15a9b1ac845898104e332baf21b6e5687d5c8c5</t>
  </si>
  <si>
    <t>https://github.com/joshbrew/DIY_DOT</t>
  </si>
  <si>
    <t>b11ed353ff1bdd573e1222c9abf23703e6887a06</t>
  </si>
  <si>
    <t>https://github.com/joshbrew/DOMElement</t>
  </si>
  <si>
    <t>dc41b68f1d390bab9ae2139b266bd485d764578a</t>
  </si>
  <si>
    <t>https://github.com/joshbrew/DynamicParticles.js</t>
  </si>
  <si>
    <t>2c484b99308cb88862579e977516cefabfa12f15</t>
  </si>
  <si>
    <t>https://github.com/joshbrew/EEG-Amplifier</t>
  </si>
  <si>
    <t>1413d1ef8ef9330897c96d1eeba2bb9aa153002b</t>
  </si>
  <si>
    <t>https://github.com/joshbrew/eegpwa</t>
  </si>
  <si>
    <t>75d9d41678db7e78831d2be0565d7bffc5aeb697</t>
  </si>
  <si>
    <t>https://github.com/joshbrew/esbuild_base</t>
  </si>
  <si>
    <t>b1c5d6f326a8c160254774777ecfb63adb3db7a0</t>
  </si>
  <si>
    <t>https://github.com/joshbrew/esbuild_base_python</t>
  </si>
  <si>
    <t>ecf7b54e8015bbe4e5cab0a89a14664c0127f2fd</t>
  </si>
  <si>
    <t>https://github.com/joshbrew/esbuild_base_reactts</t>
  </si>
  <si>
    <t>d09d73e21e612c55e60f42d23f719eef2862df1c</t>
  </si>
  <si>
    <t>https://github.com/joshbrew/esbuild_base_webcomponents</t>
  </si>
  <si>
    <t>5b5874bf3da387a4a917859a6cbfad49c349768e</t>
  </si>
  <si>
    <t>https://github.com/joshbrew/freeeeg32.js</t>
  </si>
  <si>
    <t>079f860ab0e22ee47a69576f18e19dce95998b49</t>
  </si>
  <si>
    <t>https://github.com/joshbrew/free_eeg32_web</t>
  </si>
  <si>
    <t>de0d05677c45695fabc2b9cd59fdfe8ff0f19209</t>
  </si>
  <si>
    <t>https://github.com/joshbrew/gptdocwriter</t>
  </si>
  <si>
    <t>5e715a14171bbdce52e20054e2ab6f1aefdf15a9</t>
  </si>
  <si>
    <t>https://github.com/joshbrew/gpujsutils</t>
  </si>
  <si>
    <t>bf5909725c33fe2e5b31042b562dfbec9d95cb35</t>
  </si>
  <si>
    <t>https://github.com/joshbrew/graphscript</t>
  </si>
  <si>
    <t>78841b5d259f6b3e2097185ba1f38d4c966e0c0d</t>
  </si>
  <si>
    <t>https://github.com/joshbrew/hegduino.js</t>
  </si>
  <si>
    <t>c0b1dbdf4c17131c2a07f3f3bff873976f6d1962</t>
  </si>
  <si>
    <t>https://github.com/joshbrew/HEGduino_V0</t>
  </si>
  <si>
    <t>58c232c436a18e4c70886616d500de1482cec2e7</t>
  </si>
  <si>
    <t>https://github.com/joshbrew/HEG_Arduino</t>
  </si>
  <si>
    <t>b9993500da4ee5f2d83046550f8cf45c1d139992</t>
  </si>
  <si>
    <t>https://github.com/joshbrew/HEG_ESP32</t>
  </si>
  <si>
    <t>71f08bafeaa7b469da39c82d7a84f869adb62e49</t>
  </si>
  <si>
    <t>https://github.com/joshbrew/HEG_ESP32_Delobotomizer</t>
  </si>
  <si>
    <t>ad7336123e8c6be35c5006e82142c94ca79fc471</t>
  </si>
  <si>
    <t>https://github.com/joshbrew/JS-Maze-Generator-with-A-Star-Solver</t>
  </si>
  <si>
    <t>6ba9225ff17249edc36b5409e03fb8a9135e2cea</t>
  </si>
  <si>
    <t>https://github.com/joshbrew/jsfft-gpu</t>
  </si>
  <si>
    <t>f86c4ec26c40cbe89f163869e3e8db41e1f49db4</t>
  </si>
  <si>
    <t>https://github.com/joshbrew/js_speed_tests</t>
  </si>
  <si>
    <t>560c5c8c08ef2eff949ce5827e5d995047dbc136</t>
  </si>
  <si>
    <t>https://github.com/joshbrew/JS_UI_Utils</t>
  </si>
  <si>
    <t>64fd4895cf31c09901e658fd3891989ee2bb5c9d</t>
  </si>
  <si>
    <t>https://github.com/joshbrew/MagicWorker</t>
  </si>
  <si>
    <t>8e431acd55afcaf9ae3252a0c53d7254ca30e3ce</t>
  </si>
  <si>
    <t>https://github.com/joshbrew/MAX30112_Arduino</t>
  </si>
  <si>
    <t>492703e2a394866238ecf132a7d1315ce3624c8d</t>
  </si>
  <si>
    <t>https://github.com/joshbrew/MAX86141_Arduino</t>
  </si>
  <si>
    <t>04aba7614d323d6872acdf8ec8c0b94f7ca1d9ed</t>
  </si>
  <si>
    <t>https://github.com/joshbrew/MaxEntOrg</t>
  </si>
  <si>
    <t>eca2c728ef4b3e0d5139ff35e1f8144a12a00d9f</t>
  </si>
  <si>
    <t>https://github.com/joshbrew/muse-js-tinybuild</t>
  </si>
  <si>
    <t>45dcf502b5948fb0fe48e1575474a3d061c8e7c1</t>
  </si>
  <si>
    <t>https://github.com/joshbrew/nbody</t>
  </si>
  <si>
    <t>befebd7ee7e3266bfcfd6c746205ed2466637360</t>
  </si>
  <si>
    <t>https://github.com/joshbrew/netlify_test</t>
  </si>
  <si>
    <t>508e02449d7dcae63c2675ad7ff065a510a67153</t>
  </si>
  <si>
    <t>https://github.com/joshbrew/nRF5x-Biosensing-Boards</t>
  </si>
  <si>
    <t>58d35e9788705b2af5dd6b3027a06baa340fd362</t>
  </si>
  <si>
    <t>https://github.com/joshbrew/ObjectListener</t>
  </si>
  <si>
    <t>0d80c1d5f2f9e109f4692cc28bb5e853eb7ab144</t>
  </si>
  <si>
    <t>https://github.com/joshbrew/OpenSourceCreatorResources</t>
  </si>
  <si>
    <t>c053a774ce497886bd3efb99410486174f74100a</t>
  </si>
  <si>
    <t>https://github.com/joshbrew/peanutjs</t>
  </si>
  <si>
    <t>c9c300fec574ed86ad0ebaa0555137ad6e0ae02d</t>
  </si>
  <si>
    <t>https://github.com/joshbrew/physics_test</t>
  </si>
  <si>
    <t>765ccb84e55002f908c38bbccaa2674298ef5321</t>
  </si>
  <si>
    <t>https://github.com/joshbrew/portfolio</t>
  </si>
  <si>
    <t>6c7c31fd2b39951480f17fab4242e1a904daae40</t>
  </si>
  <si>
    <t>https://github.com/joshbrew/robo-animator</t>
  </si>
  <si>
    <t>dffad42715487d0027788cd782a0f1c2d2c817be</t>
  </si>
  <si>
    <t>https://github.com/joshbrew/sComponent</t>
  </si>
  <si>
    <t>646a9a2d88f49d7cb47036dffa1f00dbcfdbb78d</t>
  </si>
  <si>
    <t>https://github.com/joshbrew/Sequencer.js</t>
  </si>
  <si>
    <t>f1c5813324857659322b3c835b273e62f26c5d8b</t>
  </si>
  <si>
    <t>https://github.com/joshbrew/StateManager</t>
  </si>
  <si>
    <t>38fd231d0a383b23c9103d804c406ca433fa3f99</t>
  </si>
  <si>
    <t>https://github.com/joshbrew/threadop</t>
  </si>
  <si>
    <t>17059a50c1a0752f7c3c1e61a7998141ad5e1725</t>
  </si>
  <si>
    <t>https://github.com/joshbrew/threeshaderhelper</t>
  </si>
  <si>
    <t>025e67c6e269a3c556a069e61faa3c90384756a6</t>
  </si>
  <si>
    <t>https://github.com/joshbrew/typescriptServices.js-minifier</t>
  </si>
  <si>
    <t>c4e7fea2a9c1e1a845a45edd660e2cbd204b313e</t>
  </si>
  <si>
    <t>https://github.com/joshbrew/UE4_ARCore_test</t>
  </si>
  <si>
    <t>be3cfc5197098093d1b5798801da2cf9d55e6062</t>
  </si>
  <si>
    <t>https://github.com/joshbrew/UEProject_BoidsTest</t>
  </si>
  <si>
    <t>c8a25a09e0ed0da74a4113d153287254aae8814e</t>
  </si>
  <si>
    <t>https://github.com/joshbrew/Vulkan-Compute-Example</t>
  </si>
  <si>
    <t>1c8ccba1abd893212148a9f848496dddde90e1ab</t>
  </si>
  <si>
    <t>https://github.com/joshbrew/webgl-plot-utils</t>
  </si>
  <si>
    <t>d8b920861eeb2c0c9a3caa2511ff6743f50d0e3c</t>
  </si>
  <si>
    <t>https://github.com/joshbrew/webgpujs</t>
  </si>
  <si>
    <t>41471af176eca1c5c3fba304c595575de61957df</t>
  </si>
  <si>
    <t>https://github.com/naijagamerx/code-prompt-enhancer</t>
  </si>
  <si>
    <t>4ea40dee3c9641da455039240d380ca0b8d15732</t>
  </si>
  <si>
    <t>https://github.com/JH8676/GitWho2Blame</t>
  </si>
  <si>
    <t>ceb1b8a9d97f8cadb3e8fb4d4e9b963a7e93e0d3</t>
  </si>
  <si>
    <t>https://github.com/locagent/locagent.dev</t>
  </si>
  <si>
    <t>45faf43fabf663496e4fac6af506296cd94672bf</t>
  </si>
  <si>
    <t>https://github.com/WenheLI/PokerHandEvaluator-wasm</t>
  </si>
  <si>
    <t>27c65f9e16fb90522acc928585963c321d945190</t>
  </si>
  <si>
    <t>https://github.com/WenheLI/3d-point</t>
  </si>
  <si>
    <t>c7def2646d66d791eb2bf791eae2582ebfac6964</t>
  </si>
  <si>
    <t>https://github.com/WenheLI/AIArts</t>
  </si>
  <si>
    <t>aca8d61aec13199891f7364a96063a499cf98319</t>
  </si>
  <si>
    <t>https://github.com/WenheLI/Algo-project-recommendation</t>
  </si>
  <si>
    <t>21ba82c3a2fbf5ebf104178eea3dfced5bf09ceb</t>
  </si>
  <si>
    <t>https://github.com/WenheLI/Alora-Editor</t>
  </si>
  <si>
    <t>9720c1d369863c5dad47a824a5bce837a56672d2</t>
  </si>
  <si>
    <t>https://github.com/WenheLI/AnimeGAN-tf2.0</t>
  </si>
  <si>
    <t>b38a8735b12c94d63a5c65a3086c580b7d03b6df</t>
  </si>
  <si>
    <t>https://github.com/WenheLI/auto-sort-fanhao</t>
  </si>
  <si>
    <t>9d7db0f060892d9482cc4341f0c5f4ba3ae65eff</t>
  </si>
  <si>
    <t>https://github.com/WenheLI/backup-openbilibili-go-common</t>
  </si>
  <si>
    <t>ERROR</t>
  </si>
  <si>
    <t>https://github.com/VoloBuilds/create-volo-app</t>
  </si>
  <si>
    <t>aa4a69012157a1f105a3944c429fa19b2632f255</t>
  </si>
  <si>
    <t>https://github.com/VoloBuilds/monsterbrew-gpt</t>
  </si>
  <si>
    <t>4e1307d7ea8a8c076f95b78ee36398111e5abf18</t>
  </si>
  <si>
    <t>https://github.com/VoloBuilds/openai-assistants-discord-bot</t>
  </si>
  <si>
    <t>cd759007ab0ae5918b07d6f3c5c4cbe95725ca50</t>
  </si>
  <si>
    <t>https://github.com/Intro0siddiqui/Phantom-Fragment</t>
  </si>
  <si>
    <t>b7445f9cb84b7dab795c6ac9c59723899057fdef</t>
  </si>
  <si>
    <t>https://github.com/bcdannyboy/robot-dreams</t>
  </si>
  <si>
    <t>ff4ad1046d46d637defa8dab9b665261958df145</t>
  </si>
  <si>
    <t>https://github.com/bcdannyboy/AppleScript-Keychain-Dump</t>
  </si>
  <si>
    <t>a54b43cb520db6daf46e36b345d73c4a462d0bb0</t>
  </si>
  <si>
    <t>https://github.com/bcdannyboy/AtlassianAutomationUtilities</t>
  </si>
  <si>
    <t>0ada11111e2e28d988af530766022c67155a76ea</t>
  </si>
  <si>
    <t>https://github.com/bcdannyboy/Blog</t>
  </si>
  <si>
    <t>3c1192f3ca523f2d72c591c21d4d15ef4a7579e6</t>
  </si>
  <si>
    <t>https://github.com/bcdannyboy/BOLO-Reverse-Engineering</t>
  </si>
  <si>
    <t>3879de5a084574f9b271d1921040154a37684d8d</t>
  </si>
  <si>
    <t>https://github.com/bcdannyboy/cve-2017-1635-PoC</t>
  </si>
  <si>
    <t>e7520d70ab5a5d9f46a595d9c9a75c80af5dd867</t>
  </si>
  <si>
    <t>https://github.com/bcdannyboy/CVE-2021-26084_GoPOC</t>
  </si>
  <si>
    <t>9940ba5ec4d363378792909df390f6a2d6a07993</t>
  </si>
  <si>
    <t>https://github.com/bcdannyboy/CVE-2023-38545</t>
  </si>
  <si>
    <t>2119640a3c13542099def9ecc796bf7f2e625018</t>
  </si>
  <si>
    <t>https://github.com/bcdannyboy/CVE-2023-44487</t>
  </si>
  <si>
    <t>bdd8d44c20199da639bc3103a504ae102b711c2d</t>
  </si>
  <si>
    <t>https://github.com/bcdannyboy/dlpauto</t>
  </si>
  <si>
    <t>7b297a36e8fb57e0da14ae6d400a26c1e029d6cc</t>
  </si>
  <si>
    <t>https://github.com/bcdannyboy/EmailHunter</t>
  </si>
  <si>
    <t>a9bf07b2ac97d83186ff9235e8551e26ec284869</t>
  </si>
  <si>
    <t>https://github.com/bcdannyboy/PyPhisher</t>
  </si>
  <si>
    <t>c9556581c5521b0496c304e6609cc964e6df21cd</t>
  </si>
  <si>
    <t>https://github.com/bcdannyboy/Research</t>
  </si>
  <si>
    <t>1cb858b20faff83f85e1c2a17a5ed62c3a744f67</t>
  </si>
  <si>
    <t>https://github.com/bcdannyboy/scripts</t>
  </si>
  <si>
    <t>73a7fedf0a8b73066c3991e4682117770eaae437</t>
  </si>
  <si>
    <t>https://github.com/bcdannyboy/Writing</t>
  </si>
  <si>
    <t>036ed0a6c78b5250df989aec564080c1bcf11b2d</t>
  </si>
  <si>
    <t>https://github.com/maciej-trebacz/tower-of-time-game</t>
  </si>
  <si>
    <t>a2497fb8aaf497c25a9caa306ed7ac7129d2400b</t>
  </si>
  <si>
    <t>https://github.com/maciej-trebacz/apexcharts.js</t>
  </si>
  <si>
    <t>ad95ed0592ebf2a092d84554c096a0bce3edc85a</t>
  </si>
  <si>
    <t>https://github.com/maciej-trebacz/bitcoinjs-lib</t>
  </si>
  <si>
    <t>6fb2c77690cef447f7b24483c4cc4e5cc26f7e89</t>
  </si>
  <si>
    <t>https://github.com/maciej-trebacz/DCPU-Bas</t>
  </si>
  <si>
    <t>f111b8d68f5bb67d6da3f2ac238e677739955219</t>
  </si>
  <si>
    <t>https://github.com/maciej-trebacz/ff7-scarlet</t>
  </si>
  <si>
    <t>0e3c2c6b9690b38ea0c0fd6c7f92eb7218fa0bdb</t>
  </si>
  <si>
    <t>https://github.com/maciej-trebacz/ff7-terraform-cli</t>
  </si>
  <si>
    <t>04bf495f7ce8f336460a2854ec4f1078879cdd22</t>
  </si>
  <si>
    <t>https://github.com/maciej-trebacz/gptinker</t>
  </si>
  <si>
    <t>732510c90e0914467eeaf120c2619a84dd900911</t>
  </si>
  <si>
    <t>https://github.com/maciej-trebacz/linijka</t>
  </si>
  <si>
    <t>e6e0f9b79ca844ae2f979b9a896841e22d7772a7</t>
  </si>
  <si>
    <t>https://github.com/maciej-trebacz/mautic</t>
  </si>
  <si>
    <t>d6a6fabfd520f2fe1d14a576cd6a964df29527f8</t>
  </si>
  <si>
    <t>https://github.com/maciej-trebacz/mavbot</t>
  </si>
  <si>
    <t>2b319b3d1f9359bc82e598f013cb5eb041951f79</t>
  </si>
  <si>
    <t>https://github.com/maciej-trebacz/meteor</t>
  </si>
  <si>
    <t>544d02651943da5c165a99fb690db92b1e855039</t>
  </si>
  <si>
    <t>https://github.com/maciej-trebacz/meteor-1.3-bom-bug</t>
  </si>
  <si>
    <t>e19cb8b0121418f4566bb31c3e71461dff31c1ff</t>
  </si>
  <si>
    <t>https://github.com/maciej-trebacz/meteor-boilerplate</t>
  </si>
  <si>
    <t>672a0c7b252beb6e36e09c773664a3db5b183eaf</t>
  </si>
  <si>
    <t>https://github.com/maciej-trebacz/meteor-reactivity-test</t>
  </si>
  <si>
    <t>357a9019c574cea78ec8af33d0a78a42d8d4c8ce</t>
  </si>
  <si>
    <t>https://github.com/maciej-trebacz/meteor-rest-example</t>
  </si>
  <si>
    <t>de4b7d8f926b687ae9ca87b285c41e739d3b5f0f</t>
  </si>
  <si>
    <t>https://github.com/maciej-trebacz/meteor-up</t>
  </si>
  <si>
    <t>5e440c2fc85c0453349483b28d43a4850b0ca4f6</t>
  </si>
  <si>
    <t>https://github.com/maciej-trebacz/omim</t>
  </si>
  <si>
    <t>95fc4f2694a4efa5204a63b7b62d8ad11f88fe29</t>
  </si>
  <si>
    <t>https://github.com/smtg-ai/claude-squad</t>
  </si>
  <si>
    <t>4cefe6faf2b35a60d63328772eaeff599b40d571</t>
  </si>
  <si>
    <t>https://github.com/TeemuSo/saas-template-for-ai-lite</t>
  </si>
  <si>
    <t>3809ce2adf16170c7286b839bd17b04826052ec6</t>
  </si>
  <si>
    <t>https://github.com/unaveragetech/Sysinfo?tab=readme-ov-file</t>
  </si>
  <si>
    <t>c1f647f280d3e99d278f82b6227441b07511160d</t>
  </si>
  <si>
    <t>https://github.com/unaveragetech/blogg0-</t>
  </si>
  <si>
    <t>6d7b797e3f1614aa16a5b09ff18c5cd85a1eb8ea</t>
  </si>
  <si>
    <t>https://github.com/unaveragetech/camview-updated</t>
  </si>
  <si>
    <t>c7e1d3e3a381769bbfe9b40933e1a47a5b03c5cf</t>
  </si>
  <si>
    <t>https://github.com/unaveragetech/crack_pass_insta</t>
  </si>
  <si>
    <t>82231c97e88f6d6d5450dce701e0930b6139caf8</t>
  </si>
  <si>
    <t>https://github.com/unaveragetech/IPC_fork</t>
  </si>
  <si>
    <t>0df411fc4361073709764534f76d34269058d693</t>
  </si>
  <si>
    <t>https://github.com/unaveragetech/john-x-ripper</t>
  </si>
  <si>
    <t>504068fc033bd3687ba66f2ace732dfed0c16f68</t>
  </si>
  <si>
    <t>https://github.com/unaveragetech/metagoofil</t>
  </si>
  <si>
    <t>11878c81832ab95a9f83c22e2d2498df3984103d</t>
  </si>
  <si>
    <t>https://github.com/unaveragetech/openai-python</t>
  </si>
  <si>
    <t>17ac6779958b2b74999c634c4ea4c7b74906027a</t>
  </si>
  <si>
    <t>https://github.com/unaveragetech/PyCells</t>
  </si>
  <si>
    <t>850e32120a9b5a2fc161a908e2bab628fb5f9c75</t>
  </si>
  <si>
    <t>https://github.com/unaveragetech/Sprite.io</t>
  </si>
  <si>
    <t>b70d74bee5bcd23505cb6ca234b3f6570b17131a</t>
  </si>
  <si>
    <t>https://github.com/unaveragetech/symbyitic_clean</t>
  </si>
  <si>
    <t>18a3b0067c7f34424a9da50097618bed20b083cb</t>
  </si>
  <si>
    <t>https://github.com/unaveragetech/ui-utils</t>
  </si>
  <si>
    <t>f590b5936d616aab0c01cdf9f60dd0eadb71c775</t>
  </si>
  <si>
    <t>https://github.com/unaveragetech/YouTube-view-bot</t>
  </si>
  <si>
    <t>aebbd75ffc658be722317cc3dbbe24e2211e73c1</t>
  </si>
  <si>
    <t>https://github.com/Courage-1984/Dataset-Forge</t>
  </si>
  <si>
    <t>0f7fe4664b2241d3eeda1cffeb8fca2fac4429fb</t>
  </si>
  <si>
    <t>https://github.com/Courage-1984/animated_svg</t>
  </si>
  <si>
    <t>b5f26562fef7f99e1d7f0b5f0b68d68aab9d0a74</t>
  </si>
  <si>
    <t>https://github.com/djshaji/eva</t>
  </si>
  <si>
    <t>1c8329e72e2884a02cb3cd8cd1c52779d9d99e22</t>
  </si>
  <si>
    <t>https://github.com/djshaji/advanced-volume-control</t>
  </si>
  <si>
    <t>eaad202730455344b5d19e157b38148887e1c3cb</t>
  </si>
  <si>
    <t>https://github.com/djshaji/amp-rack</t>
  </si>
  <si>
    <t>0aae1420726211a889bca20b3a6f3cc1637352c9</t>
  </si>
  <si>
    <t>https://github.com/djshaji/amp-rack-web</t>
  </si>
  <si>
    <t>92d95f595335727eedf0798b232b7f7418f1c30e</t>
  </si>
  <si>
    <t>https://github.com/djshaji/amprack-lsp-plugins-impulse-responses</t>
  </si>
  <si>
    <t>26e0b756b32de2139fa3c6484acb0d95829e447d</t>
  </si>
  <si>
    <t>https://github.com/djshaji/AndroidAudioSamples</t>
  </si>
  <si>
    <t>61e687aa23fe628163dbe72a9b9f87ed54764502</t>
  </si>
  <si>
    <t>https://github.com/djshaji/AndroidMediaCodec</t>
  </si>
  <si>
    <t>786b8893991570ac26b7c03fd47cf41075d43b5b</t>
  </si>
  <si>
    <t>https://github.com/djshaji/anneli</t>
  </si>
  <si>
    <t>4d39026cfbf8065da0a19e94b12ad6d7371ab98b</t>
  </si>
  <si>
    <t>https://github.com/djshaji/aws-cognito-js-login</t>
  </si>
  <si>
    <t>ebda507cb8f1fcafae87f914aef258799277fe22</t>
  </si>
  <si>
    <t>https://github.com/djshaji/bailey</t>
  </si>
  <si>
    <t>35a43db13de7c0c331ddcef0f9581530a746d607</t>
  </si>
  <si>
    <t>https://github.com/djshaji/bluesbreaker.lv2</t>
  </si>
  <si>
    <t>b92c02be9da1b691250aab2dd1b11271826f359b</t>
  </si>
  <si>
    <t>https://github.com/djshaji/cicada</t>
  </si>
  <si>
    <t>d779ce66aae533141f8f72f5e92e0f6094df8406</t>
  </si>
  <si>
    <t>https://github.com/djshaji/clover-cloud-file-manager</t>
  </si>
  <si>
    <t>b509da46e748cd620a637db69ba04da99f74f941</t>
  </si>
  <si>
    <t>https://github.com/djshaji/clover-download-chrome-extension</t>
  </si>
  <si>
    <t>98ee603235583052a4039815901dfdfa03c2f722</t>
  </si>
  <si>
    <t>https://github.com/djshaji/code-shastra</t>
  </si>
  <si>
    <t>60b692c10b9f7eb3cd2fbe874d44c33c46336f89</t>
  </si>
  <si>
    <t>https://github.com/djshaji/CollisionDrive.lv2</t>
  </si>
  <si>
    <t>1e443d7dd7e3b810878823fda65a3512dfd18669</t>
  </si>
  <si>
    <t>https://github.com/djshaji/djshaji</t>
  </si>
  <si>
    <t>0519dc21f894f60a8b79e9f571d6187b34dd8baa</t>
  </si>
  <si>
    <t>https://github.com/djshaji/dominique-video-encoder</t>
  </si>
  <si>
    <t>3a58d170b5717262dcc0472399929062e3d170c8</t>
  </si>
  <si>
    <t>https://github.com/djshaji/domino</t>
  </si>
  <si>
    <t>d2dc173aa5dd96b80589b715e04598e2e9b53525</t>
  </si>
  <si>
    <t>https://github.com/djshaji/domino-tf</t>
  </si>
  <si>
    <t>bc17ccd7eb6655e909be6625af5f65ac8b28074d</t>
  </si>
  <si>
    <t>https://github.com/djshaji/econtent</t>
  </si>
  <si>
    <t>4caefa12c7d768e326deaad4cb44b37c81d4d68c</t>
  </si>
  <si>
    <t>https://github.com/djshaji/experiments_in_c</t>
  </si>
  <si>
    <t>8feb818c94ad3778126c518824ac884b243155b2</t>
  </si>
  <si>
    <t>https://github.com/djshaji/FaceRekognition-Demo</t>
  </si>
  <si>
    <t>c9a73e730198c003215b112469f714d475f928d3</t>
  </si>
  <si>
    <t>https://github.com/djshaji/firebase-notification-test</t>
  </si>
  <si>
    <t>0d6b86bad04769b428af39ecfc9e3d7c60b4cf07</t>
  </si>
  <si>
    <t>https://github.com/djshaji/gna-03</t>
  </si>
  <si>
    <t>985f9bef0fc95cd54647d0f747449fdb1d72ea38</t>
  </si>
  <si>
    <t>https://github.com/djshaji/gnuitar-0.3.2</t>
  </si>
  <si>
    <t>eb43ac43be105547cb171a738ddb393de528cd5a</t>
  </si>
  <si>
    <t>https://github.com/djshaji/gnuitar-jack</t>
  </si>
  <si>
    <t>a3f592a9fd8bdf200dfced2d6b496dc606f6e786</t>
  </si>
  <si>
    <t>https://github.com/djshaji/gnuitar-lv2</t>
  </si>
  <si>
    <t>a6ad9aee7121cc3e3cb48c96a087fb0b1e0f8552</t>
  </si>
  <si>
    <t>https://github.com/djshaji/leila-eq</t>
  </si>
  <si>
    <t>9732926e7a325b40aeb8bf44f3d2e12dc2c223e3</t>
  </si>
  <si>
    <t>https://github.com/djshaji/letsgodil</t>
  </si>
  <si>
    <t>89ee12cc16f5bdfcf861981e8ab8a4a9044c8431</t>
  </si>
  <si>
    <t>https://github.com/djshaji/letsgodil-old</t>
  </si>
  <si>
    <t>d4ab22923eac49bd4f712a36920d09896d681eb8</t>
  </si>
  <si>
    <t>https://github.com/djshaji/libapril-utility-library</t>
  </si>
  <si>
    <t>acd2bf42c3b12976caf4a605b6ed730d36026ac3</t>
  </si>
  <si>
    <t>https://github.com/djshaji/linux-kernel-module-manager</t>
  </si>
  <si>
    <t>334fba0d0cabdad5f1bff841567ca1c3f38c7c08</t>
  </si>
  <si>
    <t>https://github.com/djshaji/music</t>
  </si>
  <si>
    <t>4b32a3e5bfba697fca992db88261ce713f6efaf6</t>
  </si>
  <si>
    <t>https://github.com/djshaji/netmantra</t>
  </si>
  <si>
    <t>7ede027dc0d8d3882f128903a108f8a96b034dfd</t>
  </si>
  <si>
    <t>https://github.com/djshaji/news</t>
  </si>
  <si>
    <t>90afaf6147f2b66626a13c24929e5704b2912324</t>
  </si>
  <si>
    <t>https://github.com/djshaji/Noise</t>
  </si>
  <si>
    <t>0a382f324aa7812971eae3691fc78dbe813effc1</t>
  </si>
  <si>
    <t>https://github.com/djshaji/online-admission</t>
  </si>
  <si>
    <t>cdb7e0f2cdc4216e1cbed55cbe8b696cc38644fd</t>
  </si>
  <si>
    <t>https://github.com/djshaji/prune</t>
  </si>
  <si>
    <t>37891c43c29356a9988409b79609c542cde0a150</t>
  </si>
  <si>
    <t>https://github.com/djshaji/pythoncode</t>
  </si>
  <si>
    <t>b686a6bf64bae231e685d92401308a95fe593d7d</t>
  </si>
  <si>
    <t>https://github.com/djshaji/readerwriterqueue</t>
  </si>
  <si>
    <t>8e7627d18c2108aca178888d88514179899a044f</t>
  </si>
  <si>
    <t>https://github.com/djshaji/scripts</t>
  </si>
  <si>
    <t>048832952cc3700252cf12e0616a168f6490d79b</t>
  </si>
  <si>
    <t>https://github.com/djshaji/ttl2json</t>
  </si>
  <si>
    <t>240a7be6527130fa4fac671f483afca53799def0</t>
  </si>
  <si>
    <t>https://github.com/djshaji/viola-biometric</t>
  </si>
  <si>
    <t>7a90fc8f555bede62c1d64106701cc7d3d49161e</t>
  </si>
  <si>
    <t>https://github.com/djshaji/wanderer-landing</t>
  </si>
  <si>
    <t>70aba1f5afcdd9a60f4b72cf66c87c34f38492ae</t>
  </si>
  <si>
    <t>https://github.com/djshaji/wimp</t>
  </si>
  <si>
    <t>889c0f3920d4cabc1fb4d96f5c44d4c243696252</t>
  </si>
  <si>
    <t>https://github.com/djshaji/WinampSkin</t>
  </si>
  <si>
    <t>6920626d6a00c1700faf6e84e5470e5025ec5fd9</t>
  </si>
  <si>
    <t>https://github.com/djshaji/xp-start-menu-in-gtk2</t>
  </si>
  <si>
    <t>8c7ea2f05091d38e468efaf13f7779100b3aab6b</t>
  </si>
  <si>
    <t>https://github.com/djshaji/zam-plugins-android</t>
  </si>
  <si>
    <t>2ef55cf37524ef1356e9a295887a71f0bc0b2c15</t>
  </si>
  <si>
    <t>https://github.com/djshaji/zix-android</t>
  </si>
  <si>
    <t>e90109eac8151498fa3b4650abc8f74a8a453c8d</t>
  </si>
  <si>
    <t>https://github.com/SamVellaUK/jsonBrowser</t>
  </si>
  <si>
    <t>4c5edf621944bf300e1d30065c2b16ec2bf643c6</t>
  </si>
  <si>
    <t>https://github.com/ayxse/MotionScroll</t>
  </si>
  <si>
    <t>049fd4c43995d96a389ee318d73df727b7f5a7de</t>
  </si>
  <si>
    <t>https://github.com/srbsa/knowledge-graph-gen</t>
  </si>
  <si>
    <t>d4b1580b514e69243aff5b639003f3fd493390d8</t>
  </si>
  <si>
    <t>https://github.com/srbsa/agent-kaching</t>
  </si>
  <si>
    <t>https://github.com/digitaladaption/ccseva-windows</t>
  </si>
  <si>
    <t>f1c50879d9804adde5125eeeea0d64ad6c55e826</t>
  </si>
  <si>
    <t>https://github.com/pixlie/SmartCrawler</t>
  </si>
  <si>
    <t>36a3ba0329771873dd679dbd5c819170f5be07dc</t>
  </si>
  <si>
    <t>https://github.com/brainless/GroceryNana</t>
  </si>
  <si>
    <t>d0186880784daafd4dfb7e53a723f6349fc06fc3</t>
  </si>
  <si>
    <t>https://github.com/Lakr233/Sentry</t>
  </si>
  <si>
    <t>e1f544599f72aced5ef74d683a0f6053dc05f3ab</t>
  </si>
  <si>
    <t>https://github.com/Lakr233/ActionBee</t>
  </si>
  <si>
    <t>b9807306513d0bb910f31e9dd74921cff3d25aeb</t>
  </si>
  <si>
    <t>https://github.com/Lakr233/ActivateMac</t>
  </si>
  <si>
    <t>2f59431715f7426681eb0ca9de75ec0970b841d7</t>
  </si>
  <si>
    <t>https://github.com/Lakr233/Aibmoe</t>
  </si>
  <si>
    <t>f7167c3b7977f5cb882855c9f31f6f1f3ea12213</t>
  </si>
  <si>
    <t>https://github.com/Lakr233/AirDropDyldCache</t>
  </si>
  <si>
    <t>89737e06f16bbd40eb87a457d8f5a7b1570b20a7</t>
  </si>
  <si>
    <t>https://github.com/Lakr233/AppleSiliconUIKitPatch</t>
  </si>
  <si>
    <t>62c4a3cdbd4d0792452b0a81eccbdb0da64fe2b0</t>
  </si>
  <si>
    <t>https://github.com/Lakr233/AudioRecorder</t>
  </si>
  <si>
    <t>ad5c53591f3b575afaa291258b826035d0fc4c3e</t>
  </si>
  <si>
    <t>https://github.com/Lakr233/AuxiliaryExecute</t>
  </si>
  <si>
    <t>5a36e877cb371583c539503f476856ea714108b9</t>
  </si>
  <si>
    <t>https://github.com/Lakr233/Axchange</t>
  </si>
  <si>
    <t>91a92c8d03373e790e4ab3ec32c0e8dbb630d70f</t>
  </si>
  <si>
    <t>https://github.com/Lakr233/backup-xiaolian</t>
  </si>
  <si>
    <t>a0e552579014bb3588b6c98c5e6517c0de3ee866</t>
  </si>
  <si>
    <t>https://github.com/Lakr233/BBackupp</t>
  </si>
  <si>
    <t>b0151f0318d4b02cf0ce10a9358ee1aa42a48774</t>
  </si>
  <si>
    <t>https://github.com/Lakr233/BiliBiliTool</t>
  </si>
  <si>
    <t>https://github.com/Lakr233/BootableBackupOSX</t>
  </si>
  <si>
    <t>151681a4e893eb52507d261ff5e3f326039716cc</t>
  </si>
  <si>
    <t>https://github.com/Lakr233/BQBClassifier</t>
  </si>
  <si>
    <t>cc070fbf08ceb6399286c3258f6c20d7bcb2f37a</t>
  </si>
  <si>
    <t>https://github.com/Lakr233/CameraTools</t>
  </si>
  <si>
    <t>af2ace31ac9ece9d60c3e0d38de564fc6fcd03fd</t>
  </si>
  <si>
    <t>https://github.com/Lakr233/ChatBot-TGLM6B</t>
  </si>
  <si>
    <t>c73dca03b81f99df2564dab01966958cb3c46e01</t>
  </si>
  <si>
    <t>https://github.com/Lakr233/ChidoriMenu</t>
  </si>
  <si>
    <t>f94734f25b8779001618720f1a3cf04ff0212cde</t>
  </si>
  <si>
    <t>https://github.com/Lakr233/CodeEditorUI</t>
  </si>
  <si>
    <t>88de0780a4cb4971658207f0606cf9f8f0a6ae9b</t>
  </si>
  <si>
    <t>https://github.com/Lakr233/Colorful</t>
  </si>
  <si>
    <t>6f8d32f63b9f23fe10abc75dc51b162d92bb3cc0</t>
  </si>
  <si>
    <t>https://github.com/Lakr233/CydiaRepoSync</t>
  </si>
  <si>
    <t>57c01a80f119e11c35b681a831095d4f74f2e221</t>
  </si>
  <si>
    <t>https://github.com/Lakr233/Decrypter</t>
  </si>
  <si>
    <t>dccf2bf4c73bc29f929f7d6895a3c629a82584e8</t>
  </si>
  <si>
    <t>https://github.com/Lakr233/Digger</t>
  </si>
  <si>
    <t>486516a3c4325416b8714b5065d1fac2bd551357</t>
  </si>
  <si>
    <t>https://github.com/Lakr233/Dog</t>
  </si>
  <si>
    <t>cc4364500c20d9428072416638f9b32ca96c7b24</t>
  </si>
  <si>
    <t>https://github.com/Lakr233/DYLDExtractor</t>
  </si>
  <si>
    <t>ce240bcc1e7a8cb705b0d7c9058e9a6de321ab97</t>
  </si>
  <si>
    <t>https://github.com/Lakr233/embyUnlocked</t>
  </si>
  <si>
    <t>https://github.com/Lakr233/EventSource</t>
  </si>
  <si>
    <t>8c0af68bf3a4c93819d3fa5f549232f612324de2</t>
  </si>
  <si>
    <t>https://github.com/Lakr233/FishUpgrade</t>
  </si>
  <si>
    <t>6abe668485108b93d08b4758f4a645a2399ec50d</t>
  </si>
  <si>
    <t>https://github.com/Lakr233/Fix-GPS</t>
  </si>
  <si>
    <t>16e78b887087002405a134e054fae5c69bc658ff</t>
  </si>
  <si>
    <t>https://github.com/Lakr233/GetThemAll</t>
  </si>
  <si>
    <t>b45532fc83a4fecc95b1850995ae7ea45383ab75</t>
  </si>
  <si>
    <t>https://github.com/Lakr233/GGLyn</t>
  </si>
  <si>
    <t>b86d3463ba22dab4b8610c96ae49a4dbd613116d</t>
  </si>
  <si>
    <t>https://github.com/Lakr233/GitLab-License-Generator</t>
  </si>
  <si>
    <t>d76d4cde32c2cf4a3e54d8c27c0a28b2a8b9b013</t>
  </si>
  <si>
    <t>https://github.com/Lakr233/iBoot</t>
  </si>
  <si>
    <t>https://github.com/Lakr233/IOKit-Headers</t>
  </si>
  <si>
    <t>92a73c77359f80dc17ab747a9805134cc87765b4</t>
  </si>
  <si>
    <t>https://github.com/Lakr233/iOSreExtension</t>
  </si>
  <si>
    <t>8515ae647f8a2b68d254066379ea48b4ab44b1eb</t>
  </si>
  <si>
    <t>https://github.com/Lakr233/iQemu-iPsw-iPreparer</t>
  </si>
  <si>
    <t>e1b8eefc79718d253b4a271c8eb8f8bcbda48b26</t>
  </si>
  <si>
    <t>https://github.com/Lakr233/Iridium</t>
  </si>
  <si>
    <t>799ad00cda65013a1363032b56c5f78f7dd3ba15</t>
  </si>
  <si>
    <t>https://github.com/Lakr233/iVariant</t>
  </si>
  <si>
    <t>a1c855c80dc81742491a2d798a9f8016730636f1</t>
  </si>
  <si>
    <t>https://github.com/Lakr233/Kimis</t>
  </si>
  <si>
    <t>0dcc7d93ac6327df164a0f53ad2398262702b680</t>
  </si>
  <si>
    <t>https://github.com/Lakr233/Lakr-s-License</t>
  </si>
  <si>
    <t>b0794ea7ee04a00c8da37cfcf979ac358adfe965</t>
  </si>
  <si>
    <t>https://github.com/Lakr233/libirecovery</t>
  </si>
  <si>
    <t>1a12fc2877a5aac5ef28b196753c83188fc13ef0</t>
  </si>
  <si>
    <t>https://github.com/Lakr233/Litext</t>
  </si>
  <si>
    <t>2c1dfe1932741848b664d61af6ff2715d7dba47b</t>
  </si>
  <si>
    <t>https://github.com/Lakr233/MacOS-Workflow-VNC</t>
  </si>
  <si>
    <t>3f57f91154451dba1319e1871aa29fc6dfc0877c</t>
  </si>
  <si>
    <t>https://github.com/Lakr233/makeCommandLineToolAvailableForiOS</t>
  </si>
  <si>
    <t>2daed5732119342d088ccc39126336b3c7c1de77</t>
  </si>
  <si>
    <t>https://github.com/Lakr233/mobilePillowTalkLite</t>
  </si>
  <si>
    <t>8c4b2513343cfd7043c9c003d93f7d50bd3f5e87</t>
  </si>
  <si>
    <t>https://github.com/Lakr233/MoneyProgress</t>
  </si>
  <si>
    <t>6a0bf42aa6d13b3fa7908dea76ae6461d26bf4ff</t>
  </si>
  <si>
    <t>https://github.com/Lakr233/myyearwithgit</t>
  </si>
  <si>
    <t>23333333bbf5d6a0959afddd4584478fd816c72f</t>
  </si>
  <si>
    <t>https://github.com/Lakr233/NaiveboomDockerComposed</t>
  </si>
  <si>
    <t>0a475a2f94fe77dc815f6b322aca131b511a0c14</t>
  </si>
  <si>
    <t>https://github.com/Lakr233/NSRemoteShell</t>
  </si>
  <si>
    <t>10cc59a2fb8a660951cb769c4c99da3a35e5214b</t>
  </si>
  <si>
    <t>https://github.com/Lakr233/Privacy-Insight</t>
  </si>
  <si>
    <t>08d98ce6966e296d554568e9ca603399ccfad28b</t>
  </si>
  <si>
    <t>https://github.com/Lakr233/pwgen</t>
  </si>
  <si>
    <t>7601556a4d86329ce0b88ed55c61f99e158c229f</t>
  </si>
  <si>
    <t>https://github.com/Lakr233/QEMUAppleSilicon</t>
  </si>
  <si>
    <t>abf635ddfe3242df907f58967f3c1e6763bbca2d</t>
  </si>
  <si>
    <t>https://github.com/Lakr233/RainbowFart</t>
  </si>
  <si>
    <t>8b84a0e1ddcaece1e44757e24c6f3ce996b74d9f</t>
  </si>
  <si>
    <t>https://github.com/Lakr233/Rayon</t>
  </si>
  <si>
    <t>4c90ab2e7e404691d01b55df8e01d80d21438876</t>
  </si>
  <si>
    <t>https://github.com/Lakr233/RunestoneEditor</t>
  </si>
  <si>
    <t>96e7254a6b46b03123b850735ff807f3714f77cc</t>
  </si>
  <si>
    <t>https://github.com/Lakr233/SafariYYDS</t>
  </si>
  <si>
    <t>4a5d861d0204aa4ea5fac90244893d58ac007aea</t>
  </si>
  <si>
    <t>https://github.com/Lakr233/Saily</t>
  </si>
  <si>
    <t>e9752be24ec07e3d7abfdcf567e8be19e302406d</t>
  </si>
  <si>
    <t>https://github.com/Lakr233/SGRenet</t>
  </si>
  <si>
    <t>549a46709126b76a80724f87983e7ff2f280c464</t>
  </si>
  <si>
    <t>https://github.com/Lakr233/SwiftCourse</t>
  </si>
  <si>
    <t>d36396faf037a2db9454c5fddae4efe51ffa028d</t>
  </si>
  <si>
    <t>https://github.com/Lakr233/SwiftThrottle</t>
  </si>
  <si>
    <t>8df5f0f890a388355be70b0cfd962d2cd2da0ce8</t>
  </si>
  <si>
    <t>https://github.com/Lakr233/TextExpress2-CheatBRT</t>
  </si>
  <si>
    <t>fafc61c7cf746c5dbaf3d92f866238c3057e6e9a</t>
  </si>
  <si>
    <t>https://github.com/Lakr233/TreeNewBee</t>
  </si>
  <si>
    <t>3a575a75b2b57346fb1af88d6172713b2fad1df7</t>
  </si>
  <si>
    <t>https://github.com/Lakr233/unJailbreakBash</t>
  </si>
  <si>
    <t>4a64d059452dbe164926e7ee426f966e740aed77</t>
  </si>
  <si>
    <t>https://github.com/Lakr233/XTerminalUI</t>
  </si>
  <si>
    <t>40c26fb30459068aabd604478d382baba8a264ac</t>
  </si>
  <si>
    <t>https://github.com/sdi2200262/agentic-project-management</t>
  </si>
  <si>
    <t>a450769bef0915c002f7b7f86ce07c56e75b5fa6</t>
  </si>
  <si>
    <t>https://github.com/DubblePumper/creepypastaAI</t>
  </si>
  <si>
    <t>03757fe3bc6db7d01310f488d07c823d2d755fac</t>
  </si>
  <si>
    <t>https://github.com/DubblePumper/ExplicittagsAI---Adult-video-Analiser</t>
  </si>
  <si>
    <t>https://github.com/ianrastall/ColorChooser</t>
  </si>
  <si>
    <t>f043d67728fefe389cc8cfc8c646aa13f9ce18c9</t>
  </si>
  <si>
    <t>https://github.com/NomadCoreApp/NomadCore</t>
  </si>
  <si>
    <t>e230f25aab00eecab48903fcb9c3ebc0d731b124</t>
  </si>
  <si>
    <t>https://github.com/mertcoder/europayouthscraper</t>
  </si>
  <si>
    <t>ab31607e05238859d924ac1d76410888cab1f0aa</t>
  </si>
  <si>
    <t>https://github.com/mertcoder/ImageSearchApp</t>
  </si>
  <si>
    <t>44897bb3daab1fdb42edb0d2999af3d21d9151d1</t>
  </si>
  <si>
    <t>https://github.com/mertcoder/KelineYt</t>
  </si>
  <si>
    <t>706e9cb4980e509a05c9c950e3a488c1454a3d60</t>
  </si>
  <si>
    <t>https://github.com/mertcoder/LearningMultiViewRecyclerViewProject</t>
  </si>
  <si>
    <t>cc717f573020f681fc08385d361b6d25182ef1c8</t>
  </si>
  <si>
    <t>https://github.com/mertcoder/mertcoder</t>
  </si>
  <si>
    <t>9d0677ee41fc2be9a149ff4893d30d9e8bb51272</t>
  </si>
  <si>
    <t>https://github.com/mertcoder/salesp07</t>
  </si>
  <si>
    <t>a691212e450f7af259be46310923a3199699aecf</t>
  </si>
  <si>
    <t>https://github.com/fr4iser90/NoServerConvert</t>
  </si>
  <si>
    <t>9fffbecf619000713957054d9c7574523bdb016f</t>
  </si>
  <si>
    <t>https://github.com/Wirasm/astro-comp-lib</t>
  </si>
  <si>
    <t>499d52c2ca23015bfa4569aba71ef7ac3ba767ad</t>
  </si>
  <si>
    <t>https://github.com/grillsdev/grills</t>
  </si>
  <si>
    <t>dce96be6b12ede3a9ff5b8ea555aa16d42f859b9</t>
  </si>
  <si>
    <t>https://github.com/Raezil/vibe</t>
  </si>
  <si>
    <t>0aad7120d38ecac1dacff842d130f11118f4811d</t>
  </si>
  <si>
    <t>Num vibecoded</t>
  </si>
  <si>
    <t>Num errored</t>
  </si>
  <si>
    <t>Num Historical</t>
  </si>
  <si>
    <t>Num with History</t>
  </si>
  <si>
    <t>Num timed out</t>
  </si>
  <si>
    <t>Total</t>
  </si>
  <si>
    <t>avg historical</t>
  </si>
  <si>
    <t>https://github.com/Raezil/awesome-go</t>
  </si>
  <si>
    <t>89f2a685b2f3b2c8bb87000a3ed3361de907c030</t>
  </si>
  <si>
    <t>https://github.com/Raezil/awesome-prisma</t>
  </si>
  <si>
    <t>08fb97695fd086e0bff5f95baf9ce5a63bba4edc</t>
  </si>
  <si>
    <t>https://github.com/Raezil/go</t>
  </si>
  <si>
    <t>858cd8da569938913541d013af27a2a2a875fcb5</t>
  </si>
  <si>
    <t>https://github.com/Raezil/LetsGoBoulder</t>
  </si>
  <si>
    <t>358f6704d9c72c9aea6afbc4c9bbc28594aca8d7</t>
  </si>
  <si>
    <t>https://github.com/plandex-ai/plandex</t>
  </si>
  <si>
    <t>e2d772072efadbe41d2946d97d79be55532dbab5</t>
  </si>
  <si>
    <t>https://github.com/tsylvester/paynless-framework</t>
  </si>
  <si>
    <t>e37a24edea79b2e31dcddfbb67b53b5ce6802af9</t>
  </si>
  <si>
    <t>https://github.com/eiondb/eion</t>
  </si>
  <si>
    <t>833f51e0b05e5611273b6e0edf04c6e57121a6b7</t>
  </si>
  <si>
    <t>https://github.com/Hardvarisnotmyname/ideal-gas-particle-collision-2d</t>
  </si>
  <si>
    <t>bf92be126fe3762291ee97b836745fb3f300b2db</t>
  </si>
  <si>
    <t>https://github.com/Hardvarisnotmyname/Hardvarisnotmyname</t>
  </si>
  <si>
    <t>2fd0f177b09df8a545f2c4e515fb2f97d495f25a</t>
  </si>
  <si>
    <t>https://github.com/Hardvarisnotmyname/Prime</t>
  </si>
  <si>
    <t>15ac9bca2cb89db93ce96d7f60ab7decf766df57</t>
  </si>
  <si>
    <t>https://github.com/montraydavis/AIApiOrchestrator</t>
  </si>
  <si>
    <t>8feec53602c1b96b3819626612e1bfe24165b3d5</t>
  </si>
  <si>
    <t>https://github.com/montraydavis/APIFlow</t>
  </si>
  <si>
    <t>1b4ad2c44be5f77f9562dae4d48360d4f4c1a7d7</t>
  </si>
  <si>
    <t>https://github.com/JoaquinRuiz/misco-agent</t>
  </si>
  <si>
    <t>ce79dd4e9a27a91581d5e605ece94835feb22854</t>
  </si>
  <si>
    <t>https://github.com/JoaquinRuiz/acf-oembed-field</t>
  </si>
  <si>
    <t>2b95f4932f6a4475a036313486512b30a541f736</t>
  </si>
  <si>
    <t>https://github.com/JoaquinRuiz/Android-HTML5-JQM</t>
  </si>
  <si>
    <t>ac23f795e4dd0197d5159784afde45b27d73cc4d</t>
  </si>
  <si>
    <t>https://github.com/JoaquinRuiz/atom</t>
  </si>
  <si>
    <t>c33b154e7378774823bac190dc44f94781880158</t>
  </si>
  <si>
    <t>https://github.com/JoaquinRuiz/bbpress-like-button</t>
  </si>
  <si>
    <t>a87ac558e9a0d5c36b8220955062186aad576bcf</t>
  </si>
  <si>
    <t>https://github.com/JoaquinRuiz/blog-symfony</t>
  </si>
  <si>
    <t>bbe2f67d0e2286ffaadc6da57805ce7814d3ec2e</t>
  </si>
  <si>
    <t>https://github.com/JoaquinRuiz/crthk-api</t>
  </si>
  <si>
    <t>ab696b18bdc40983db66672440d4775c3dd87453</t>
  </si>
  <si>
    <t>https://github.com/JoaquinRuiz/easy-options-page</t>
  </si>
  <si>
    <t>0588d25c18b3e24b2738077f45b0826ef0394be4</t>
  </si>
  <si>
    <t>https://github.com/JoaquinRuiz/easy-timeout-session</t>
  </si>
  <si>
    <t>4083ea5634284800f81d7b6174383e34a0a4c43e</t>
  </si>
  <si>
    <t>https://github.com/JoaquinRuiz/joki-api-rest</t>
  </si>
  <si>
    <t>4a644b4533bfe314fc3f4cad6cfce264ef99e3c4</t>
  </si>
  <si>
    <t>https://github.com/JoaquinRuiz/jokiruizcom-responsivecss</t>
  </si>
  <si>
    <t>https://github.com/JoaquinRuiz/magento-poc</t>
  </si>
  <si>
    <t>3745fcaa2b2711978ca90cd87abf3ab562e47ee5</t>
  </si>
  <si>
    <t>https://github.com/JoaquinRuiz/Magento2-Cron-Tutorial</t>
  </si>
  <si>
    <t>14e29a3da377b0d6d3f9de240a0a350bfa66470e</t>
  </si>
  <si>
    <t>https://github.com/JoaquinRuiz/nodecmsjoki</t>
  </si>
  <si>
    <t>b3fc17362a74e883c4ea87ae94229a01b2c58c51</t>
  </si>
  <si>
    <t>https://github.com/JoaquinRuiz/order-items</t>
  </si>
  <si>
    <t>55e054c9429f9013de286d7a34618ed860fef074</t>
  </si>
  <si>
    <t>https://github.com/JoaquinRuiz/Project-Task-organizer</t>
  </si>
  <si>
    <t>881abd085aaa28a72af2bf3b07ea72c262962b85</t>
  </si>
  <si>
    <t>https://github.com/JoaquinRuiz/skill-alexa-test</t>
  </si>
  <si>
    <t>https://github.com/JoaquinRuiz/svn-wczgz</t>
  </si>
  <si>
    <t>5a4c1aabbd3bbad8d4a87b3c5853441a4d1be9ea</t>
  </si>
  <si>
    <t>https://github.com/JoaquinRuiz/symfony-offer-coupons</t>
  </si>
  <si>
    <t>https://github.com/JoaquinRuiz/symfony-vuejs</t>
  </si>
  <si>
    <t>4702f6059272d15dc0412c132539c537f7540cf6</t>
  </si>
  <si>
    <t>https://github.com/JoaquinRuiz/waspmoteapi</t>
  </si>
  <si>
    <t>d75ed3f6369ae543f369728ed3cb09e08245df01</t>
  </si>
  <si>
    <t>Total expected</t>
  </si>
  <si>
    <t>Percent done</t>
  </si>
  <si>
    <t>Program</t>
  </si>
  <si>
    <t>https://github.com/unaveragetech/Sysinfo?tab=readme-ov-file:</t>
  </si>
  <si>
    <t>seconds</t>
  </si>
  <si>
    <t>https://github.com/sdi2200262/agentic-project-management:</t>
  </si>
  <si>
    <t>https://github.com/JoaquinRuiz/misco-agent:</t>
  </si>
  <si>
    <t>Total Time</t>
  </si>
  <si>
    <t>AVG Time</t>
  </si>
  <si>
    <t>Expected Time (hours)</t>
  </si>
  <si>
    <t>https://github.com/cyzhao/claude-code-tools:</t>
  </si>
  <si>
    <t>https://github.com/JoaquinRuiz/wczgz2023</t>
  </si>
  <si>
    <t>4062df340b4cdd42a9fdc8d9613b5f045788aec4</t>
  </si>
  <si>
    <t>https://github.com/SaharCarmel/cline-metrics</t>
  </si>
  <si>
    <t>d46a44a8a1f11e63f583c0c6aa9e9675f690043d</t>
  </si>
  <si>
    <t>https://github.com/SaharCarmel/AI-first-coding-workshop</t>
  </si>
  <si>
    <t>https://github.com/SaharCarmel/ARIMA</t>
  </si>
  <si>
    <t>c54e8554f1c4a95c25687bdf35b4296ed6bd78d6</t>
  </si>
  <si>
    <t>https://github.com/SaharCarmel/Automation</t>
  </si>
  <si>
    <t>15358148e687e541a1604fb372921a08ad99e919</t>
  </si>
  <si>
    <t>https://github.com/SaharCarmel/autotestscreator</t>
  </si>
  <si>
    <t>01ccbfbdb3f110b514a5c09378a87669d311772a</t>
  </si>
  <si>
    <t>https://github.com/SaharCarmel/C-RPG</t>
  </si>
  <si>
    <t>c5c4f514eb262c7b39101bf71d814d7f60f3c623</t>
  </si>
  <si>
    <t>https://github.com/SaharCarmel/course-content</t>
  </si>
  <si>
    <t>cf98cbd9362c3c679505ae595d384882ccba6bff</t>
  </si>
  <si>
    <t>https://github.com/SaharCarmel/cupy</t>
  </si>
  <si>
    <t>622289ec277c7d81584c5d18bcfd2e002e95ceec</t>
  </si>
  <si>
    <t>https://github.com/SaharCarmel/Devops-template</t>
  </si>
  <si>
    <t>2bcdf50636d11c29aa1fbab1f53b2a503094aa3a</t>
  </si>
  <si>
    <t>https://github.com/SaharCarmel/DofusCrusherFinder</t>
  </si>
  <si>
    <t>126405359b77e141a3c868aa9f45f91e0009666e</t>
  </si>
  <si>
    <t>https://github.com/SaharCarmel/DofusWebAssistant</t>
  </si>
  <si>
    <t>3a5ac901becdd18965ba3394c0d628f0c9326592</t>
  </si>
  <si>
    <t>https://github.com/SaharCarmel/evolleyball</t>
  </si>
  <si>
    <t>f61d67fa1a8af722f499435e59c333b490f71089</t>
  </si>
  <si>
    <t>https://github.com/SaharCarmel/hello-github-actions</t>
  </si>
  <si>
    <t>7db751c23d50daad6253e91d49c540cb5087b6fb</t>
  </si>
  <si>
    <t>https://github.com/SaharCarmel/hello-world</t>
  </si>
  <si>
    <t>194ed78bf79640c878cf25d51c90dec3c327ba88</t>
  </si>
  <si>
    <t>https://github.com/SaharCarmel/ipython</t>
  </si>
  <si>
    <t>36ab971deab9c2822a1558caaa3ba99a49deb789</t>
  </si>
  <si>
    <t>https://github.com/SaharCarmel/ML-Neural-Networks</t>
  </si>
  <si>
    <t>e5324ed3e7b086d01842ce3d856d899b8f18718a</t>
  </si>
  <si>
    <t>https://github.com/SaharCarmel/Moodle_chrome_extension</t>
  </si>
  <si>
    <t>02a05e35168e832dbdf43bc2a6266da8cc8c569e</t>
  </si>
  <si>
    <t>https://github.com/SaharCarmel/Movie-arranger</t>
  </si>
  <si>
    <t>69dc817338398dd59c701fc983e0ad8b31494629</t>
  </si>
  <si>
    <t>https://github.com/SaharCarmel/PythonRampUPforDS</t>
  </si>
  <si>
    <t>c71bf5ead8bbbf79659dd20fe249ec5e62d58adc</t>
  </si>
  <si>
    <t>https://github.com/SaharCarmel/pytorch</t>
  </si>
  <si>
    <t>d290511ecd4694fbdee9c1afe09e7e68041380dd</t>
  </si>
  <si>
    <t>https://github.com/SaharCarmel/QuantomInformation116031</t>
  </si>
  <si>
    <t>fea65e0cbca7d9302321b70f255e053dc40be1dc</t>
  </si>
  <si>
    <t>https://github.com/SaharCarmel/RLPlayground</t>
  </si>
  <si>
    <t>c9d393c1af443aa26c688b5ffc446baf8265c2a2</t>
  </si>
  <si>
    <t>https://github.com/SaharCarmel/SaharCarmel</t>
  </si>
  <si>
    <t>8babfa6731d620fdfa43c8a41c365ed774c5c916</t>
  </si>
  <si>
    <t>https://github.com/SaharCarmel/saharcarmel.github.io</t>
  </si>
  <si>
    <t>c1942ac0bd5d219920ed91123d3e31089a0b65c0</t>
  </si>
  <si>
    <t>https://github.com/InsForge/InsForge</t>
  </si>
  <si>
    <t>a752c500dad492f967583c2bdf07986f89e9b59e</t>
  </si>
  <si>
    <t>https://github.com/MarklarMarklar/mudcrawler</t>
  </si>
  <si>
    <t>8aa9dcf5f198cc48e272c6ee4a9676f35798c163</t>
  </si>
  <si>
    <t>https://github.com/SohniSwatantra/OpenRepLove</t>
  </si>
  <si>
    <t>15cd7d24c6b97585dc13b13e734ca40ed8199e62</t>
  </si>
  <si>
    <t>https://github.com/SohniSwatantra/phidata</t>
  </si>
  <si>
    <t>0e5513fa81efa74cbad4b64fe3e05a0d8618fb33</t>
  </si>
  <si>
    <t>https://github.com/haramishra/mcp-unsplash</t>
  </si>
  <si>
    <t>407558e059b7086e102e8ead21a2b37d636738fd</t>
  </si>
  <si>
    <t>https://github.com/GIS1974/whisperx_app_3</t>
  </si>
  <si>
    <t>7b455bf51d2984b694165ef5a9fda8362e1773c7</t>
  </si>
  <si>
    <t>https://github.com/GIS1974/bamazon</t>
  </si>
  <si>
    <t>3ec872cb727e755bbe7d30eadd168964191bb754</t>
  </si>
  <si>
    <t>https://github.com/GIS1974/Basic-Portfolio</t>
  </si>
  <si>
    <t>646dcd13e850b7e00daec08e89e82d9a7a6e5d50</t>
  </si>
  <si>
    <t>https://github.com/GIS1974/bootcamp-cwru</t>
  </si>
  <si>
    <t>027b7e553059deccb701fbd215472d8d6a7c68af</t>
  </si>
  <si>
    <t>https://github.com/GIS1974/Bootstrap-Portfolio</t>
  </si>
  <si>
    <t>1b46a2ac93f32685f8e70bfab5d3849a55214ce0</t>
  </si>
  <si>
    <t>https://github.com/GIS1974/burger</t>
  </si>
  <si>
    <t>960d59f46d5921e47bbe9fdd161176759a966806</t>
  </si>
  <si>
    <t>https://github.com/GIS1974/clicky-game</t>
  </si>
  <si>
    <t>2b7778a7105e525bea71537d1a5c43fc3a2cd5f0</t>
  </si>
  <si>
    <t>https://github.com/GIS1974/express-app-example</t>
  </si>
  <si>
    <t>c8dce6755e93f2560b99cc316980fdf60cc8f373</t>
  </si>
  <si>
    <t>https://github.com/GIS1974/FriendFinder</t>
  </si>
  <si>
    <t>0f3db8731c8494238f2039572c3bf9083bd50f11</t>
  </si>
  <si>
    <t>https://github.com/GIS1974/GifTastic</t>
  </si>
  <si>
    <t>8f68d1ac7f0bf7beeb471102d84b8a73b6f1804a</t>
  </si>
  <si>
    <t>https://github.com/GIS1974/HW-Wireframe</t>
  </si>
  <si>
    <t>7bc8b9e35d43924ca6a4b6e1bfcff460625b5b4d</t>
  </si>
  <si>
    <t>https://github.com/GIS1974/liri-node-app</t>
  </si>
  <si>
    <t>1f7e09a6960752d26a25be056dd127ae545dd5a5</t>
  </si>
  <si>
    <t>https://github.com/GIS1974/News-Scraper</t>
  </si>
  <si>
    <t>ba71dbb942563662081cfac860262e7dddd9c2a1</t>
  </si>
  <si>
    <t>https://github.com/GIS1974/Page1</t>
  </si>
  <si>
    <t>4e26e8da90cf88a5d11a081d3ba9dc956737dcf7</t>
  </si>
  <si>
    <t>https://github.com/GIS1974/Portfolio</t>
  </si>
  <si>
    <t>638426bad181fb86b88b500ca0eac35efaa10146</t>
  </si>
  <si>
    <t>https://github.com/GIS1974/Psychic-Game</t>
  </si>
  <si>
    <t>2825cbfd85315654290f5926219098f8030c5dda</t>
  </si>
  <si>
    <t>https://github.com/GIS1974/Train-Scheduler</t>
  </si>
  <si>
    <t>a125cfa7a5e424549c92ea2db1da69403e2d5315</t>
  </si>
  <si>
    <t>https://github.com/GIS1974/TriviaGame</t>
  </si>
  <si>
    <t>eeebc7c26fa53ab9634eb37441ccb47ca1b1a20f</t>
  </si>
  <si>
    <t>https://github.com/GIS1974/unit-4-game</t>
  </si>
  <si>
    <t>06a7590e2eac78857ddd655a8ffd5a85079580f1</t>
  </si>
  <si>
    <t>https://github.com/cyzhao/claude-code-tools</t>
  </si>
  <si>
    <t>ce934c25ae10f2e1ffa2207011fe8842ddfa12cc</t>
  </si>
  <si>
    <t>https://github.com/cyzhao/jofm</t>
  </si>
  <si>
    <t>4eb88354a710c80f95bf12be52d62a7e85270444</t>
  </si>
  <si>
    <t>https://github.com/cyzhao/jolm</t>
  </si>
  <si>
    <t>c1031d83a2124369163846418072e6f6b2718074</t>
  </si>
  <si>
    <t>https://github.com/cyzhao/n8n</t>
  </si>
  <si>
    <t>cd474f1562c5521f38c2022b6abbe53f66b81fad</t>
  </si>
  <si>
    <t>https://github.com/cyzhao/open-webui</t>
  </si>
  <si>
    <t>a43c16896b2f6b41a82e5556c6b30b7f5295b78e</t>
  </si>
  <si>
    <t>https://github.com/cyzhao/servicefixture</t>
  </si>
  <si>
    <t>75482b9b79270bfda80790ade2b883eefe6c8750</t>
  </si>
  <si>
    <t>https://github.com/cyzhao/supabase</t>
  </si>
  <si>
    <t>59084e547d05345be3d1adb390eed5677f88d0e1</t>
  </si>
  <si>
    <t>https://github.com/rsfutch77/rulette</t>
  </si>
  <si>
    <t>6acac80ed64b51db1312c72cc9767f68aaa2e1c8</t>
  </si>
  <si>
    <t>https://github.com/depli-ds/L-origine-des-mots</t>
  </si>
  <si>
    <t>dbaccdf4bd3351d4a3901dcde9b842437a506533</t>
  </si>
  <si>
    <t>https://github.com/depli-ds/Labo-Depli-DS</t>
  </si>
  <si>
    <t>be764df4d0be14d44f1b636963a7a6a36ccebc83</t>
  </si>
  <si>
    <t>https://github.com/dickymoore/repocopy</t>
  </si>
  <si>
    <t>483c5a10851d1f8c434e9dacce0eb76f93de3fde</t>
  </si>
  <si>
    <t>https://github.com/Cthomasdesign/ChunkMonk</t>
  </si>
  <si>
    <t>1ebfbce9c824bb9e70bbb5dc665d7c3f4eb365a8</t>
  </si>
  <si>
    <t>https://github.com/fr4iser90/PIDEA-Spark</t>
  </si>
  <si>
    <t>55e96801c4c77c3415b0280d67194959db8f44fb</t>
  </si>
  <si>
    <t>https://github.com/Gupta-Aniket/file-context</t>
  </si>
  <si>
    <t>abd68063f191aef755f52cdbfbd8ea0a03721599</t>
  </si>
  <si>
    <t>https://github.com/Gupta-Aniket/Automatic-Attendance</t>
  </si>
  <si>
    <t>6895f22cee39c535a43083f127f48fbbf00be75d</t>
  </si>
  <si>
    <t>https://github.com/Gupta-Aniket/Basic-Calculator</t>
  </si>
  <si>
    <t>6e46d30b95e8f7982de2f152e6df272cdf95aa9c</t>
  </si>
  <si>
    <t>https://github.com/Gupta-Aniket/codeforces</t>
  </si>
  <si>
    <t>a1c87dab8a5a8a465437bb87946b3e43c9463c85</t>
  </si>
  <si>
    <t>Percent timed out</t>
  </si>
  <si>
    <t>https://github.com/Sayitobar/Synthboard:</t>
  </si>
  <si>
    <t>https://github.com/Kamo-Chip/voice-coding:</t>
  </si>
  <si>
    <t>https://github.com/Gupta-Aniket/Remind-Me</t>
  </si>
  <si>
    <t>264d0c0b3e0fe3342ff47161ec98a000bff4751f</t>
  </si>
  <si>
    <t>https://github.com/Gupta-Aniket/Youtube-playlist-downloader</t>
  </si>
  <si>
    <t>c728a42f537267b39f04b75779df37f9ca77abd6</t>
  </si>
  <si>
    <t>https://github.com/Sayitobar/Synthboard</t>
  </si>
  <si>
    <t>77bbf427776d46d2847213f4aca0b260dca1c84e</t>
  </si>
  <si>
    <t>https://github.com/Sayitobar/Audio-Visualizer</t>
  </si>
  <si>
    <t>53d8097b4c6459e21217b62e2c2a6cd5e8ad404d</t>
  </si>
  <si>
    <t>https://github.com/Sayitobar/Bezier-Curve-Generator</t>
  </si>
  <si>
    <t>9f783cfeb940b664071ad37fc2935c391ba2bdb7</t>
  </si>
  <si>
    <t>https://github.com/Sayitobar/Genome-Detector</t>
  </si>
  <si>
    <t>e4d677007fa46157efbe13758df20b04f563337d</t>
  </si>
  <si>
    <t>https://github.com/Sayitobar/Text2Handwriting</t>
  </si>
  <si>
    <t>f6724d8721d2c8995e07448bc11df2ea18379509</t>
  </si>
  <si>
    <t>https://github.com/Sayitobar/XLSX2VCF</t>
  </si>
  <si>
    <t>8e66edf15d431891d572003783e1febc965e27ba</t>
  </si>
  <si>
    <t>https://github.com/Kamo-Chip/voice-coding</t>
  </si>
  <si>
    <t>6a0029a29afceaf9741c250dc0365dc2b0a61647</t>
  </si>
  <si>
    <t>https://github.com/Kamo-Chip/bday</t>
  </si>
  <si>
    <t>fabb787ebc08e6f52ea25f0cbd7df8d47e574707</t>
  </si>
  <si>
    <t>https://github.com/Kamo-Chip/Calculator</t>
  </si>
  <si>
    <t>6532d0f12a8d77391586ebeff25a11b3ed0ee761</t>
  </si>
  <si>
    <t>https://github.com/Kamo-Chip/cs50ai-degrees</t>
  </si>
  <si>
    <t>5e26063059cfa4b5a450679efcad0677be1995b2</t>
  </si>
  <si>
    <t>https://github.com/Kamo-Chip/custom_enumerables</t>
  </si>
  <si>
    <t>71118766e3e4200ef3ffa361ac28f88d61223eca</t>
  </si>
  <si>
    <t>https://github.com/Kamo-Chip/CV-Creator</t>
  </si>
  <si>
    <t>f57ed94ec69b0010ffee79629b7eabc002fcc8bb</t>
  </si>
  <si>
    <t>https://github.com/Kamo-Chip/Dashboard</t>
  </si>
  <si>
    <t>595726ec65d053d8c546f9ba68dc2e422e969fed</t>
  </si>
  <si>
    <t>https://github.com/Kamo-Chip/DiamondsInTheRough</t>
  </si>
  <si>
    <t>49c359c0bf4ec7748bb15b66ad228ccfd0851993</t>
  </si>
  <si>
    <t>https://github.com/Kamo-Chip/Etch-a-sketch</t>
  </si>
  <si>
    <t>eb3ced6791b4ce3167533f1caf5fc1a683a44ad8</t>
  </si>
  <si>
    <t>https://github.com/Kamo-Chip/FundMe</t>
  </si>
  <si>
    <t>325f06aa639799312fa03dff9f73699f214f2f01</t>
  </si>
  <si>
    <t>https://github.com/Kamo-Chip/FundMe-FrontEnd</t>
  </si>
  <si>
    <t>7437836df9d898c5e39ab29a11a73c614da5cc01</t>
  </si>
  <si>
    <t>https://github.com/Kamo-Chip/git-practice</t>
  </si>
  <si>
    <t>2cdbf30805d14a822016075311b821f0e8baa597</t>
  </si>
  <si>
    <t>https://github.com/Kamo-Chip/Hangman</t>
  </si>
  <si>
    <t>cbbee08d363d5352a4e239ab43ec488476fd9c69</t>
  </si>
  <si>
    <t>https://github.com/Kamo-Chip/Jiffy</t>
  </si>
  <si>
    <t>33f9d92e341b86ee0f6fef7cb0101490e1e5898c</t>
  </si>
  <si>
    <t>https://github.com/Kamo-Chip/Kamo-Chip</t>
  </si>
  <si>
    <t>9247af6c464c1fd8fdbcda10dce174e55542f646</t>
  </si>
  <si>
    <t>https://github.com/Kamo-Chip/Library</t>
  </si>
  <si>
    <t>8fac9ba5b0944b0a0ccd93fa93840202fcb8a31a</t>
  </si>
  <si>
    <t>https://github.com/Kamo-Chip/Library-Firebase</t>
  </si>
  <si>
    <t>79522e5c0cd26991b78544a26bcc94c44f351138</t>
  </si>
  <si>
    <t>https://github.com/Kamo-Chip/LocalLibrary</t>
  </si>
  <si>
    <t>fe87f6a78347af65885b0423fff4f8a1ba7db29f</t>
  </si>
  <si>
    <t>https://github.com/Kamo-Chip/mastermind</t>
  </si>
  <si>
    <t>11ed4d773fa241eb18f24347f09e0bdfa140cc0f</t>
  </si>
  <si>
    <t>https://github.com/Kamo-Chip/nft-collection-backend</t>
  </si>
  <si>
    <t>c24063ba5c63e4fa08c5762cee46da8f20c9ebe2</t>
  </si>
  <si>
    <t>https://github.com/Kamo-Chip/nft-collection-frontend</t>
  </si>
  <si>
    <t>a755d5e9690592b69f2f6656fa40b66da09ecd8f</t>
  </si>
  <si>
    <t>https://github.com/Kamo-Chip/node-basic-informational-site</t>
  </si>
  <si>
    <t>6a72be66c53a9257e280becfb287c9ebac97e458</t>
  </si>
  <si>
    <t>https://github.com/Kamo-Chip/outside</t>
  </si>
  <si>
    <t>784b37b7ca2f06631e70a20cc8bdd85abf8114e1</t>
  </si>
  <si>
    <t>https://github.com/Kamo-Chip/Photos4You</t>
  </si>
  <si>
    <t>9c36fb5b8e18191d84a0160b6c0b59a185a2151f</t>
  </si>
  <si>
    <t>https://github.com/Kamo-Chip/Portfolio</t>
  </si>
  <si>
    <t>c40fc118d538d25fadeb43a7a35a281b45aa0c1e</t>
  </si>
  <si>
    <t>https://github.com/Kamo-Chip/product-list</t>
  </si>
  <si>
    <t>ca47a9a19994292371bab4dc0e007730bea4a3d2</t>
  </si>
  <si>
    <t>https://github.com/Kamo-Chip/product-list-api</t>
  </si>
  <si>
    <t>953b0051582e8436d86578173b7331f160f3d57c</t>
  </si>
  <si>
    <t>https://github.com/Kamo-Chip/productlist-task</t>
  </si>
  <si>
    <t>8397b78873a8b467533a874c77548baf2246f406</t>
  </si>
  <si>
    <t>https://github.com/Kamo-Chip/ProjektGreekGods</t>
  </si>
  <si>
    <t>5034763a8aa75eb3eb6d0e95f445e1ca4e071205</t>
  </si>
  <si>
    <t>https://github.com/Kamo-Chip/react-firebase-chat</t>
  </si>
  <si>
    <t>cd0787a8ced795e7acadd9892a97f422f81e61ca</t>
  </si>
  <si>
    <t>https://github.com/Kamo-Chip/react-user-persistence</t>
  </si>
  <si>
    <t>0bd575b8e01f1a7a4d3ca4b180ac69d3b8d52703</t>
  </si>
  <si>
    <t>https://github.com/Kamo-Chip/Restaurant-Page</t>
  </si>
  <si>
    <t>4214d24b865c56e679b1631c450bd7214b0965a9</t>
  </si>
  <si>
    <t>https://github.com/Kamo-Chip/ruby_hangman</t>
  </si>
  <si>
    <t>e4227b79ce57f4142040234dc943659c281f09e2</t>
  </si>
  <si>
    <t>https://github.com/Kamo-Chip/smartcontract-lottery-back-end</t>
  </si>
  <si>
    <t>140cd5ce9d6d437f1c2bb4e474b2629ddd9855b1</t>
  </si>
  <si>
    <t>https://github.com/Kamo-Chip/smartcontract-lottery-front-end</t>
  </si>
  <si>
    <t>0c915a66246a0be6f195a70e1c6bb946e616c8d8</t>
  </si>
  <si>
    <t>https://github.com/Kamo-Chip/student_link</t>
  </si>
  <si>
    <t>6e88869c654518bba6405742a51fbe214663a528</t>
  </si>
  <si>
    <t>https://github.com/Kamo-Chip/task-it</t>
  </si>
  <si>
    <t>92233a156bd0029b9df742f27ef39a8f538dd7bc</t>
  </si>
  <si>
    <t>https://github.com/Kamo-Chip/Testing-Practice</t>
  </si>
  <si>
    <t>2b45f0c059a0d3bc68bd350c7bcadf03af952039</t>
  </si>
  <si>
    <t>https://github.com/Kamo-Chip/TicTacToe</t>
  </si>
  <si>
    <t>233ed864925126cb776014c109eb92384adc9eae</t>
  </si>
  <si>
    <t>https://github.com/Kamo-Chip/tic_tac_toe</t>
  </si>
  <si>
    <t>900a73888ba3ad400e800f6e71f8de14f6da4b64</t>
  </si>
  <si>
    <t>https://github.com/Kamo-Chip/UI-rockpaperscissors</t>
  </si>
  <si>
    <t>39915b47745154c3d6c4c498c532368e47c25ff0</t>
  </si>
  <si>
    <t>https://github.com/Kamo-Chip/Weather-App</t>
  </si>
  <si>
    <t>53927bd2029581a09456c0cce7578f57b265073c</t>
  </si>
  <si>
    <t>https://github.com/Kamo-Chip/WebLaunchZA</t>
  </si>
  <si>
    <t>9cf985fd85960e4c22cb8f1722cd2b6e9eb610f3</t>
  </si>
  <si>
    <t>https://github.com/Kamo-Chip/XandO</t>
  </si>
  <si>
    <t>64f44a7d01c4847018a94ebf2690f7117be30eec</t>
  </si>
  <si>
    <t>https://github.com/khromov/ai-digest</t>
  </si>
  <si>
    <t>5451c7cc1c477d82f75d796081e136a0e7baebd1</t>
  </si>
  <si>
    <t>https://github.com/khromov/acf-local-json-manager</t>
  </si>
  <si>
    <t>5759cb7050ec1ffb141e30aeee242ef698ba2404</t>
  </si>
  <si>
    <t>Expected total</t>
  </si>
  <si>
    <t>Percent with history</t>
  </si>
  <si>
    <t>https://github.com/khromov/aleph-php-operator-lookup</t>
  </si>
  <si>
    <t>042fb3c1f499879212d37042be5945cbd5fa9c5f</t>
  </si>
  <si>
    <t>https://github.com/khromov/alpine-nginx-php8</t>
  </si>
  <si>
    <t>50ee410dfac83be4d5a802fe41f28440cc8d56b5</t>
  </si>
  <si>
    <t>https://github.com/khromov/alpine-nginx-php8-with-country-block</t>
  </si>
  <si>
    <t>c8df13b7e853c47d87315f01facbf2e25a789285</t>
  </si>
  <si>
    <t>https://github.com/khromov/amazing-marvin-bookmarklet-backend</t>
  </si>
  <si>
    <t>f64bea9fb8e45e9d8cd8b938f20dc8c144285802</t>
  </si>
  <si>
    <t>https://github.com/khromov/animal-avatar-generator</t>
  </si>
  <si>
    <t>ebdd1314b26502c8fe7998be69e79daddeffa7d4</t>
  </si>
  <si>
    <t>https://github.com/khromov/appreciation-jar</t>
  </si>
  <si>
    <t>323a0db07a9b224706fa8d7d545325a3a31047e6</t>
  </si>
  <si>
    <t>https://github.com/khromov/assets</t>
  </si>
  <si>
    <t>c1faa49232a63eba9d2423f67ac784b75388f90d</t>
  </si>
  <si>
    <t>https://github.com/khromov/BangleApps</t>
  </si>
  <si>
    <t>58a200b05dc28bd22acab26cd1bc39a9d1bb5071</t>
  </si>
  <si>
    <t>https://github.com/khromov/berghs-dsk-kod-2016</t>
  </si>
  <si>
    <t>e70b650c86264fb971ed87952f900855d4c74eae</t>
  </si>
  <si>
    <t>https://github.com/khromov/bladerunner</t>
  </si>
  <si>
    <t>31ffaf8f9440274ac203e507497f07f4b4dfba52</t>
  </si>
  <si>
    <t>https://github.com/khromov/bookmarklet-starter-kit</t>
  </si>
  <si>
    <t>9b2958bfa170559e4f0914a6c263186b81c044fe</t>
  </si>
  <si>
    <t>https://github.com/khromov/bookworm-heroes-word-finder</t>
  </si>
  <si>
    <t>e901038e4fcf6ed7abf3715f86c1f1807989b318</t>
  </si>
  <si>
    <t>https://github.com/khromov/caprover-duplicati</t>
  </si>
  <si>
    <t>1bcfe08534d5ffbd9fadceb8eb816ddfea0a31a3</t>
  </si>
  <si>
    <t>https://github.com/khromov/caprover-mail-server</t>
  </si>
  <si>
    <t>a4fbb92391f28ae9cc1eccf93013a97bd2385477</t>
  </si>
  <si>
    <t>https://github.com/khromov/chibi-php</t>
  </si>
  <si>
    <t>bd58722366f91306d144bea7991de13819860bd6</t>
  </si>
  <si>
    <t>https://github.com/khromov/clarity</t>
  </si>
  <si>
    <t>f649569a3b2c42d0c7ba0152d1fee0e4a01e18f4</t>
  </si>
  <si>
    <t>https://github.com/khromov/color-of-the-day</t>
  </si>
  <si>
    <t>3df2d6843eba72d5de863ab1be530d89616efd8c</t>
  </si>
  <si>
    <t>14 hours</t>
  </si>
  <si>
    <t>Expected for total (hours)</t>
  </si>
  <si>
    <t>Percent Errored</t>
  </si>
  <si>
    <t>Expected time to clone (hours)</t>
  </si>
  <si>
    <t>https://github.com/brandburner/fabula:</t>
  </si>
  <si>
    <t>https://github.com/TharaneshA/answergit#readme:</t>
  </si>
  <si>
    <t>https://github.com/a-bonus/google-docs-mcp:</t>
  </si>
  <si>
    <t>https://github.com/khromov/cookies-and-content-security-policy-git</t>
  </si>
  <si>
    <t>73e833968987125e996ea73778c3508ad152103a</t>
  </si>
  <si>
    <t>https://github.com/khromov/custom-options-plus-post-in</t>
  </si>
  <si>
    <t>00d33c13e13de522e5045c933e5021a6b0464050</t>
  </si>
  <si>
    <t>https://github.com/khromov/db-city-to-county-sweden</t>
  </si>
  <si>
    <t>ec5009bf93db94879ef0ceb643fb3b23ae7a622b</t>
  </si>
  <si>
    <t>https://github.com/khromov/debian-lamp-script</t>
  </si>
  <si>
    <t>cedf23a549ed5fb4f600d87d690a61e9951a2e64</t>
  </si>
  <si>
    <t>https://github.com/khromov/docker-php-nginx</t>
  </si>
  <si>
    <t>fd76804d4d2a0112a0422f3384a5933aca0f3c85</t>
  </si>
  <si>
    <t>https://github.com/khromov/docker-php-nginx-with-country-block</t>
  </si>
  <si>
    <t>7e894652d2fc42c8a3a60c20839d4628e7e16459</t>
  </si>
  <si>
    <t>https://github.com/khromov/docker-pico-php</t>
  </si>
  <si>
    <t>ca72a410100b1f1757dbf4a7f7071bc7318a31bf</t>
  </si>
  <si>
    <t>https://github.com/khromov/dropbox-public-folder-replacement</t>
  </si>
  <si>
    <t>728bd651416dff5cbdc9f7a2b205a5454cebd8b0</t>
  </si>
  <si>
    <t>https://github.com/khromov/easy-inputs</t>
  </si>
  <si>
    <t>10edc2e951a4f5bdb5910688b0f16584c6f135a1</t>
  </si>
  <si>
    <t>https://github.com/khromov/ebeco-electricity-price-automation</t>
  </si>
  <si>
    <t>3093a2d126b8d28a5119a697992f53955deb81e0</t>
  </si>
  <si>
    <t>https://github.com/khromov/firebase-sveltekit-chat</t>
  </si>
  <si>
    <t>15232b47f76901dee1b3168874d76472fe5ddb6a</t>
  </si>
  <si>
    <t>https://github.com/khromov/frankenphp-wordpress</t>
  </si>
  <si>
    <t>6b753a4537e169c4c0b3d444d7e82ecbcbf1ea6f</t>
  </si>
  <si>
    <t>https://github.com/khromov/gutenberg-acf-workshop</t>
  </si>
  <si>
    <t>303c86ea23803b55ab0a84fc39430e2b0d86b43d</t>
  </si>
  <si>
    <t>https://github.com/khromov/gutenberg-course</t>
  </si>
  <si>
    <t>90cac630ea99f2b5a7f2b2736201f7ef896e0387</t>
  </si>
  <si>
    <t>https://github.com/khromov/heroku-deploy</t>
  </si>
  <si>
    <t>40a7882f1d546cc2b0eaea55af0991e51c52f431</t>
  </si>
  <si>
    <t>https://github.com/khromov/K5</t>
  </si>
  <si>
    <t>fbc528413ec52c2ad9814c6a69cb6c2f5776de87</t>
  </si>
  <si>
    <t>https://github.com/khromov/khromov</t>
  </si>
  <si>
    <t>8cb845699363fad68bf5f485003c405280ee5160</t>
  </si>
  <si>
    <t>https://github.com/khromov/khromov.github.io</t>
  </si>
  <si>
    <t>https://github.com/khromov/kubernetes-do</t>
  </si>
  <si>
    <t>61eab3eca59f7ffebb50becdadf2526b73f4f24f</t>
  </si>
  <si>
    <t>https://github.com/khromov/limitlessled-christmas</t>
  </si>
  <si>
    <t>b73cc72652e9ffd5814980ff2e1f1f0486ab0e6e</t>
  </si>
  <si>
    <t>https://github.com/khromov/mainwp-remote-backup-extension</t>
  </si>
  <si>
    <t>d791733f94a2d31c34a39b9a0f10e746b6537eaf</t>
  </si>
  <si>
    <t>https://github.com/khromov/minipin</t>
  </si>
  <si>
    <t>fa362cc82c16820110f442e5ad8dcbe7dc0b9642</t>
  </si>
  <si>
    <t>https://github.com/khromov/modern-javascript-notes</t>
  </si>
  <si>
    <t>6bcc599ec5eef750c51fd1d81828bd7f73c00d6c</t>
  </si>
  <si>
    <t>https://github.com/khromov/mustache-wordpress-cache</t>
  </si>
  <si>
    <t>12a472b517b093c7e139ade328816d4be0ef6d52</t>
  </si>
  <si>
    <t>https://github.com/khromov/navigation-promise-cancel-demo</t>
  </si>
  <si>
    <t>ba6055a935c69f7ddc304249e99404a8787248b0</t>
  </si>
  <si>
    <t>https://github.com/khromov/next-js-monorepo</t>
  </si>
  <si>
    <t>5f8b91910c14deb126a878eb52d0e723dcf04cae</t>
  </si>
  <si>
    <t>https://github.com/khromov/nextjs-ssr-cdk-aws</t>
  </si>
  <si>
    <t>00d31cc663cbb66cf45970601c11273b4d576d9b</t>
  </si>
  <si>
    <t>https://github.com/khromov/php-cdn-pull</t>
  </si>
  <si>
    <t>59f2d87d2044a402e0bf6d7afb704f05e7046d03</t>
  </si>
  <si>
    <t>https://github.com/khromov/awp-functionality</t>
  </si>
  <si>
    <t>a28207c9cb38067e799f8d88c275dc7fb6767cd4</t>
  </si>
  <si>
    <t>https://github.com/khromov/batcache</t>
  </si>
  <si>
    <t>e31e775972e2fa2f91ad2aa6db95e5c6cb402f9d</t>
  </si>
  <si>
    <t>https://github.com/khromov/Disable-Users</t>
  </si>
  <si>
    <t>bcbe940246f8c964909225f688adf1cbf7acb5c7</t>
  </si>
  <si>
    <t>https://github.com/khromov/docker-node-hello-world</t>
  </si>
  <si>
    <t>fd9a96f7866d508e28a1870c9a3c83c28b78df28</t>
  </si>
  <si>
    <t>https://github.com/khromov/editor</t>
  </si>
  <si>
    <t>04bf2d71ec720a2bfbc26118cafa5f5228980829</t>
  </si>
  <si>
    <t>https://github.com/khromov/git-history-rewrite</t>
  </si>
  <si>
    <t>c91ea43abb5e78e16bdd0a4479d5baec7f216d1e</t>
  </si>
  <si>
    <t>https://github.com/khromov/kodcoach.se</t>
  </si>
  <si>
    <t>c10a17b61944ced2666dd30ebcceefd3fb7aa4c4</t>
  </si>
  <si>
    <t>https://github.com/khromov/me_cleaner</t>
  </si>
  <si>
    <t>2d8b6192da4e4aa314be8526492666a051fb3f4e</t>
  </si>
  <si>
    <t>https://github.com/khromov/phansible</t>
  </si>
  <si>
    <t>8456fc2275e82d7a48bb7e9e9ee512e52841c526</t>
  </si>
  <si>
    <t>https://github.com/khromov/php-instant-redirect</t>
  </si>
  <si>
    <t>a981cceb5a1fb4b9e1a299802a736be7b6cf9bcd</t>
  </si>
  <si>
    <t>https://github.com/khromov/php-microframework</t>
  </si>
  <si>
    <t>https://github.com/khromov/php-microtemplate</t>
  </si>
  <si>
    <t>ee36bf4f57d1e9437c510422c9ea5882a3862599</t>
  </si>
  <si>
    <t>https://github.com/khromov/php-microtemplate-oop</t>
  </si>
  <si>
    <t>bbc80de3302cfaa5b9217ec24908b7a6c81b8e81</t>
  </si>
  <si>
    <t>https://github.com/khromov/php-src</t>
  </si>
  <si>
    <t>1cdee9a5d8f0a116ef0d7c96e528f09559ec11ce</t>
  </si>
  <si>
    <t>https://github.com/khromov/php-wp-docker</t>
  </si>
  <si>
    <t>91e8f7c768f24e512242632b08453dfe6c1bdcc0</t>
  </si>
  <si>
    <t>https://github.com/khromov/polylang-woocommerce-multi-currency</t>
  </si>
  <si>
    <t>51548739eea1c0ec8f381832ee86bf685031c7a7</t>
  </si>
  <si>
    <t>https://github.com/khromov/python-foreground-docker</t>
  </si>
  <si>
    <t>37e40d0b4738826ca70da403317a7a4063e5d225</t>
  </si>
  <si>
    <t>https://github.com/khromov/Query-Wrangler</t>
  </si>
  <si>
    <t>760ee303264329fb336ddbd85c2871c0cb399bfb</t>
  </si>
  <si>
    <t>https://github.com/khromov/redis-01</t>
  </si>
  <si>
    <t>https://github.com/khromov/router</t>
  </si>
  <si>
    <t>75f432d44bc8f4400eb2ca46dea6429a9e07c478</t>
  </si>
  <si>
    <t>https://github.com/khromov/saml-20-single-sign-on</t>
  </si>
  <si>
    <t>5200ae20b8ab535f44b4adf3b2b6aa1e1fddf1c2</t>
  </si>
  <si>
    <t>https://github.com/khromov/self-hosted-sveltekit-demo</t>
  </si>
  <si>
    <t>aa86f00f2e324c2cc82b47e5d5ec39543f5aa943</t>
  </si>
  <si>
    <t>https://github.com/khromov/service-watchdog</t>
  </si>
  <si>
    <t>cfd4d5719362bc166050e321a002ebb746409364</t>
  </si>
  <si>
    <t>https://github.com/khromov/sitemap-cache-warmer</t>
  </si>
  <si>
    <t>255e12526242c0174a5a122ac15c0ad754ccf7d0</t>
  </si>
  <si>
    <t>https://github.com/khromov/sk-data-fetching-demo</t>
  </si>
  <si>
    <t>f7cea88b0c9d4da18777698db1b233dc3e131deb</t>
  </si>
  <si>
    <t>https://github.com/khromov/sk-rollup-replace-bug-repro</t>
  </si>
  <si>
    <t>872610f850f372d840018463d26cf26153511ad3</t>
  </si>
  <si>
    <t>https://github.com/khromov/snippets-child-theme</t>
  </si>
  <si>
    <t>94921e3de3f6a8472b0152b89e770a3de9dae2ab</t>
  </si>
  <si>
    <t>https://github.com/khromov/static-adapter-demo</t>
  </si>
  <si>
    <t>31abca4b260970336ca35a87eebd084b129dc815</t>
  </si>
  <si>
    <t>https://github.com/khromov/statistical-classifier</t>
  </si>
  <si>
    <t>2bc51e68a319ca3fc1365a659c8f565029667221</t>
  </si>
  <si>
    <t>https://github.com/khromov/susty</t>
  </si>
  <si>
    <t>f98a532aca1beeaf73f18381a2b7a4fbec26a62c</t>
  </si>
  <si>
    <t>https://github.com/khromov/svelte</t>
  </si>
  <si>
    <t>bde42d56764337e000ca72df921fb2d168067af1</t>
  </si>
  <si>
    <t>https://github.com/khromov/sveltekit-capacitor-starter</t>
  </si>
  <si>
    <t>8017db769f50e1aac99f4e2f12a3cb3aeab4b683</t>
  </si>
  <si>
    <t>https://github.com/khromov/sveltekit-chat</t>
  </si>
  <si>
    <t>dc168dab70da704e2dea05edea46fd0bf47246d1</t>
  </si>
  <si>
    <t>https://github.com/khromov/sveltekit-dynamic-component-load-demo</t>
  </si>
  <si>
    <t>ab3e4a268bd6905d7ccae24c28617e566d84df0b</t>
  </si>
  <si>
    <t>https://github.com/khromov/sveltekit-forms-loading-indicator-demo</t>
  </si>
  <si>
    <t>a4d7acae0cceab8a1605f0651d5f522dd40f0476</t>
  </si>
  <si>
    <t>https://github.com/khromov/sveltekit-import-jar-asset</t>
  </si>
  <si>
    <t>bacbbeb7faf5ce470843b2f8a7bbc35d37b58edf</t>
  </si>
  <si>
    <t>https://github.com/khromov/sveltekit-options-405-repro</t>
  </si>
  <si>
    <t>400da0830cf098ed685eebcc886ef9210d52f556</t>
  </si>
  <si>
    <t>https://github.com/khromov/sveltekit-socket-io-example</t>
  </si>
  <si>
    <t>83afbacdfbb203c2d978130b330eb468fc41520c</t>
  </si>
  <si>
    <t>https://github.com/khromov/sveltekit-svelte-head-hierarchy-reproduction</t>
  </si>
  <si>
    <t>bd6d8609676b2b8e512ee174428e72c0456056ca</t>
  </si>
  <si>
    <t>https://github.com/khromov/sveltekit-use-action-forms</t>
  </si>
  <si>
    <t>41062393fe5e936cc9214cb0dcaa29a306a42270</t>
  </si>
  <si>
    <t>https://github.com/khromov/tickset</t>
  </si>
  <si>
    <t>4ea533d5b154c3f7f35ee2312f20357dc9d6a412</t>
  </si>
  <si>
    <t>https://github.com/khromov/ToroPHP</t>
  </si>
  <si>
    <t>6bb68e4124f2326a9a3fa78ac5bebe0f9b59ee66</t>
  </si>
  <si>
    <t>https://github.com/khromov/TrayLightControl</t>
  </si>
  <si>
    <t>55de0b0d2655ac3f396405d6edd6ddb0553692bc</t>
  </si>
  <si>
    <t>https://github.com/khromov/umami</t>
  </si>
  <si>
    <t>0cb14f3f6c4fd542da0f20ae55849f88ce357d6d</t>
  </si>
  <si>
    <t>https://github.com/khromov/vercel-php-repro</t>
  </si>
  <si>
    <t>9b07a9eab1137cab7f57ea177546789f203ca8f2</t>
  </si>
  <si>
    <t>https://github.com/khromov/wc-2017-slack-poster</t>
  </si>
  <si>
    <t>d6bc736ec450bc135b71b75fc102f69110310a36</t>
  </si>
  <si>
    <t>https://github.com/khromov/widget-logic</t>
  </si>
  <si>
    <t>2ffd34776da35b76c51d53c0a0c114034276994c</t>
  </si>
  <si>
    <t>https://github.com/khromov/wordcamp-se-2017-css</t>
  </si>
  <si>
    <t>3d04abc5306257d2e16069ddc39d23e6bdc39d08</t>
  </si>
  <si>
    <t>https://github.com/khromov/wordcamper-news-plugin</t>
  </si>
  <si>
    <t>d124545d9ebe6afc686be74995d353dc76e534c9</t>
  </si>
  <si>
    <t>https://github.com/khromov/wordcamper-news-theme</t>
  </si>
  <si>
    <t>f8f7857c312acfa322d3b118ec7bf4259b4fe6ee</t>
  </si>
  <si>
    <t>https://github.com/khromov/WordPress</t>
  </si>
  <si>
    <t>2ba7f3da75442b1cf97c4f4890bd30d34bedc9c6</t>
  </si>
  <si>
    <t>https://github.com/khromov/wordpress-badge-generator</t>
  </si>
  <si>
    <t>47a2305fba39f6642dbbe4962a9fba802abcb100</t>
  </si>
  <si>
    <t>https://github.com/khromov/wordpress-dot-org-api</t>
  </si>
  <si>
    <t>500bd002b4c97f1dfc4b220055b9c93f95459c3e</t>
  </si>
  <si>
    <t>https://github.com/khromov/wp-admin-performance-bar</t>
  </si>
  <si>
    <t>15a9fe4b30b080bfa150d14655e83f4aadea343f</t>
  </si>
  <si>
    <t>https://github.com/khromov/wp-almost-nothing-theme</t>
  </si>
  <si>
    <t>57e7f35f387c47ab62cfe208032d34920e3893a6</t>
  </si>
  <si>
    <t>https://github.com/khromov/wp-atoms</t>
  </si>
  <si>
    <t>5c110ea94d86430a34390ce0292258329fe2a0a8</t>
  </si>
  <si>
    <t>https://github.com/khromov/wp-better-starter-widget</t>
  </si>
  <si>
    <t>d3afbff9ac55b290f83aafd378187f2cb40f62e6</t>
  </si>
  <si>
    <t>https://github.com/khromov/wp-code-quality-db</t>
  </si>
  <si>
    <t>https://github.com/khromov/wp-crosslink</t>
  </si>
  <si>
    <t>927dd8979176ced7c56c0881da985c7d669d3832</t>
  </si>
  <si>
    <t>https://github.com/khromov/wp-custom-cpt</t>
  </si>
  <si>
    <t>e20347b8bb2f7d9f73c9d5b6ae4ee0f16b5fa4a9</t>
  </si>
  <si>
    <t>https://github.com/khromov/wp-custom-fields</t>
  </si>
  <si>
    <t>ea99243b4cc172e621f2521ff246470a5d24a6b5</t>
  </si>
  <si>
    <t>https://github.com/khromov/wp-custom-shortcodes</t>
  </si>
  <si>
    <t>418de07a71501268e8489d3edee1102a1ae170bf</t>
  </si>
  <si>
    <t>https://github.com/khromov/wp-distraction-free-writing-mode-themes</t>
  </si>
  <si>
    <t>a8cddc78c6ca81607e7f95aa7a56c4bb0d0268fa</t>
  </si>
  <si>
    <t>https://github.com/khromov/wp-email-obfuscate-shortcode</t>
  </si>
  <si>
    <t>0ba4aba62c12c74fbc1f335261b7c85eff2e09e9</t>
  </si>
  <si>
    <t>https://github.com/khromov/wp-english-wp-admin</t>
  </si>
  <si>
    <t>4b80cd0f638fc4ce27e94341dead179871efbbeb</t>
  </si>
  <si>
    <t>https://github.com/khromov/wp-facebook-oembed</t>
  </si>
  <si>
    <t>309cce76f017b0b12bad87d4945a2d162d8c3e2d</t>
  </si>
  <si>
    <t>https://github.com/khromov/wp-gravityforms-multisite-settings</t>
  </si>
  <si>
    <t>582007e9cb86d879b524f118c4c93f8a78b09cca</t>
  </si>
  <si>
    <t>https://github.com/khromov/wp-instacron</t>
  </si>
  <si>
    <t>265b0f3969491bc76f950e236a3e5498073b8181</t>
  </si>
  <si>
    <t>https://github.com/khromov/wp-instant-articles</t>
  </si>
  <si>
    <t>f9a0fcdf1c24006e8f43a67e1e26db78b061d224</t>
  </si>
  <si>
    <t>https://github.com/khromov/wp-integrator</t>
  </si>
  <si>
    <t>https://github.com/khromov/WP-Markdown-SyntaxHighlighter</t>
  </si>
  <si>
    <t>76594568e249c10b39e564c42b1716b8993225a4</t>
  </si>
  <si>
    <t>https://github.com/khromov/wp-metrics-svn</t>
  </si>
  <si>
    <t>a0bdd9663a38eb7d5d7cff6c99866a05865fd4b3</t>
  </si>
  <si>
    <t>https://github.com/khromov/wp-multifilter</t>
  </si>
  <si>
    <t>bc337c688f9115645757349af4733053c4fbd784</t>
  </si>
  <si>
    <t>https://github.com/khromov/wp-obscure-captcha</t>
  </si>
  <si>
    <t>6f38831bb54b0374949bbb094b3761ca97a331bf</t>
  </si>
  <si>
    <t>https://github.com/khromov/wp-onus</t>
  </si>
  <si>
    <t>ca43366be0b091111d3d5af259accf2e4413c7f5</t>
  </si>
  <si>
    <t>https://github.com/khromov/wp-onus-test-plugin-1</t>
  </si>
  <si>
    <t>cc9a2778bbf415cfe12ba0f649eb774029c1f1ea</t>
  </si>
  <si>
    <t>https://github.com/khromov/wp-onus-test-plugin-2</t>
  </si>
  <si>
    <t>d88cee013154bce6d429a39143f275928d2ab5c7</t>
  </si>
  <si>
    <t>https://github.com/khromov/wp-performance-profiler</t>
  </si>
  <si>
    <t>a28e80f98465e37bc723a5ce181c7dcfb5dc990a</t>
  </si>
  <si>
    <t>https://github.com/khromov/wp-plugin-auto-update</t>
  </si>
  <si>
    <t>eff0cf9115939be94852a74bfc5e9cf8015d61e5</t>
  </si>
  <si>
    <t>https://github.com/khromov/wp-query-monitor-included-files</t>
  </si>
  <si>
    <t>d367d1ed18110918cd480001202e55f0da7dd58b</t>
  </si>
  <si>
    <t>https://github.com/khromov/wp-query-monitor-sage-template</t>
  </si>
  <si>
    <t>8ca40b2fccb75a19b0197696258a0a6930cafe50</t>
  </si>
  <si>
    <t>https://github.com/khromov/wp-remember-me-always-checked</t>
  </si>
  <si>
    <t>b6c8233981a58c5f33a9e6655a884f444522b878</t>
  </si>
  <si>
    <t>https://github.com/khromov/wp-request-buster</t>
  </si>
  <si>
    <t>16bb26116228a6c6090214b091725070d894e5ed</t>
  </si>
  <si>
    <t>https://github.com/khromov/wp-signup-multisite-password</t>
  </si>
  <si>
    <t>e661f733c7a262e26ad0c8da54fad117b03695f9</t>
  </si>
  <si>
    <t>https://github.com/khromov/wp-simple-popular-posts</t>
  </si>
  <si>
    <t>27b17c85c5ceca32a64404c5fb6108b4d2fd6cb0</t>
  </si>
  <si>
    <t>https://github.com/khromov/wp-simple-redirect</t>
  </si>
  <si>
    <t>088bc90e9162dda253d551a9ddc9a4f84026ba86</t>
  </si>
  <si>
    <t>https://github.com/khromov/wp-status</t>
  </si>
  <si>
    <t>e3b7bbc8e06a382b7871b1bda1108ac9f37bb683</t>
  </si>
  <si>
    <t>https://github.com/khromov/wp-strict-error-remover</t>
  </si>
  <si>
    <t>80293dffecc9e2f399fe3ff9c43729ea71b5042e</t>
  </si>
  <si>
    <t>https://github.com/khromov/wp-thumbnail-upscale</t>
  </si>
  <si>
    <t>26a52e1b87f72948e4043f9aac455de25b331beb</t>
  </si>
  <si>
    <t>https://github.com/khromov/wp-types-simple-google-map</t>
  </si>
  <si>
    <t>de8e3ffb8fdad228ed178d100b171b56bba03fc1</t>
  </si>
  <si>
    <t>https://github.com/khromov/wp-underconstruction</t>
  </si>
  <si>
    <t>9cc93928daf0ad1e7d76e4f284153d263e562a70</t>
  </si>
  <si>
    <t>https://github.com/khromov/wp-user-audit</t>
  </si>
  <si>
    <t>8fde882a4480a697008fae1b7c34ca8113833dad</t>
  </si>
  <si>
    <t>https://github.com/khromov/wp-vc-template-manager</t>
  </si>
  <si>
    <t>0dfa2ef2a9c3876fc99349e54ee2348de9b2e42f</t>
  </si>
  <si>
    <t>https://github.com/khromov/wp-views-output-formats</t>
  </si>
  <si>
    <t>7c449e10378fd59b44b0b302234a4bc6e9a0c022</t>
  </si>
  <si>
    <t>https://github.com/khromov/wp-warm-cache</t>
  </si>
  <si>
    <t>fdbefec64045fe393146f95e977351627a285eb5</t>
  </si>
  <si>
    <t>https://github.com/khromov/wp-widget-boss</t>
  </si>
  <si>
    <t>194394dc011c66cdf4234fee55e258df3b25dfe3</t>
  </si>
  <si>
    <t>https://github.com/khromov/wp-wp-views-shortcode-get-attachment-image</t>
  </si>
  <si>
    <t>cfd3b9d6e1825148a0fc481d084fdf023173a8ea</t>
  </si>
  <si>
    <t>https://github.com/khromov/wp-wp-views-shortcode-get-posts-field</t>
  </si>
  <si>
    <t>9deadef4194938762bdfadd28609ef85ece12e61</t>
  </si>
  <si>
    <t>https://github.com/khromov/wp-wp-views-view-template-widget</t>
  </si>
  <si>
    <t>0d26648b0b187b7caba5f2aa76d2f4e040af9c4a</t>
  </si>
  <si>
    <t>https://github.com/khromov/wp-wpml-geoip-browser-language-redirect</t>
  </si>
  <si>
    <t>f288413c90e3acc75cfa772ccfa0d4c2365c7202</t>
  </si>
  <si>
    <t>https://github.com/normaltusker/kotlin-mcp-server</t>
  </si>
  <si>
    <t>5b74b26bbfc417e627f620474ab4eefd93949083</t>
  </si>
  <si>
    <t>https://github.com/oespinozai/subkiller</t>
  </si>
  <si>
    <t>d43974c5feb48ff626d57060812c1fc683f3396e</t>
  </si>
  <si>
    <t>https://github.com/johnhuang316/code-index-mcp</t>
  </si>
  <si>
    <t>c45e9396f8ddc0054fd2619809136c75864ad126</t>
  </si>
  <si>
    <t>https://github.com/johnhuang316/GovParkDataAggregator</t>
  </si>
  <si>
    <t>b65d237a9c9eb78101ffda847381d556ccb4d67b</t>
  </si>
  <si>
    <t>https://github.com/mdrzn/claude-screenshot-uploader</t>
  </si>
  <si>
    <t>ae9da176f6ebc7f8e09e3a084672adb699b3ddfc</t>
  </si>
  <si>
    <t>https://github.com/mdrzn/register</t>
  </si>
  <si>
    <t>cad0e64559bee6dab38241ecfecfae640eb2e685</t>
  </si>
  <si>
    <t>https://github.com/Aldhanekaa/ShadcnVaults</t>
  </si>
  <si>
    <t>b30d311344fe7a7e65892de5c6d5fc019beb98cc</t>
  </si>
  <si>
    <t>https://github.com/Aldhanekaa/8Values</t>
  </si>
  <si>
    <t>9a61364b9bcf0d91a8ec7c9b3491b4850881e92d</t>
  </si>
  <si>
    <t>https://github.com/Aldhanekaa/aldhaneka-portfolio</t>
  </si>
  <si>
    <t>54a8730279eccc33663fe152c3b6734a04ab2c38</t>
  </si>
  <si>
    <t>https://github.com/Aldhanekaa/Aldhanekaa-archived</t>
  </si>
  <si>
    <t>beb4b1c9af64a602163490ea13d68fe507db46c8</t>
  </si>
  <si>
    <t>https://github.com/Aldhanekaa/aldhanekaa.github.io</t>
  </si>
  <si>
    <t>28f71dc082cd89abba864736e9fdf298298b4467</t>
  </si>
  <si>
    <t>https://github.com/Aldhanekaa/amp-story</t>
  </si>
  <si>
    <t>14ed8521842697c226a8d34bf5f335f0a71f23b2</t>
  </si>
  <si>
    <t>https://github.com/Aldhanekaa/angular-mts-technonatura</t>
  </si>
  <si>
    <t>8ad942bcc74afdc2a98d33042b482be3049e4545</t>
  </si>
  <si>
    <t>https://github.com/Aldhanekaa/boilerplate-express</t>
  </si>
  <si>
    <t>8c93152ecfc9831be0c933e7ce01ead70ebe7838</t>
  </si>
  <si>
    <t>https://github.com/Aldhanekaa/boilerplate-project-headerparser</t>
  </si>
  <si>
    <t>c2ab9d45fde8862efbf22b7d8b6b7e3fddd44210</t>
  </si>
  <si>
    <t>https://github.com/Aldhanekaa/Ceres-N-Meses</t>
  </si>
  <si>
    <t>524fc68470c2137e5c9382e9f492d7894e220f39</t>
  </si>
  <si>
    <t>https://github.com/Aldhanekaa/Ceres-N-Meses-Website</t>
  </si>
  <si>
    <t>40d9981578258938f39a13bf1425f4bb3d978f7b</t>
  </si>
  <si>
    <t>https://github.com/Aldhanekaa/CPP</t>
  </si>
  <si>
    <t>648af1b6421e77e27d605eb4c01baa24cf14aa22</t>
  </si>
  <si>
    <t>https://github.com/Aldhanekaa/D1-Starter</t>
  </si>
  <si>
    <t>9064958fba02336ab42db85b3cd85ebc1f6aecd6</t>
  </si>
  <si>
    <t>https://github.com/Aldhanekaa/Data-Visualization-with-D3</t>
  </si>
  <si>
    <t>2faf641ef08f460335e92cd807a2ab5207b10c61</t>
  </si>
  <si>
    <t>https://github.com/Aldhanekaa/DelusionsGame</t>
  </si>
  <si>
    <t>95c81f2714db6a653e229959873bd710c2fad0ae</t>
  </si>
  <si>
    <t>https://github.com/Aldhanekaa/Drum-Machine</t>
  </si>
  <si>
    <t>a9b901df2f92a14b80b3345906f6fc1711f7652f</t>
  </si>
  <si>
    <t>https://github.com/Aldhanekaa/experiot</t>
  </si>
  <si>
    <t>c8a9a1cbb960f727fc30472700f94cd836222b06</t>
  </si>
  <si>
    <t>https://github.com/Aldhanekaa/face-recognition-pipeline</t>
  </si>
  <si>
    <t>https://github.com/Aldhanekaa/FIRST-Tech-Challenge-Tunings</t>
  </si>
  <si>
    <t>https://github.com/Aldhanekaa/foorum-website</t>
  </si>
  <si>
    <t>c030e568e80c778e2757a52a5d9ee3c471124804</t>
  </si>
  <si>
    <t>https://github.com/Aldhanekaa/FrontEndMentor</t>
  </si>
  <si>
    <t>db89a306cc84d36b099766ac0e9c99e0fbc78c0c</t>
  </si>
  <si>
    <t>https://github.com/Aldhanekaa/FTC-CenterStage-TeamProp-TFLite-Models</t>
  </si>
  <si>
    <t>https://github.com/Aldhanekaa/FTC-Courses</t>
  </si>
  <si>
    <t>https://github.com/Aldhanekaa/FTC-Samples-code</t>
  </si>
  <si>
    <t>b0d7f099864a1133fee08c9a343d110e4a876917</t>
  </si>
  <si>
    <t>https://github.com/Aldhanekaa/Golang-audio-chat</t>
  </si>
  <si>
    <t>6367ae1212ad9a8a59b47dda66339fee85e504e8</t>
  </si>
  <si>
    <t>https://github.com/Aldhanekaa/google-calendar</t>
  </si>
  <si>
    <t>68781fbf5f791e52706b38ccc44bb65592d342bf</t>
  </si>
  <si>
    <t>https://github.com/Aldhanekaa/GoogleBardObsidian</t>
  </si>
  <si>
    <t>c008feac1c3b2739ac5eac72147798e666519e37</t>
  </si>
  <si>
    <t>https://github.com/Aldhanekaa/GSR-Empire-BOT</t>
  </si>
  <si>
    <t>4f493b181b711bd42fa4883381a0f3cf435b85b1</t>
  </si>
  <si>
    <t>https://github.com/Aldhanekaa/hot-toast</t>
  </si>
  <si>
    <t>1a80331a029232d5a7501ecdc0675dc759ba5b44</t>
  </si>
  <si>
    <t>https://github.com/Aldhanekaa/imdb-API</t>
  </si>
  <si>
    <t>f3d23c3bf3203ecb1d08d66204d66dff53356640</t>
  </si>
  <si>
    <t>https://github.com/Aldhanekaa/JavaKnights-Website</t>
  </si>
  <si>
    <t>035334002864de92273685a26a69c9b1e1483fc0</t>
  </si>
  <si>
    <t>https://github.com/Aldhanekaa/JS-rock-paper-scissors-game</t>
  </si>
  <si>
    <t>fcd39eb70fe3a1522fe034508c2330f6c453f86f</t>
  </si>
  <si>
    <t>https://github.com/Aldhanekaa/JS-Typing-TestV1.github.io</t>
  </si>
  <si>
    <t>696ff26f4e188216b1e7c24c4b9a74092843363b</t>
  </si>
  <si>
    <t>https://github.com/Aldhanekaa/JS_Documentation_Page.github.io</t>
  </si>
  <si>
    <t>e21e33e8a2254535fd092662a45da420d2d85fd3</t>
  </si>
  <si>
    <t>https://github.com/Aldhanekaa/Landing-page-WebHost</t>
  </si>
  <si>
    <t>60bb960c7ec73d9a502b6972dd308e1ae4e65b5a</t>
  </si>
  <si>
    <t>https://github.com/Aldhanekaa/Markdown-Previewer</t>
  </si>
  <si>
    <t>4d534491997e4194e3ec181840d3fe59ec6f950b</t>
  </si>
  <si>
    <t>https://github.com/Aldhanekaa/meLink-Deprecated</t>
  </si>
  <si>
    <t>b5dbd7c9bbddb7cc9d56f2ec1195b9adcf32ace3</t>
  </si>
  <si>
    <t>https://github.com/Aldhanekaa/Motivation-Generator-Neumorphism-Design</t>
  </si>
  <si>
    <t>f4331cc04aefe397e9b528a753bd408c38f1989e</t>
  </si>
  <si>
    <t>https://github.com/Aldhanekaa/mts-technonatura-website</t>
  </si>
  <si>
    <t>bd2d1eace639bd4e533580ff0d241e291e4a47d0</t>
  </si>
  <si>
    <t>https://github.com/Aldhanekaa/my-FCC-codes</t>
  </si>
  <si>
    <t>a94353c688c8d8a60ce9a9c54b89d2bec4872551</t>
  </si>
  <si>
    <t>https://github.com/Aldhanekaa/my-website</t>
  </si>
  <si>
    <t>497e9230b65dad4dd1fdb019c7be61287032cbe5</t>
  </si>
  <si>
    <t>https://github.com/Aldhanekaa/myBary</t>
  </si>
  <si>
    <t>323943ed2cefbf8453eb73010ad1551229539631</t>
  </si>
  <si>
    <t>https://github.com/Aldhanekaa/myFirstGithubPage.github.io</t>
  </si>
  <si>
    <t>2f9a48fc851c8d12fbccbc496b18fb9eb203011f</t>
  </si>
  <si>
    <t>https://github.com/Aldhanekaa/nano_ov5647</t>
  </si>
  <si>
    <t>c6efc28c818b5d7199283d689ae81a4ebbe410b0</t>
  </si>
  <si>
    <t>https://github.com/Aldhanekaa/nextjs-material-kit-react</t>
  </si>
  <si>
    <t>ac3c2edafef4358b1227f24397b2813edb0674a7</t>
  </si>
  <si>
    <t>https://github.com/Aldhanekaa/Old-Stuff</t>
  </si>
  <si>
    <t>febc8fb5de1784645a0b8fe385d5cc35ec32d957</t>
  </si>
  <si>
    <t>https://github.com/Aldhanekaa/OverlySimpleNeuralNetwork</t>
  </si>
  <si>
    <t>89b22fedfce194086de656acdda51e5e34d34a12</t>
  </si>
  <si>
    <t>https://github.com/Aldhanekaa/Panager</t>
  </si>
  <si>
    <t>1f2d58c00c6072c435c538bfaa5f368429fbecb2</t>
  </si>
  <si>
    <t>https://github.com/Aldhanekaa/Pomodro-Clock</t>
  </si>
  <si>
    <t>667c25b11aacd9e25f5c6f7853153ffdedeb3ce5</t>
  </si>
  <si>
    <t>https://github.com/Aldhanekaa/python-stuffs</t>
  </si>
  <si>
    <t>0774834ed9f4b1dcbb5ba0ed88581670275e96b8</t>
  </si>
  <si>
    <t>https://github.com/Aldhanekaa/Pytorch-VisionProcessing-Box-Outputs</t>
  </si>
  <si>
    <t>https://github.com/Aldhanekaa/Quran</t>
  </si>
  <si>
    <t>5da2cf5376efe2cb5f63c3b8adaccde8b2eac745</t>
  </si>
  <si>
    <t>https://github.com/Aldhanekaa/Random-Quote-Machine</t>
  </si>
  <si>
    <t>825173ccd1d3deeef5d46c7b9f580ace7bfe9da0</t>
  </si>
  <si>
    <t>https://github.com/Aldhanekaa/react-website</t>
  </si>
  <si>
    <t>35531bee5edbc2e176dd1b4ace4d5bbfc42eb6cb</t>
  </si>
  <si>
    <t>https://github.com/Aldhanekaa/React.js-Calculator</t>
  </si>
  <si>
    <t>eecee5ea0237afeeafead2affe418b4d4f6c0cc3</t>
  </si>
  <si>
    <t>https://github.com/Aldhanekaa/road-runner-advanced-quickstart</t>
  </si>
  <si>
    <t>https://github.com/Aldhanekaa/RoadRunner-CustomBackground</t>
  </si>
  <si>
    <t>https://github.com/Aldhanekaa/Sclope-Engineering</t>
  </si>
  <si>
    <t>5c195bc0ff33a407a7a25c20f70fd01a41c0a2a7</t>
  </si>
  <si>
    <t>https://github.com/Aldhanekaa/shoru</t>
  </si>
  <si>
    <t>b3896d549f13d819a1d5f1be4bd01dc9adb1c03e</t>
  </si>
  <si>
    <t>https://github.com/Aldhanekaa/Single-price-grid-component</t>
  </si>
  <si>
    <t>9b43cb5f17713fcd64cb2f05add31946de78434e</t>
  </si>
  <si>
    <t>https://github.com/Aldhanekaa/TDS-Sensor-Arduino</t>
  </si>
  <si>
    <t>33740b83f5948feccfe10fd80aca51c925944daa</t>
  </si>
  <si>
    <t>https://github.com/Aldhanekaa/technonatura-gallery</t>
  </si>
  <si>
    <t>95132a521b065fa2ba94b6f15611345e7d8f44ae</t>
  </si>
  <si>
    <t>https://github.com/Aldhanekaa/The-angular</t>
  </si>
  <si>
    <t>ba47d74b8e1a0025b4ea260ada4767a7d7f9d2d9</t>
  </si>
  <si>
    <t>https://github.com/Aldhanekaa/TipTap-Example-React-Editor</t>
  </si>
  <si>
    <t>7cff6c89d555f3b6380bade20041b05825fb25dd</t>
  </si>
  <si>
    <t>https://github.com/Aldhanekaa/TN-Reservation-Form</t>
  </si>
  <si>
    <t>03ae87aa70fdae2bcfb84c43aa124ea6b76e3036</t>
  </si>
  <si>
    <t>https://github.com/Aldhanekaa/Valoo-Social-App-1</t>
  </si>
  <si>
    <t>c9e73cc11d6f81ae2682aa98ff2a84708c949293</t>
  </si>
  <si>
    <t>https://github.com/Aldhanekaa/Weather-App-JavaScript</t>
  </si>
  <si>
    <t>98f17a19ab89badf3d59bceb712b041d7b2c11b2</t>
  </si>
  <si>
    <t>https://github.com/Aldhanekaa/windmill-dashboard-nextjs</t>
  </si>
  <si>
    <t>26c9bdad1c59f4e51f507e9f9d97505d5666c13f</t>
  </si>
  <si>
    <t>https://github.com/Aldhanekaa/windmill-dashboard-nextjs-typescript</t>
  </si>
  <si>
    <t>https://github.com/fr4iser90/SimpleSecCheck</t>
  </si>
  <si>
    <t>510b3ea913af3b9e3987aa128925dfcedd97148f</t>
  </si>
  <si>
    <t>https://github.com/longtail-labs/slide.code</t>
  </si>
  <si>
    <t>cf560331f2ad61070b4694b09f368f26cde4aeea</t>
  </si>
  <si>
    <t>https://github.com/recreate-run/mix</t>
  </si>
  <si>
    <t>e7053ef00ee6ab58277ccf9e4a016c33e57b4733</t>
  </si>
  <si>
    <t>https://github.com/TharaneshA/answergit</t>
  </si>
  <si>
    <t>fedf0e907af1423c227100281dbf175ae533b20b</t>
  </si>
  <si>
    <t>https://github.com/Laughingoctopus00/Clean-3d-1.0</t>
  </si>
  <si>
    <t>5b964d12a09d2f8c0bcba49be7129bb095f06963</t>
  </si>
  <si>
    <t>https://github.com/Laughingoctopus00/hairy-octo-cyril</t>
  </si>
  <si>
    <t>https://github.com/andreskull/spec-driven-ai-coding</t>
  </si>
  <si>
    <t>0068b2333f621bab02f851759648926bb3f1533b</t>
  </si>
  <si>
    <t>https://github.com/andreskull/rFTX</t>
  </si>
  <si>
    <t>2aa510dc61043ba58fd580806ffb01f53c32668a</t>
  </si>
  <si>
    <t>https://github.com/andreskull/risk-premia-app</t>
  </si>
  <si>
    <t>3042dc417dde1d742a7b89223154d8ee75623e22</t>
  </si>
  <si>
    <t>https://github.com/andreskull/woo-product-custom-fields</t>
  </si>
  <si>
    <t>746e556ed731934f2d3a5b589c3376b4667bce49</t>
  </si>
  <si>
    <t>https://github.com/august25dev/budget-buddy</t>
  </si>
  <si>
    <t>cba1ab2236fb41999437f4e33bd81b428b85a86a</t>
  </si>
  <si>
    <t>https://github.com/Maciek-roboblog/Claude-Code-Usage-Monitor</t>
  </si>
  <si>
    <t>06f0fe11e694b8619f63f8b0db10dbdc5e7e5a44</t>
  </si>
  <si>
    <t>https://github.com/ivanpostolski/vibe-agent-calendar-memory</t>
  </si>
  <si>
    <t>32149ba3872712c81ba918ba6f19e31be95489f5</t>
  </si>
  <si>
    <t>https://github.com/ivanpostolski/AAP-TP2</t>
  </si>
  <si>
    <t>23ac8791f4349afc08cb9427892e27f5404369db</t>
  </si>
  <si>
    <t>https://github.com/ivanpostolski/donkey</t>
  </si>
  <si>
    <t>667419b4729c2b8190886cffe09ddbc259a09b5f</t>
  </si>
  <si>
    <t>https://github.com/ivanpostolski/javacg</t>
  </si>
  <si>
    <t>63cf620a5263c952720d3eecb87227b22c580c9b</t>
  </si>
  <si>
    <t>https://github.com/ivanpostolski/lgtm-test-example</t>
  </si>
  <si>
    <t>3220bad0833d16aece017cffca3d7bd91e3e4f18</t>
  </si>
  <si>
    <t>https://github.com/ivanpostolski/mule</t>
  </si>
  <si>
    <t>c9aa74291c0f23c4eb80c13d7aa72b8e896c7437</t>
  </si>
  <si>
    <t>https://github.com/ivanpostolski/newschain_protocol</t>
  </si>
  <si>
    <t>9954dda8652e7437fdedb115f6fd5056039c0b1e</t>
  </si>
  <si>
    <t>https://github.com/ivanpostolski/NIER2019</t>
  </si>
  <si>
    <t>2d54d28b77189eb469ee0cc2476e22fb09303e36</t>
  </si>
  <si>
    <t>https://github.com/ivanpostolski/plan</t>
  </si>
  <si>
    <t>7b6200d38dac121e899785865a0c3c99e918103f</t>
  </si>
  <si>
    <t>https://github.com/ivanpostolski/sed2017</t>
  </si>
  <si>
    <t>9f5856ec2941235ab90d96fd7799b7fb79dbd624</t>
  </si>
  <si>
    <t>https://github.com/ivanpostolski/sfcb</t>
  </si>
  <si>
    <t>58ff50aa459923bab38cb6aa043b15d3e8d624e1</t>
  </si>
  <si>
    <t>https://github.com/ivanpostolski/simu2017tp2</t>
  </si>
  <si>
    <t>fb760e2771e651d129312e70db01340ee1037a10</t>
  </si>
  <si>
    <t>https://github.com/ivanpostolski/sirv_final</t>
  </si>
  <si>
    <t>bf207ff037a55fdf64d16ca1fc4eb8a9c03ae750</t>
  </si>
  <si>
    <t>https://github.com/ivanpostolski/sootLoopProfiling</t>
  </si>
  <si>
    <t>b0fb87c2749791f91a49cf0959c7092c570c8ea6</t>
  </si>
  <si>
    <t>https://github.com/ivanpostolski/spoonLV</t>
  </si>
  <si>
    <t>f5d8c59dd9acc0b466e0c445e280d04773757c4e</t>
  </si>
  <si>
    <t>https://github.com/ivanpostolski/WalaSpringAnalysis</t>
  </si>
  <si>
    <t>4f5e1c666adc0f24637248aea5376148999ac3aa</t>
  </si>
  <si>
    <t>https://github.com/Random-Simulation/RandomSimulation</t>
  </si>
  <si>
    <t>0ffc8b4e9a2aa27e1e20764d94f6d63725ec8c73</t>
  </si>
  <si>
    <t>https://github.com/jerilseb/context-collector</t>
  </si>
  <si>
    <t>83b5f35833ab393f2af5ef3845d60fce6318c12b</t>
  </si>
  <si>
    <t>https://github.com/DubblePumper/jacksmith-weapons-and-warriors-steam-hack</t>
  </si>
  <si>
    <t>04978736a720554b5159b74a3eb4c3561c6714df</t>
  </si>
  <si>
    <t>https://github.com/nairbv/vibecoder</t>
  </si>
  <si>
    <t>a01654fc0e0dc98fb5bbae883ebae008d80baad3</t>
  </si>
  <si>
    <t>https://github.com/nairbv/asciipong</t>
  </si>
  <si>
    <t>c80ef97c2b3bb74b272118fd1866b96a5370b250</t>
  </si>
  <si>
    <t>https://github.com/nairbv/bitsandbytes</t>
  </si>
  <si>
    <t>a49708c4d706cf703c9596d82c01d02623326901</t>
  </si>
  <si>
    <t>https://github.com/nairbv/foundation-model-stack</t>
  </si>
  <si>
    <t>f71d3ea6d824d3fcff49469f9b3ec98c41073433</t>
  </si>
  <si>
    <t>https://github.com/nairbv/pilotpad.com</t>
  </si>
  <si>
    <t>5e4dc3b4d6de95d10ae4fd2d9ad59ce3cbc610e7</t>
  </si>
  <si>
    <t>https://github.com/nairbv/pytorch</t>
  </si>
  <si>
    <t>ad17e5ec4ebd16f259900d484d1779e2fd73e217</t>
  </si>
  <si>
    <t>https://github.com/nairbv/scalachess</t>
  </si>
  <si>
    <t>1b3a2a73a1bd5c0f73b2303beb17091361227362</t>
  </si>
  <si>
    <t>https://github.com/nairbv/talk.cm</t>
  </si>
  <si>
    <t>2915c07658379566ee70a8c4b08f1682b739f7c2</t>
  </si>
  <si>
    <t>https://github.com/Wirasm/PRPs-agentic-eng</t>
  </si>
  <si>
    <t>9581e15df50065c591bcad1215841af2162ec74b</t>
  </si>
  <si>
    <t>https://github.com/bcollazo/deckgym-core</t>
  </si>
  <si>
    <t>3c8bbd169d7b0dfe97e8225e95460f6e2dafb138</t>
  </si>
  <si>
    <t>https://github.com/bcollazo/6867-final-proj</t>
  </si>
  <si>
    <t>72b809af566be74cbc0cd502fc82e3cbf35963c1</t>
  </si>
  <si>
    <t>https://github.com/bcollazo/bcollazo.github.io</t>
  </si>
  <si>
    <t>3401a01620c75f364c2be1f7a52e7193a77bb501</t>
  </si>
  <si>
    <t>https://github.com/bcollazo/briscas</t>
  </si>
  <si>
    <t>4309ac32247165803b50684028cdaa5e2ad4fb26</t>
  </si>
  <si>
    <t>https://github.com/bcollazo/c2g-hackathon</t>
  </si>
  <si>
    <t>c828b9f5d1569fa308f553f43dfb6e71aa77ef92</t>
  </si>
  <si>
    <t>https://github.com/bcollazo/catanatron</t>
  </si>
  <si>
    <t>2ae972fb72ddcdf9c0793478647b9137f3b76b3c</t>
  </si>
  <si>
    <t>https://github.com/bcollazo/cloud2ground</t>
  </si>
  <si>
    <t>47b85af6ce6cfd3c5e1f9e40c79f6edf4c8b0620</t>
  </si>
  <si>
    <t>https://github.com/bcollazo/command-line-blackjack</t>
  </si>
  <si>
    <t>be168bcff570892fca0a930fb6988fa7dfcc3b0e</t>
  </si>
  <si>
    <t>https://github.com/bcollazo/destinohack</t>
  </si>
  <si>
    <t>992a8e19b9d5b89bca2ff8d3170221202d0eb329</t>
  </si>
  <si>
    <t>https://github.com/bcollazo/diarslice</t>
  </si>
  <si>
    <t>2e43b0030677eea834af17936ff8536fd922a795</t>
  </si>
  <si>
    <t>https://github.com/bcollazo/django</t>
  </si>
  <si>
    <t>1c0bf95ff6f0dd32dd0424f0becbdfcf344d37be</t>
  </si>
  <si>
    <t>https://github.com/bcollazo/django-pipenv-heroku-template</t>
  </si>
  <si>
    <t>177eb89cd62fc310ca3ac2963bb11bc529d1bb2f</t>
  </si>
  <si>
    <t>https://github.com/bcollazo/electron-release-server</t>
  </si>
  <si>
    <t>eccfd4bd1ff41e8dc7215e2575cf165ffdb582e9</t>
  </si>
  <si>
    <t>https://github.com/bcollazo/flask-pipenv-heroku-template</t>
  </si>
  <si>
    <t>b87bdfb23bf5536fe6eca52fc103cfd37aa7be98</t>
  </si>
  <si>
    <t>https://github.com/bcollazo/flush</t>
  </si>
  <si>
    <t>6b6895fb6751bcdefba92ff0ecf45e23b98e1633</t>
  </si>
  <si>
    <t>https://github.com/bcollazo/itinerus-prototype</t>
  </si>
  <si>
    <t>8a1d18589ffed3934eeb49719aea975d9380074f</t>
  </si>
  <si>
    <t>https://github.com/bcollazo/lecture-stream</t>
  </si>
  <si>
    <t>8e140d840280acd7002eff41bf1453bee42abba2</t>
  </si>
  <si>
    <t>https://github.com/bcollazo/pokenalysis</t>
  </si>
  <si>
    <t>1b8748247a5737b91144ce0e6bc51aae79199f70</t>
  </si>
  <si>
    <t>https://github.com/bcollazo/psetpartner</t>
  </si>
  <si>
    <t>933af2dd5b044f5a8267dc3901c53ace30914053</t>
  </si>
  <si>
    <t>https://github.com/bcollazo/seratojs</t>
  </si>
  <si>
    <t>07e5e39aeee9dbe21305713c25660cae57056edb</t>
  </si>
  <si>
    <t>https://github.com/bcollazo/sinfila</t>
  </si>
  <si>
    <t>daa7da99ca57c68170b1d5a833a77acb8c724890</t>
  </si>
  <si>
    <t>https://github.com/bcollazo/smartcitybayamon</t>
  </si>
  <si>
    <t>532e38da08b3f9c942781f62b2214f081d0371a2</t>
  </si>
  <si>
    <t>https://github.com/bcollazo/viewprpy</t>
  </si>
  <si>
    <t>bdf67cd5472132aefe3d6a765b0ff6291ab36ef0</t>
  </si>
  <si>
    <t>https://github.com/bcollazo/ychack-loop</t>
  </si>
  <si>
    <t>8ddef40d0f4aa69d4dcb53ae2d6b094678cdf95f</t>
  </si>
  <si>
    <t>https://github.com/opspresso/toast-app</t>
  </si>
  <si>
    <t>80ece99c7eb323cbf817f5bd98bab72ad410ad6a</t>
  </si>
  <si>
    <t>https://github.com/ClaudiuJitea/NutritionAI</t>
  </si>
  <si>
    <t>1c952f921e40a18b1a28a824b4ab2135882ded66</t>
  </si>
  <si>
    <t>https://github.com/DavidMcKay223/BulkCarnageIQ</t>
  </si>
  <si>
    <t>7dd1d3576bf44c238a3b2527120f3d933e167e45</t>
  </si>
  <si>
    <t>https://github.com/brandburner/fabula</t>
  </si>
  <si>
    <t>6bc794bccba5708efc83caffff2b8ff5d19710cb</t>
  </si>
  <si>
    <t>https://github.com/ShanuNajeeb/Student-Dashboard</t>
  </si>
  <si>
    <t>0391299df95c32fc2036866542f6f8502ed005c6</t>
  </si>
  <si>
    <t>https://github.com/cmdaltctr/claude-gemini-mcp-slim</t>
  </si>
  <si>
    <t>79f2303f1cc875853853755cd3659f0f71a4dc3f</t>
  </si>
  <si>
    <t>https://github.com/cmdaltctr/notion-clone-1</t>
  </si>
  <si>
    <t>2de3a54256fa3c4706b6a357989c59945f51dde8</t>
  </si>
  <si>
    <t>https://github.com/cmdaltctr/raindrop.io-desktop</t>
  </si>
  <si>
    <t>8309143bbe49f839c03ead40c64111547e10b29a</t>
  </si>
  <si>
    <t>https://github.com/cmdaltctr/raindrop.io-extensions</t>
  </si>
  <si>
    <t>f0a8923f073aaa3b607e0e2c8c31ff5e00bf9106</t>
  </si>
  <si>
    <t>https://github.com/cmdaltctr/remotion</t>
  </si>
  <si>
    <t>cde8abdc942215f5e44494fb3c9fddbd69de5e38</t>
  </si>
  <si>
    <t>https://github.com/4regab/deepterm</t>
  </si>
  <si>
    <t>97b7833e6f98017ab218177b40f23639d4f5feae</t>
  </si>
  <si>
    <t>https://github.com/wasp-lang/open-saas</t>
  </si>
  <si>
    <t>96baf5525f50b89a1e8afe173b76cbfca107b06e</t>
  </si>
  <si>
    <t>https://github.com/TharaneshA/answergit#readme</t>
  </si>
  <si>
    <t>https://github.com/talvinder/carrot-ai-pm</t>
  </si>
  <si>
    <t>edf48a7bce332c974c4035c3ee259ca9ca0d7c24</t>
  </si>
  <si>
    <t>https://github.com/talvinder/awesome-for-beginners</t>
  </si>
  <si>
    <t>8105efb832a70176c660f0e4325e1bc27c699edd</t>
  </si>
  <si>
    <t>https://github.com/talvinder/cal.com</t>
  </si>
  <si>
    <t>c11ecbb323107a3d9ee9325bab074e7d35828efb</t>
  </si>
  <si>
    <t>https://github.com/talvinder/CardDAV-PHP</t>
  </si>
  <si>
    <t>f5ce414a4519494d99ae1d1f69780e46836e6006</t>
  </si>
  <si>
    <t>https://github.com/talvinder/carrot-product-requirements-document-prd</t>
  </si>
  <si>
    <t>0ac6f71267729e45b09397fa8ae58917fc05231d</t>
  </si>
  <si>
    <t>https://github.com/talvinder/Chatbot1</t>
  </si>
  <si>
    <t>8b9c5ad932409541be76fce7c4da68b84c2cfc21</t>
  </si>
  <si>
    <t>https://github.com/talvinder/data-visualization</t>
  </si>
  <si>
    <t>b3f4c33731cf7207761bda061a4185ea96164fae</t>
  </si>
  <si>
    <t>https://github.com/talvinder/engineering-competencies</t>
  </si>
  <si>
    <t>a994420246ba57464ee176e626a569654269a53c</t>
  </si>
  <si>
    <t>https://github.com/talvinder/how-developers-manage-projects</t>
  </si>
  <si>
    <t>03b0a3b77f38576feb282c4d3ef214b1960e4835</t>
  </si>
  <si>
    <t>https://github.com/talvinder/linkedin-skill-assessments-quizzes</t>
  </si>
  <si>
    <t>b850d07a94ff0502c4289689bb2d6cdb0905af24</t>
  </si>
  <si>
    <t>https://github.com/talvinder/mymoney</t>
  </si>
  <si>
    <t>8ac20cc0cbfc74706e07bf725a80870f73b83270</t>
  </si>
  <si>
    <t>https://github.com/talvinder/openconferenceware</t>
  </si>
  <si>
    <t>https://github.com/talvinder/rebar</t>
  </si>
  <si>
    <t>7a95b131ac6f8471a378cbf497d36d248f68c4df</t>
  </si>
  <si>
    <t>https://github.com/talvinder/registry</t>
  </si>
  <si>
    <t>dd79e435d2eaca29357ec5667e11814798f06e54</t>
  </si>
  <si>
    <t>https://github.com/talvinder/screeenly</t>
  </si>
  <si>
    <t>2ff42494e857a621212e1d9743b78cd172b295aa</t>
  </si>
  <si>
    <t>https://github.com/talvinder/strapi-conf-new</t>
  </si>
  <si>
    <t>35ce295a7745051b2ba0d3002ab205edc2b47943</t>
  </si>
  <si>
    <t>https://github.com/talvinder/talvinder-comments</t>
  </si>
  <si>
    <t>https://github.com/talvinder/tribe</t>
  </si>
  <si>
    <t>1864e7e5b03767d6d7bc6439b88ddacbeabb53ba</t>
  </si>
  <si>
    <t>https://github.com/talvinder/vscode-carrot-extension</t>
  </si>
  <si>
    <t>65c7f6228998f417d5b2b845e542516774a12017</t>
  </si>
  <si>
    <t>https://github.com/vsumpi/image-to-pixelgrid</t>
  </si>
  <si>
    <t>34b2de78212569996cf2d269b1f60cc67812b91d</t>
  </si>
  <si>
    <t>https://github.com/vsumpi/race-manager</t>
  </si>
  <si>
    <t>1d86697b9d970257085b1dab8bc4422f1cea827f</t>
  </si>
  <si>
    <t>https://github.com/ecappa/omega-red</t>
  </si>
  <si>
    <t>35959a7bf3163ebd962a365308ea10a3aad25274</t>
  </si>
  <si>
    <t>https://github.com/ParallelUniverseProgrammer/MovieBot</t>
  </si>
  <si>
    <t>351b86732d7d72491ea856d399ed3a943844853b</t>
  </si>
  <si>
    <t>https://github.com/a-bonus/google-docs-mcp</t>
  </si>
  <si>
    <t>ea9b895876085a8c8df104822487add7ed49054d</t>
  </si>
  <si>
    <t>https://github.com/Aqualia/Alph</t>
  </si>
  <si>
    <t>272c3b350f7e0c8eb3c0fb8cf104e952ad418bde</t>
  </si>
  <si>
    <t>https://github.com/TheRealSaiTama/Project-Chimera</t>
  </si>
  <si>
    <t>21da80b493600a255e13945e15c020f0b07e567c</t>
  </si>
  <si>
    <t>https://github.com/TheRealSaiTama/AcademicSearchEngine</t>
  </si>
  <si>
    <t>6b7f95ac13c66b745f39bfa26b93ded477320d2e</t>
  </si>
  <si>
    <t>https://github.com/TheRealSaiTama/Breast-Cancer-Prediction</t>
  </si>
  <si>
    <t>70df4967883636a3c023e4e2e754c93b99ad932f</t>
  </si>
  <si>
    <t>https://github.com/TheRealSaiTama/ChromeAutomation</t>
  </si>
  <si>
    <t>052a59b37fe8dc91bd00b29f4db03202a291db3a</t>
  </si>
  <si>
    <t>https://github.com/TheRealSaiTama/Cv2-FaceDetect</t>
  </si>
  <si>
    <t>07b8bfe5aa69f8ebe8222debe874ea1375e1dca6</t>
  </si>
  <si>
    <t>https://github.com/TheRealSaiTama/DADJOKE-API</t>
  </si>
  <si>
    <t>7f2a6aa561f65d6aad4a2bf12fc572e1f884bf27</t>
  </si>
  <si>
    <t>https://github.com/TheRealSaiTama/DigiClock</t>
  </si>
  <si>
    <t>2ff149c62e41520d7047506842890189068404fa</t>
  </si>
  <si>
    <t>https://github.com/TheRealSaiTama/EtchASketch</t>
  </si>
  <si>
    <t>25944dca9a277fb961b78142795cacc64235320b</t>
  </si>
  <si>
    <t>https://github.com/TheRealSaiTama/FlooderGame</t>
  </si>
  <si>
    <t>09fc7262cd6169da1a2d95de5c6e70e936ae8144</t>
  </si>
  <si>
    <t>https://github.com/TheRealSaiTama/GoWeatherAPI</t>
  </si>
  <si>
    <t>72c1897a9421b6e49f7a30fe167cbae7ba8f2840</t>
  </si>
  <si>
    <t>https://github.com/TheRealSaiTama/GuessUSA</t>
  </si>
  <si>
    <t>5f4e041eb8802954cb9c06acdc18b5efb0e34059</t>
  </si>
  <si>
    <t>https://github.com/TheRealSaiTama/Hacktoberfest2023</t>
  </si>
  <si>
    <t>032f2f0262483619c5df39cf026ebaaad931d097</t>
  </si>
  <si>
    <t>https://github.com/TheRealSaiTama/Hirsts_LikeSpot_Painting</t>
  </si>
  <si>
    <t>4d02a840dcba172b0d34a7977fb39cccfabbfbc7</t>
  </si>
  <si>
    <t>https://github.com/TheRealSaiTama/JARVIS</t>
  </si>
  <si>
    <t>4c1c5df58bef22bec4c274b8bc14dd093545b7fa</t>
  </si>
  <si>
    <t>https://github.com/TheRealSaiTama/PasswordGen-App</t>
  </si>
  <si>
    <t>c470704c6e96c10e2bbd237ba0fb15b99e76334d</t>
  </si>
  <si>
    <t>https://github.com/TheRealSaiTama/Pong.py</t>
  </si>
  <si>
    <t>4b6f695fc81808ad6e7176ebfbea8913583df387</t>
  </si>
  <si>
    <t>https://github.com/TheRealSaiTama/Python-Scripts</t>
  </si>
  <si>
    <t>98a2561cd20d7d917aea78e034d2c85116b7e36e</t>
  </si>
  <si>
    <t>https://github.com/TheRealSaiTama/ScreenShot-App</t>
  </si>
  <si>
    <t>756b174caa4294506e832bdd14fd9aeb72117783</t>
  </si>
  <si>
    <t>https://github.com/TheRealSaiTama/Simple-File-Transfer-api</t>
  </si>
  <si>
    <t>f850f3dc87cf255099f79d1047766926b1546f75</t>
  </si>
  <si>
    <t>https://github.com/TheRealSaiTama/Simple-Python-Projects</t>
  </si>
  <si>
    <t>ebe67da545d22792fe692f40423109d1441b8e1d</t>
  </si>
  <si>
    <t>https://github.com/TheRealSaiTama/Snake.py</t>
  </si>
  <si>
    <t>1f792948fc7fbdc3257cbd98de1fc798905debdd</t>
  </si>
  <si>
    <t>https://github.com/TheRealSaiTama/Students_Marks_Predictor_Web_App</t>
  </si>
  <si>
    <t>0976173599ed288dada161d9a222704c9d1accc7</t>
  </si>
  <si>
    <t>https://github.com/TheRealSaiTama/tesseract</t>
  </si>
  <si>
    <t>7de5c65568b38af2b097765183eb2a1012d645b0</t>
  </si>
  <si>
    <t>https://github.com/TheRealSaiTama/TheRealSaiTama</t>
  </si>
  <si>
    <t>72aa6dda7bc01aa7efeb74c3d58c560ff8bbc3fb</t>
  </si>
  <si>
    <t>https://github.com/TheRealSaiTama/TurtleCrossingProject</t>
  </si>
  <si>
    <t>b3227aacf4c62b7729f592fa56cd5d5b18bae24d</t>
  </si>
  <si>
    <t>https://github.com/TheRealSaiTama/Txt-To-QR-API</t>
  </si>
  <si>
    <t>9b1def75e1dbf8a4e96e26c8c5707adefbe68c22</t>
  </si>
  <si>
    <t>https://github.com/TheRealSaiTama/URLShortener-</t>
  </si>
  <si>
    <t>0d67c80dc8978f203b85b4c1e48fab00cc36a0e9</t>
  </si>
  <si>
    <t>https://github.com/TheRealSaiTama/WebCrawler</t>
  </si>
  <si>
    <t>e9150950a781d1dbcdf97d3195319238a39e58ed</t>
  </si>
  <si>
    <t>https://github.com/DubblePumper/NMBS-Train-Data-API</t>
  </si>
  <si>
    <t>bb6ceedb0bba7e14a69a7c3587746217994c5ea5</t>
  </si>
  <si>
    <t>https://github.com/MotiaDev/motia-examples</t>
  </si>
  <si>
    <t>9dcc8127d5396646b5b273d42aca2de3b0ffc916</t>
  </si>
  <si>
    <t>https://github.com/Zulelee/stock-images-mcp</t>
  </si>
  <si>
    <t>9a043b37f0de70f569f541735e9f9a807765dd89</t>
  </si>
  <si>
    <t>https://github.com/Zulelee/Contact-Form</t>
  </si>
  <si>
    <t>0f310b8a704c008443500bd34ac84b9c734d7084</t>
  </si>
  <si>
    <t>https://github.com/Zulelee/Electronic-Library</t>
  </si>
  <si>
    <t>80e18a08e37bd3cb473233639517b88b2a312e11</t>
  </si>
  <si>
    <t>https://github.com/Zulelee/Electronic-Library-Website</t>
  </si>
  <si>
    <t>90bcbcf1cf318f7e1423d0efef9ad6a27e693f2e</t>
  </si>
  <si>
    <t>https://github.com/Zulelee/GPT-Report-Generator</t>
  </si>
  <si>
    <t>ee8ddee7c5f9c57d42d58b89e357d4df1494e3ed</t>
  </si>
  <si>
    <t>https://github.com/Zulelee/gpt-search</t>
  </si>
  <si>
    <t>ed6adf3985e94ee0519bb3a3bc15e26ba52f3ca7</t>
  </si>
  <si>
    <t>https://github.com/Zulelee/ilearn</t>
  </si>
  <si>
    <t>25c39a5ad3bdf972698f8f051cd9b123ea153652</t>
  </si>
  <si>
    <t>https://github.com/Zulelee/images</t>
  </si>
  <si>
    <t>52b80be05508badedf41277daa234225991443ff</t>
  </si>
  <si>
    <t>https://github.com/Zulelee/Learning</t>
  </si>
  <si>
    <t>0cce2fd15a26eb609f56d23b31e34bef678fb578</t>
  </si>
  <si>
    <t>https://github.com/Zulelee/nova-network-website</t>
  </si>
  <si>
    <t>https://github.com/Zulelee/Sample_PDF_Files</t>
  </si>
  <si>
    <t>eb1ab8060902c75854239b7d81700fddbb4a0298</t>
  </si>
  <si>
    <t>https://github.com/Zulelee/solace-dev-codelabs</t>
  </si>
  <si>
    <t>c68bdb36f1259428e57229c43364779313a67160</t>
  </si>
  <si>
    <t>https://github.com/Zulelee/survey-form</t>
  </si>
  <si>
    <t>36d6f3b11587677e62bb7e6a004edc675e09817e</t>
  </si>
  <si>
    <t>https://github.com/Zulelee/tribute-page</t>
  </si>
  <si>
    <t>a025cc70200ba9f2e7accb67bff1fa615d05cb57</t>
  </si>
  <si>
    <t>https://github.com/Zulelee/xyz</t>
  </si>
  <si>
    <t>https://github.com/Zulelee/Zulelee</t>
  </si>
  <si>
    <t>ca63e0e9fb87414cdb7f9c91f479db6ea60f7d58</t>
  </si>
  <si>
    <t>https://github.com/sdrasco/jobbee</t>
  </si>
  <si>
    <t>15e8b61b4bb1336016afe565fc3b0bf4e34961f1</t>
  </si>
  <si>
    <t>https://github.com/sdrasco/datasets</t>
  </si>
  <si>
    <t>a10620515477d87d6acc9956c2d5c01c3ea46298</t>
  </si>
  <si>
    <t>https://github.com/sdrasco/GGK</t>
  </si>
  <si>
    <t>9f57c811aa228a5fc154d56d8c3c9c2c1738d793</t>
  </si>
  <si>
    <t>https://github.com/sdrasco/GGKspec</t>
  </si>
  <si>
    <t>1042a54db845857e6ec78ee16dc681e354260ad6</t>
  </si>
  <si>
    <t>https://github.com/sdrasco/Mudgiebo</t>
  </si>
  <si>
    <t>c7b104d6cb15d2a90495fb61eb64f0982e120b67</t>
  </si>
  <si>
    <t>https://github.com/sdrasco/Mudgiebo-Image-Generator</t>
  </si>
  <si>
    <t>802a1da63d3b910ec3d2cfb24ede2838583f7ec5</t>
  </si>
  <si>
    <t>https://github.com/sdrasco/NGSB</t>
  </si>
  <si>
    <t>e8f35b76495eb393c7851e014126cf99643e33f1</t>
  </si>
  <si>
    <t>https://github.com/sdrasco/QuaternionFun</t>
  </si>
  <si>
    <t>541525887e45086579ecaeb75edb05ca6bdb340a</t>
  </si>
  <si>
    <t>https://github.com/benbasha/Claude-Autopilot</t>
  </si>
  <si>
    <t>eaeea24d49bc9ccdeb63faee181fab99619d7a3f</t>
  </si>
  <si>
    <t>https://github.com/Metcaslix/metcaslixhub.io</t>
  </si>
  <si>
    <t>Type</t>
  </si>
  <si>
    <t>Posts with Links</t>
  </si>
  <si>
    <t>Sideproject</t>
  </si>
  <si>
    <t>User History</t>
  </si>
  <si>
    <t>Total Posts</t>
  </si>
  <si>
    <t>-</t>
  </si>
  <si>
    <t>Relevant Posts</t>
  </si>
  <si>
    <t>De-duplicated links</t>
  </si>
  <si>
    <t>With History</t>
  </si>
  <si>
    <t>https://github.com/AI-Spawn/Save-The-Turtles</t>
  </si>
  <si>
    <t>https://github.com/Mikescops/gitlab-notify-extension</t>
  </si>
  <si>
    <t>https://github.com/GusSand/Anubis</t>
  </si>
  <si>
    <t>https://github.com/roymoran/comments-stream</t>
  </si>
  <si>
    <t>https://github.com/dataxu/bin_diesel</t>
  </si>
  <si>
    <t>https://github.com/LanguidBasil/Good-Morning-App</t>
  </si>
  <si>
    <t>https://github.com/mitchhit234/commerceDataVisualization</t>
  </si>
  <si>
    <t>https://github.com/marketplace/pull-checklist</t>
  </si>
  <si>
    <t>https://github.com/debiki/ed-server</t>
  </si>
  <si>
    <t>https://github.com/rbw/snow</t>
  </si>
  <si>
    <t>https://github.com/johannesss/http-reponse</t>
  </si>
  <si>
    <t>https://github.com/xxhomey19/nba-bar</t>
  </si>
  <si>
    <t>https://github.com/IliasHad/habitscript\_vscode</t>
  </si>
  <si>
    <t>https://github.com/TheBerkin/cards-over-lan</t>
  </si>
  <si>
    <t>https://github.com/marxlaml/spotify-shuffler</t>
  </si>
  <si>
    <t>https://github.com/umairayub79/FindThatBook.git</t>
  </si>
  <si>
    <t>https://github.com/AkashRajpurohit/the-office-quotes-api</t>
  </si>
  <si>
    <t>https://github.com/prabhatsharma/zinc</t>
  </si>
  <si>
    <t>https://github.com/rzzzvikashkumar/XamHelper</t>
  </si>
  <si>
    <t>https://github.com/jasebanico/banicocms</t>
  </si>
  <si>
    <t>https://github.com/TanayB11/jadeocr#Contribute</t>
  </si>
  <si>
    <t>https://github.com/ScoopML/aksquare.js</t>
  </si>
  <si>
    <t>https://github.com/nathan-kuo/landmine</t>
  </si>
  <si>
    <t>https://github.com/MarcPlaying/webSearch</t>
  </si>
  <si>
    <t>https://github.com/nishant-boro/split-it-easy-android</t>
  </si>
  <si>
    <t>https://github.com/michaeldodis/tunedotsh</t>
  </si>
  <si>
    <t>https://github.com/jarbun/downline</t>
  </si>
  <si>
    <t>https://github.com/jalal246/dflex</t>
  </si>
  <si>
    <t>https://github.com/JTGuevara/JTs-Gallery</t>
  </si>
  <si>
    <t>https://github.com/re-ce/rececss</t>
  </si>
  <si>
    <t>https://github.com/EldinZenderink/LittleWeeb</t>
  </si>
  <si>
    <t>https://github.com/dimakiss/Udemy\_bot</t>
  </si>
  <si>
    <t>https://github.com/JeeZeh/youtube-playlist-autosub-explorer</t>
  </si>
  <si>
    <t>https://github.com/siuglukas/nextjs-countries</t>
  </si>
  <si>
    <t>https://github.com/HarelZeevi/Missile\_Command</t>
  </si>
  <si>
    <t>https://github.com/esmaydogdu/mail-tracker-client</t>
  </si>
  <si>
    <t>https://github.com/nlaz/pensieve.</t>
  </si>
  <si>
    <t>https://github.com/psantheus/ReScrapper</t>
  </si>
  <si>
    <t>https://github.com/kurta999/UsbHost</t>
  </si>
  <si>
    <t>https://github.com/whiteseagull/blogfinder</t>
  </si>
  <si>
    <t>https://github.com/ShrugAtlas/pom-generator</t>
  </si>
  <si>
    <t>https://github.com/hkalexling/Mango</t>
  </si>
  <si>
    <t>https://github.com/VibhorCodecianGupta/Argus</t>
  </si>
  <si>
    <t>https://github.com/nclayton3344/BallGame</t>
  </si>
  <si>
    <t>https://github.com/lconvictl/Account-Manager-Discord-Bot</t>
  </si>
  <si>
    <t>https://github.com/kurta999/CustomKeyboard</t>
  </si>
  <si>
    <t>https://github.com/PACTCare/Pact.online</t>
  </si>
  <si>
    <t>https://github.com/AnalogJ/lodestone-test-docs</t>
  </si>
  <si>
    <t>https://github.com/hvg2416/react-cli</t>
  </si>
  <si>
    <t>https://github.com/abhinavmarwaha/curator</t>
  </si>
  <si>
    <t>https://github.com/asennoussi/emailgurus</t>
  </si>
  <si>
    <t>https://github.com/pascca/BERT_eli5</t>
  </si>
  <si>
    <t>https://github.com/papercups-io/papercups_</t>
  </si>
  <si>
    <t>https://github.com/chiubeta/video_bookmarker</t>
  </si>
  <si>
    <t>https://github.com/wileyyugioh/kissanime_dl</t>
  </si>
  <si>
    <t>https://github.com/hacker719/instabot</t>
  </si>
  <si>
    <t>https://github.com/sorxrob/cryptostats</t>
  </si>
  <si>
    <t>https://github.com/pranavbaburaj/lol</t>
  </si>
  <si>
    <t>https://github.com/dikhim/uselessclicker</t>
  </si>
  <si>
    <t>https://github.com/devnico/th\_rosenheim</t>
  </si>
  <si>
    <t>https://github.com/cardsoverlan/cah-packs</t>
  </si>
  <si>
    <t>https://github.com/Alex-Hawking/crunch-app</t>
  </si>
  <si>
    <t>https://github.com/ManolisPapd/RedditControversialSort</t>
  </si>
  <si>
    <t>https://github.com/denormaI/DesktopController</t>
  </si>
  <si>
    <t>https://github.com/jason-shepherd/programming\_timelapse</t>
  </si>
  <si>
    <t>https://github.com/ansnoussi/CutCat</t>
  </si>
  <si>
    <t>https://github.com/mile95/csgo\_cli</t>
  </si>
  <si>
    <t>https://github.com/batuhandirek/battleship-rocks-client</t>
  </si>
  <si>
    <t>https://github.com/fayazara/fluenticons</t>
  </si>
  <si>
    <t>https://github.com/realdennis/vue-tarot</t>
  </si>
  <si>
    <t>https://github.com/garry-cairns/correspondence</t>
  </si>
  <si>
    <t>https://github.com/PozitivnaMirta/phantomchat-backend</t>
  </si>
  <si>
    <t>https://github.com/aleksandar-trifunovic/personal-website</t>
  </si>
  <si>
    <t>https://github.com/AI-Spawn/celeste-bot</t>
  </si>
  <si>
    <t>https://github.com/burtonator/polar-bookshelf</t>
  </si>
  <si>
    <t>https://github.com/vadootvpeer/sdk-android</t>
  </si>
  <si>
    <t>https://github.com/MatteoLeonesi/Hawaii-LiquidityPool</t>
  </si>
  <si>
    <t>https://github.com/novelCOVID/API</t>
  </si>
  <si>
    <t>https://github.com/Pathokun/pathokun**</t>
  </si>
  <si>
    <t>https://github.com/250/Steam-data</t>
  </si>
  <si>
    <t>https://github.com/ndelnano/recently-played-playlists-parser</t>
  </si>
  <si>
    <t>https://github.com/wijdenbos/AutoRefresh</t>
  </si>
  <si>
    <t>https://github.com/Nevin1901/nweather</t>
  </si>
  <si>
    <t>https://github.com/TanayB11/jadeocr</t>
  </si>
  <si>
    <t>https://github.com/sorxrob/spotify-stats</t>
  </si>
  <si>
    <t>https://github.com/Alex-Hawking/kawaii-face-generator</t>
  </si>
  <si>
    <t>https://github.com/pendyalarajan/clockin</t>
  </si>
  <si>
    <t>https://github.com/xxhomey19/nba-go</t>
  </si>
  <si>
    <t>https://github.com/razvanilin/chartbrew</t>
  </si>
  <si>
    <t>https://github.com/jeyjeyemem/externalized-properties</t>
  </si>
  <si>
    <t>https://github.com/HotSauceTea/YellAtPeopleWhoViolateSocialDistancing</t>
  </si>
  <si>
    <t>https://github.com/okikio/bundle</t>
  </si>
  <si>
    <t>https://github.com/AI-Spawn/Multiplayer-Game</t>
  </si>
  <si>
    <t>https://github.com/VincentJouanne/nest-clean-architecture-ddd-example</t>
  </si>
  <si>
    <t>https://github.com/wd400/thinkTogether</t>
  </si>
  <si>
    <t>https://github.com/SupunKavinda/CSS-Minifier-and-Unminifier-in-Javascript</t>
  </si>
  <si>
    <t>https://github.com/charlesportwoodii/CiiMS</t>
  </si>
  <si>
    <t>https://github.com/rahuldshetty/curious.git</t>
  </si>
  <si>
    <t>https://github.com/shahilpravind/myView</t>
  </si>
  <si>
    <t>https://github.com/toolcool-org/toolcool-color-picker</t>
  </si>
  <si>
    <t>https://github.com/culee/restaurant</t>
  </si>
  <si>
    <t>https://github.com/vaibhavpras/youlaughyoulose</t>
  </si>
  <si>
    <t>https://github.com/PabloLec/insta\_newspape</t>
  </si>
  <si>
    <t>https://github.com/MatteoLeonesi/Valorant-Wiki-Inn</t>
  </si>
  <si>
    <t>https://github.com/angry-coder-room/Spam-Classifier-ML</t>
  </si>
  <si>
    <t>https://github.com/sorxrob/poke95</t>
  </si>
  <si>
    <t>https://github.com/AI-Spawn/multiplayer-game-bot</t>
  </si>
  <si>
    <t>https://github.com/sorxrob/coderstats</t>
  </si>
  <si>
    <t>https://github.com/aaronn44/msgr</t>
  </si>
  <si>
    <t>https://github.com/dbsentry/sshfp</t>
  </si>
  <si>
    <t>https://github.com/HarowitzBlack/WeX</t>
  </si>
  <si>
    <t>https://github.com/bbugyi200/localalias.</t>
  </si>
  <si>
    <t>https://github.com/atapas/react-play</t>
  </si>
  <si>
    <t>https://github.com/AnalogJ/lodestone</t>
  </si>
  <si>
    <t>https://github.com/cedricium/riddler**</t>
  </si>
  <si>
    <t>https://github.com/dordchn/CoronaMarket</t>
  </si>
  <si>
    <t>https://github.com/hdrm147/cards-against-humanity</t>
  </si>
  <si>
    <t>https://github.com/master-atul/mdview-nodegui</t>
  </si>
  <si>
    <t>https://github.com/AI-Spawn/Auto-Lip-Sync</t>
  </si>
  <si>
    <t>https://github.com/THEjoezack/ColorMine</t>
  </si>
  <si>
    <t>https://github.com/RapDv-com/rapdv-blog</t>
  </si>
  <si>
    <t>https://github.com/jbh-cloud/spotify_sync</t>
  </si>
  <si>
    <t>https://github.com/croma-app/croma-react</t>
  </si>
  <si>
    <t>https://github.com/rdgpcampos/Correlation-and-minimum-variance-portfolio.git</t>
  </si>
  <si>
    <t>https://github.com/maksmakuta/StoryLog</t>
  </si>
  <si>
    <t>https://github.com/commundev/commun</t>
  </si>
  <si>
    <t>https://github.com/apps/prclbot</t>
  </si>
  <si>
    <t>https://github.com/EstevaoCostaG3/AriaBusiness</t>
  </si>
  <si>
    <t>https://github.com/ZachNagengast/fragmenter</t>
  </si>
  <si>
    <t>https://github.com/martinblampied/breatherbar\_macos</t>
  </si>
  <si>
    <t>https://github.com/fromb2b/wikiSummary</t>
  </si>
  <si>
    <t>https://github.com/imvetri/ui-editor</t>
  </si>
  <si>
    <t>https://github.com/KnowledgeCanvas/knowledge-canvas</t>
  </si>
  <si>
    <t>https://github.com/AI-Spawn/ssbm-bot</t>
  </si>
  <si>
    <t>https://github.com/CT83/Hemuer-AI-Expression-Detector**</t>
  </si>
  <si>
    <t>https://github.com/xxhomey19/infinite-array</t>
  </si>
  <si>
    <t>https://github.com/BerkeAras/WorkGroup</t>
  </si>
  <si>
    <t>https://github.com/wd400/theGoodWord</t>
  </si>
  <si>
    <t>https://github.com/yacineMahdid/spiderden</t>
  </si>
  <si>
    <t>https://github.com/Animatea/tense</t>
  </si>
  <si>
    <t>https://github.com/Pathokun/pathokun-cli</t>
  </si>
  <si>
    <t>https://github.com/AI-Spawn/Ecosystem-Simulation</t>
  </si>
  <si>
    <t>https://github.com/Handmade-Studios/python-text-styler</t>
  </si>
  <si>
    <t>https://github.com/tk-ni/Vssm</t>
  </si>
  <si>
    <t>https://github.com/marketplace/difflens</t>
  </si>
  <si>
    <t>https://github.com/CT83/Hemuer-AI-Expression-Detector</t>
  </si>
  <si>
    <t>https://github.com/ajaxtown/webpack-stats-progress</t>
  </si>
  <si>
    <t>https://github.com/kurta999/CANUSB</t>
  </si>
  <si>
    <t>https://github.com/mjovanc/coinshark</t>
  </si>
  <si>
    <t>https://github.com/zlaughton/visual-survivor.</t>
  </si>
  <si>
    <t>https://github.com/williamtavares/eBayProfitCalculator</t>
  </si>
  <si>
    <t>https://github.com/emadboctorx/yolov3-keras-tf2</t>
  </si>
  <si>
    <t>https://github.com/oussamahamdaoui/oneprojectBack</t>
  </si>
  <si>
    <t>https://github.com/wd400/Moodplaner\_x\_Spotify</t>
  </si>
  <si>
    <t>https://github.com/oussamahamdaoui/rsachat</t>
  </si>
  <si>
    <t>https://github.com/rkshrksh/Shower-Thoughts</t>
  </si>
  <si>
    <t>https://github.com/lillian-lemmer/hypatia</t>
  </si>
  <si>
    <t>https://github.com/rishabhmw/sauron</t>
  </si>
  <si>
    <t>https://github.com/zacanger/some.audio</t>
  </si>
  <si>
    <t>https://github.com/kholland950/solarsystemjs</t>
  </si>
  <si>
    <t>https://github.com/TheDevilOfJesters/TheJesterTCGDatabase</t>
  </si>
  <si>
    <t>https://github.com/damiong28/billshare</t>
  </si>
  <si>
    <t>https://github.com/is-really-cool/register</t>
  </si>
  <si>
    <t>https://github.com/drakewill-CRL/PraxisMapper</t>
  </si>
  <si>
    <t>https://github.com/why-not-try-calmer/feedfarer2</t>
  </si>
  <si>
    <t>https://github.com/stevenxie/begone</t>
  </si>
  <si>
    <t>https://github.com/oussamahamdaoui/oneproject</t>
  </si>
  <si>
    <t>https://github.com/sansyrox/robyn</t>
  </si>
  <si>
    <t>https://github.com/lucaionescu/lycense</t>
  </si>
  <si>
    <t>https://github.com/prashanthselvam/crazychess</t>
  </si>
  <si>
    <t>https://github.com/mehdignu/morgentee.com</t>
  </si>
  <si>
    <t>https://github.com/Sound932/Chit-Chat</t>
  </si>
  <si>
    <t>https://github.com/gspatace/json-schema-podo-generator</t>
  </si>
  <si>
    <t>https://github.com/mediv0/v-bucket**</t>
  </si>
  <si>
    <t>https://github.com/Peshooo/word-game</t>
  </si>
  <si>
    <t>https://github.com/khalifaali/gdtree</t>
  </si>
  <si>
    <t>https://github.com/MomentCaptureInc/ProgrammableThoughts</t>
  </si>
  <si>
    <t>https://github.com/jonathancai11/react-landing-page</t>
  </si>
  <si>
    <t>https://github.com/samisnotinsane/hackernews-client</t>
  </si>
  <si>
    <t>https://github.com/jorisschellekens/ptext-release</t>
  </si>
  <si>
    <t>https://github.com/alfredonline/esl-convo-frontend-code</t>
  </si>
  <si>
    <t>https://github.com/mohitk05/react-insta-stories.</t>
  </si>
  <si>
    <t>https://github.com/securebook/securebook.github.io</t>
  </si>
  <si>
    <t>https://github.com/ayoubeddafali/docker-selenium-bootstrap</t>
  </si>
  <si>
    <t>https://github.com/Ananthsada/PacktPub-Downloader</t>
  </si>
  <si>
    <t>https://github.com/zang227/OppaiGUI</t>
  </si>
  <si>
    <t>https://github.com/hawooni/sendpost-api</t>
  </si>
  <si>
    <t>https://github.com/boone-software/stripe-webhooks</t>
  </si>
  <si>
    <t>https://github.com/AnunaySharma2/contestsatvit</t>
  </si>
  <si>
    <t>https://github.com/DandyDev/slack-machine</t>
  </si>
  <si>
    <t>https://github.com/asennoussi/em...</t>
  </si>
  <si>
    <t>https://github.com/Handmade-Studios/kawaii-face-generator</t>
  </si>
  <si>
    <t>https://github.com/dasveloper/Hitcount.app</t>
  </si>
  <si>
    <t>https://github.com/mjovanc/qryptic</t>
  </si>
  <si>
    <t>https://github.com/techmaster998/NewWaveMusicPlayer.git</t>
  </si>
  <si>
    <t>https://github.com/maithilish/scoopi</t>
  </si>
  <si>
    <t>https://github.com/chilllab/react-nice-avatar</t>
  </si>
  <si>
    <t>https://github.com/alexpyzhianov/awesome-star-spy</t>
  </si>
  <si>
    <t>https://github.com/Silind/twitter-api-client</t>
  </si>
  <si>
    <t>https://github.com/Kalan-Brock/Super-Duper-Local-Web-Development-Environment</t>
  </si>
  <si>
    <t>https://github.com/Candbot/Gettr</t>
  </si>
  <si>
    <t>https://github.com/cedricium/riddler</t>
  </si>
  <si>
    <t>https://github.com/paulponraj/mydash.fun</t>
  </si>
  <si>
    <t>https://github.com/Kerooker/rpg-npc-generator</t>
  </si>
  <si>
    <t>https://github.com/nuxxapp/nuxx</t>
  </si>
  <si>
    <t>https://github.com/domino14/liwords</t>
  </si>
  <si>
    <t>https://github.com/strasse86/Reddit-User-Explorer</t>
  </si>
  <si>
    <t>https://github.com/OnurErtugral/Real-Time-Chat-App-with-React</t>
  </si>
  <si>
    <t>https://github.com/AbhinavS96/Pinterest-image-download-chrome-extension</t>
  </si>
  <si>
    <t>https://github.com/bytescout/list-of-procrastination-websites</t>
  </si>
  <si>
    <t>https://github.com/Light-Lens/Studybyte</t>
  </si>
  <si>
    <t>https://github.com/orangethakkali/webdav</t>
  </si>
  <si>
    <t>https://github.com/wd400/Moodplaner_x_Spotify</t>
  </si>
  <si>
    <t>https://github.com/tahesse/policy-password</t>
  </si>
  <si>
    <t>https://github.com/milosv1/Python\_Storage\_Tracker</t>
  </si>
  <si>
    <t>https://github.com/puf17640/covidapi</t>
  </si>
  <si>
    <t>https://github.com/covexo/devspace</t>
  </si>
  <si>
    <t>https://github.com/trishulaorg/tenet</t>
  </si>
  <si>
    <t>https://github.com/tkreind/docker-gui-novnc</t>
  </si>
  <si>
    <t>https://github.com/Peshooo/Crazy-Typer</t>
  </si>
  <si>
    <t>https://github.com/flancast90/Hostable-Demo-Site</t>
  </si>
  <si>
    <t>https://github.com/tacticaltofu/mangastack</t>
  </si>
  <si>
    <t>https://github.com/zackumar/newspaper\_snippets</t>
  </si>
  <si>
    <t>https://github.com/singhkumarpratik/prashnottar-django</t>
  </si>
  <si>
    <t>https://github.com/pandeyarjun242/automatedyolo</t>
  </si>
  <si>
    <t>https://github.com/lalitpagaria/obsei</t>
  </si>
  <si>
    <t>https://github.com/will-lamerton/pixel-chess</t>
  </si>
  <si>
    <t>https://github.com/dobrinyonkov/mibill</t>
  </si>
  <si>
    <t>https://github.com/jareer12/DiscordBotPanel</t>
  </si>
  <si>
    <t>https://github.com/Core121/PsychTracker</t>
  </si>
  <si>
    <t>https://github.com/drakewill-CRL/Hypothesis</t>
  </si>
  <si>
    <t>https://github.com/Pathokun/pathokun</t>
  </si>
  <si>
    <t>https://github.com/radekxrandom/latin\_dictionary\_browser\_extension</t>
  </si>
  <si>
    <t>https://github.com/llu13701/sms\_analysis</t>
  </si>
  <si>
    <t>https://github.com/kylelobo/Reddit-Bot</t>
  </si>
  <si>
    <t>https://github.com/SoloKeysSec/solo</t>
  </si>
  <si>
    <t>Working Links</t>
  </si>
  <si>
    <t>Non-Working Links</t>
  </si>
  <si>
    <t>Other Error</t>
  </si>
  <si>
    <t>Num SideProject</t>
  </si>
  <si>
    <t>Num Errored</t>
  </si>
  <si>
    <t>Num Timed Out</t>
  </si>
  <si>
    <t>Is Fork</t>
  </si>
  <si>
    <t>Check</t>
  </si>
  <si>
    <t>https://github.com/infinri/neural-forge</t>
  </si>
  <si>
    <t>https://github.com/kliewerdaniel/workflow.git</t>
  </si>
  <si>
    <t>https://github.com/mk-knight23/vibe-cli</t>
  </si>
  <si>
    <t>https://github.com/rojins0209/Kaizen\_mobile</t>
  </si>
  <si>
    <t>https://github.com/adarshc703/Adarsh-.git</t>
  </si>
  <si>
    <t>https://github.com/NovakDavid98/physicscoin</t>
  </si>
  <si>
    <t>https://github.com/getAsterisk/claudia</t>
  </si>
  <si>
    <t>https://github.com/quantfive/codepress-review:</t>
  </si>
  <si>
    <t>https://github.com/brandondocusen/PyDiscovery</t>
  </si>
  <si>
    <t>https://github.com/pienaaranker/proxy</t>
  </si>
  <si>
    <t>https://github.com/chauminhvu/llm-based-gmail-organizer.git</t>
  </si>
  <si>
    <t>https://github.com/gerkensm/serve-llm</t>
  </si>
  <si>
    <t>https://github.com/jdcb4/podcast-ad-remover.</t>
  </si>
  <si>
    <t>https://github.com/AizenvoltPrime/claude-setup\</t>
  </si>
  <si>
    <t>https://github.com/Crave-Trinity/crave-trinity-backend</t>
  </si>
  <si>
    <t>https://github.com/benbasha/claudeloop</t>
  </si>
  <si>
    <t>https://github.com/ThatsRight-ItsTJ/LeapFrog\_A-BMAD-Expansion</t>
  </si>
  <si>
    <t>https://github.com/glittercowboy/plug...</t>
  </si>
  <si>
    <t>https://github.com/kane111/rag-chat-v2</t>
  </si>
  <si>
    <t>https://github.com/kruskal-labs/toolfront</t>
  </si>
  <si>
    <t>https://github.com/umpolungfish/cumpyl-framework</t>
  </si>
  <si>
    <t>https://github.com/neoneye/PlanExe</t>
  </si>
  <si>
    <t>https://github.com/omarseyam1729/windows-xp-folio**</t>
  </si>
  <si>
    <t>https://github.com/iamvaar-dev/heybro</t>
  </si>
  <si>
    <t>https://github.com/mateo-bolanos/codex-vault.git</t>
  </si>
  <si>
    <t>https://github.com/StarkweatherNow/VibeCheck</t>
  </si>
  <si>
    <t>https://github.com/a24z-ai/a24z-memory</t>
  </si>
  <si>
    <t>https://github.com/lukejoneslj/nextjsBoM</t>
  </si>
  <si>
    <t>https://github.com/dadbodgeoff/SwiftUIAudit.git</t>
  </si>
  <si>
    <t>https://github.com/The-Obstacle-Is-The-Way/clarity-loop-backend</t>
  </si>
  <si>
    <t>https://github.com/augiefra/ScreenSnap-Distribution</t>
  </si>
  <si>
    <t>https://github.com/Raezil/vibeGraphql</t>
  </si>
  <si>
    <t>https://github.com/webforage58/TubeGuide2</t>
  </si>
  <si>
    <t>https://github.com/FireRam63/QuantumFusionLauncher-P-</t>
  </si>
  <si>
    <t>https://github.com/apps/pr-visual</t>
  </si>
  <si>
    <t>https://github.com/NeptuneHub/AudioMuse-AI**</t>
  </si>
  <si>
    <t>https://github.com/mlmathr/mlmathr</t>
  </si>
  <si>
    <t>https://github.com/naijagamerx/code-prompt-enhancer\</t>
  </si>
  <si>
    <t>https://github.com/quadracollision/automatic\_shallot2</t>
  </si>
  <si>
    <t>https://github.com/arnaldo-delisio/arnos-mcp</t>
  </si>
  <si>
    <t>https://github.com/doughyvibe/vibeCodingGovFramework.git</t>
  </si>
  <si>
    <t>https://github.com/m1rl0k/Context-Engine</t>
  </si>
  <si>
    <t>https://github.com/rttgnck/CVEWatch.git</t>
  </si>
  <si>
    <t>https://github.com/truegoodcraft/TGC-BUS-Core</t>
  </si>
  <si>
    <t>https://github.com/m1rl0k/Context-Engine.git</t>
  </si>
  <si>
    <t>https://github.com/GIS1974/whisperx\_app\_3</t>
  </si>
  <si>
    <t>https://github.com/Rolaand-Jayz/RJW-IDD-Starter**</t>
  </si>
  <si>
    <t>https://github.com/HeroTools/open-wispr</t>
  </si>
  <si>
    <t>https://github.com/NinjaBeameR/2ools</t>
  </si>
  <si>
    <t>https://github.com/Shashankss1205/CodeGraphContext</t>
  </si>
  <si>
    <t>https://github.com/danyuchn/GPT-4o-transcribe-shortcut.git</t>
  </si>
  <si>
    <t>https://github.com/veighnsche/Vibe\_Copyleft</t>
  </si>
  <si>
    <t>https://github.com/acroz3n/Ben-s-Software-</t>
  </si>
  <si>
    <t>https://github.com/stevob14/onlyyields</t>
  </si>
  <si>
    <t>https://github.com/sa2shinakamo2/bt2c</t>
  </si>
  <si>
    <t>https://github.com/Juan-Pestana/Train\_the\_cursor</t>
  </si>
  <si>
    <t>https://github.com/MatiasDesuu/ThinkNote**</t>
  </si>
  <si>
    <t>https://github.com/rojins0209/Kaizen_mobile</t>
  </si>
  <si>
    <t>https://github.com/mk-knight23/vibe-vscode</t>
  </si>
  <si>
    <t>https://github.com/DejanJandric/TimeZoneAssistant</t>
  </si>
  <si>
    <t>https://github.com/shatrix/pixalize\_android</t>
  </si>
  <si>
    <t>https://github.com/DocHatty14/community-research-mcp</t>
  </si>
  <si>
    <t>https://github.com/snapver/snapver</t>
  </si>
  <si>
    <t>https://github.com/antonbelev/claude-owl</t>
  </si>
  <si>
    <t>https://github.com/Sharmil001/genz-lang</t>
  </si>
  <si>
    <t>https://github.com/benny-bc-huang/veridoc</t>
  </si>
  <si>
    <t>https://github.com/KwaminaWhyte/db-hive**</t>
  </si>
  <si>
    <t>https://github.com/katanemo/archgw</t>
  </si>
  <si>
    <t>https://github.com/Daxiongmao87/termaite</t>
  </si>
  <si>
    <t>https://github.com/Egham-7/adaptive</t>
  </si>
  <si>
    <t>https://github.com/Harsha-Bhattacharyya/4diary.git</t>
  </si>
  <si>
    <t>https://github.com/Thrasher-Intelligence/sigil</t>
  </si>
  <si>
    <t>https://github.com/WilliamAvHolmberg/rapid-dev</t>
  </si>
  <si>
    <t>https://github.com/juanitto-maker/AIworkbench.git</t>
  </si>
  <si>
    <t>https://github.com/mcj-kr/thunderbird-email-ai-assistant</t>
  </si>
  <si>
    <t>https://github.com/dipuda007/YOUTUBE-DOWNLOADER</t>
  </si>
  <si>
    <t>https://github.com/joshbrew/3D\_Fractals\_Scale\_Space</t>
  </si>
  <si>
    <t>https://github.com/danyuchn/Thai-News-Vector-Dialogue</t>
  </si>
  <si>
    <t>https://github.com/BrunoV21/CodeTide\</t>
  </si>
  <si>
    <t>https://github.com/andronov04/airena</t>
  </si>
  <si>
    <t>https://github.com/forsonny/The-Crucible-Writing-System-For-Claude.git`</t>
  </si>
  <si>
    <t>https://github.com/Rolaand-Jayz/RJW-IDD-Starter</t>
  </si>
  <si>
    <t>https://github.com/Vexa-ai/vexa\_example\_client</t>
  </si>
  <si>
    <t>https://github.com/bdavidriggins/VoxInput</t>
  </si>
  <si>
    <t>https://github.com/Fast-Editor/Lynkr\</t>
  </si>
  <si>
    <t>https://github.com/imran31415/gorph.</t>
  </si>
  <si>
    <t>https://github.com/Abhinav1416/coding-platform`</t>
  </si>
  <si>
    <t>https://github.com/webforage58/TubeGuide-Public</t>
  </si>
  <si>
    <t>https://github.com/Crave-Trinity/crave-trinity-frontend</t>
  </si>
  <si>
    <t>https://github.com/SeloSlav/vibe-coding-starter-pack-2d-multiplayer-survival</t>
  </si>
  <si>
    <t>https://github.com/MohamedDjoudir/nova-nextjs</t>
  </si>
  <si>
    <t>https://github.com/10xuio/aiseo</t>
  </si>
  <si>
    <t>https://github.com/officebeats/matrix-iptv**</t>
  </si>
  <si>
    <t>https://github.com/roeiba/SeedGPT</t>
  </si>
  <si>
    <t>https://github.com/fireproof-storage/vibes.diy</t>
  </si>
  <si>
    <t>https://github.com/Howtoimagine/E8-Kaleidescope-AI</t>
  </si>
  <si>
    <t>https://github.com/iamvaar-dev/heybro_chrome</t>
  </si>
  <si>
    <t>https://github.com/keatonslee1/MentalBreak</t>
  </si>
  <si>
    <t>https://github.com/Diabolacal/EF-Map</t>
  </si>
  <si>
    <t>https://github.com/kics223w1/GitDesktop</t>
  </si>
  <si>
    <t>https://github.com/TheFirewall-code/TheFirewall-Secrets-SCA</t>
  </si>
  <si>
    <t>https://github.com/GenuineDickies/indie-neon-ui</t>
  </si>
  <si>
    <t>https://github.com/zilliztech/CodeIndexer</t>
  </si>
  <si>
    <t>https://github.com/empathy0/project\_bundler</t>
  </si>
  <si>
    <t>https://github.com/m1rl0k/Context-Engine?tab=readme-ov-file</t>
  </si>
  <si>
    <t>https://github.com/BassanioMusic/Random-Melody-Generator</t>
  </si>
  <si>
    <t>SideProject</t>
  </si>
  <si>
    <t>https://github.com/Skowt/Loadr</t>
  </si>
  <si>
    <t>https://github.com/YigitGunduc/cycle</t>
  </si>
  <si>
    <t>26eb2a3b4b61505b7f21395e0165a1cee3973090</t>
  </si>
  <si>
    <t>https://github.com/saurabh0719/jett</t>
  </si>
  <si>
    <t>https://github.com/tn/climood</t>
  </si>
  <si>
    <t>4dae3cae768245a169e8abeccb457558fac8c112</t>
  </si>
  <si>
    <t>https://github.com/PaulVLAD22/Wikipedia-Text-Formatter</t>
  </si>
  <si>
    <t>2ef0bd84b0b2b6d56c122ccfcc2d7733df1b42f2</t>
  </si>
  <si>
    <t>https://github.com/tibordp/coinflipper</t>
  </si>
  <si>
    <t>https://github.com/Etheonor/supanextail-lite</t>
  </si>
  <si>
    <t>6e7ecdf0707b64e58bfbfdb97780f55c08b1288d</t>
  </si>
  <si>
    <t>https://github.com/murfffi/zebra4j</t>
  </si>
  <si>
    <t>https://github.com/junnoiri/two-dice-statistic</t>
  </si>
  <si>
    <t>2b5ee356d4de6fc7e1b0f088327564b7c374ce8a</t>
  </si>
  <si>
    <t>https://github.com/anshulxyz/todo-rs</t>
  </si>
  <si>
    <t>b5e37386bd88163bbc66dc90edcf3ed45044219d</t>
  </si>
  <si>
    <t>https://github.com/Guuzzeji/Console-Against-Humans</t>
  </si>
  <si>
    <t>93657bf5116514f43cf66e26c65e7d8b85c8c2db</t>
  </si>
  <si>
    <t>https://github.com/ctk-hq/ctk</t>
  </si>
  <si>
    <t>https://github.com/sam46/FuncMorph</t>
  </si>
  <si>
    <t>ca0129b3f0cf0b9b3a0a24ee7640bc8b0d0a45f4</t>
  </si>
  <si>
    <t>https://github.com/sibis/producthunt-cli</t>
  </si>
  <si>
    <t>676df0c1a0981b33cdbbafe8f9457ecdcedc90b0</t>
  </si>
  <si>
    <t>https://github.com/ZackHolmberg/RandomMeme</t>
  </si>
  <si>
    <t>e6d1d65ef01b202d9ea6212b2aa59cd8195b72ce</t>
  </si>
  <si>
    <t>https://github.com/black/ObserverJS</t>
  </si>
  <si>
    <t>https://github.com/jkhan-007/contextually-app</t>
  </si>
  <si>
    <t>e3f3606b487533e907b961bb6fc68423c7ae5db1</t>
  </si>
  <si>
    <t>https://github.com/SSamps/giftlist-front</t>
  </si>
  <si>
    <t>https://github.com/2stable/meow</t>
  </si>
  <si>
    <t>https://github.com/mcmxcdev/ConcertMash</t>
  </si>
  <si>
    <t>https://github.com/SergChr/qcv</t>
  </si>
  <si>
    <t>321d6b87873156c4fa75bfe9f49abc4b0a4e02a4</t>
  </si>
  <si>
    <t>https://github.com/euandmj/PlexSync-Mobile</t>
  </si>
  <si>
    <t>f485a4c790991b27652d5c26a0e2695cdb195bc5</t>
  </si>
  <si>
    <t>https://github.com/BoardiesITSolutions/DDHueAlert</t>
  </si>
  <si>
    <t>86f1eb0b97745524ee841fc80fb88407051370f6</t>
  </si>
  <si>
    <t>https://github.com/Noovolari/leapp</t>
  </si>
  <si>
    <t>https://github.com/boyney123/eventbridge-atlas</t>
  </si>
  <si>
    <t>0ed4ac50517a55fcf29c48693f8442b4892ce5ee</t>
  </si>
  <si>
    <t>https://github.com/RikudouSage/FirefoxTravoltaMemePatch#firefox-travolta-meme-patch</t>
  </si>
  <si>
    <t>684f7bc931df3ef9df619ba97f9413ad4b7498d0</t>
  </si>
  <si>
    <t>https://github.com/adnanh/webhook</t>
  </si>
  <si>
    <t>https://github.com/rittikbasu/yc-job-client</t>
  </si>
  <si>
    <t>9652b688fb685f96e893a89a43e70d527d98ae07</t>
  </si>
  <si>
    <t>https://github.com/caronc/apprise-api</t>
  </si>
  <si>
    <t>https://github.com/atapas/promiviz</t>
  </si>
  <si>
    <t>https://github.com/mach-kernel/fts-actors</t>
  </si>
  <si>
    <t>d82624d472bab41da925d2ed77ccda797a4f1aaa</t>
  </si>
  <si>
    <t>https://github.com/oussamahamdaoui/noframework.js</t>
  </si>
  <si>
    <t>7d5e83dbb68129d9cc1a8e044c91c1badecd22fb</t>
  </si>
  <si>
    <t>https://github.com/zafar-saleem/timeoff-app</t>
  </si>
  <si>
    <t>ab4534c5a844767513b1ef3e6657cec30360aadf</t>
  </si>
  <si>
    <t>https://github.com/alexander-heimbuch/millidocs</t>
  </si>
  <si>
    <t>1ad430e9f17f946639614da4d7d8af1234219e4b</t>
  </si>
  <si>
    <t>https://github.com/cloutierjo/titleUrl</t>
  </si>
  <si>
    <t>e347b4a15d95523975e690df404cc72fe2a0d487</t>
  </si>
  <si>
    <t>https://github.com/Pammota/Litere2</t>
  </si>
  <si>
    <t>883af2f57c0df7c3dd88277f6b6a9465b7daa639</t>
  </si>
  <si>
    <t>https://github.com/anhtumai/roomie-backend</t>
  </si>
  <si>
    <t>https://github.com/keis/stream-compiler</t>
  </si>
  <si>
    <t>9b4d570fb953dd9abf96cadf1847c92ac33d5dc6</t>
  </si>
  <si>
    <t>https://github.com/Rishabh-malhotraa/caucus-server</t>
  </si>
  <si>
    <t>52a04253d9caf386f1c6db7ee43987b9297daa91</t>
  </si>
  <si>
    <t>https://github.com/IliasHad/habitscript_vscode</t>
  </si>
  <si>
    <t>4dc81f5a4974b9b7a98772d707fec811e7160e3f</t>
  </si>
  <si>
    <t>https://github.com/arpit/grocerytimer-tracker</t>
  </si>
  <si>
    <t>7aef8b468445c6e909d6dffba4df0f83674ecbc4</t>
  </si>
  <si>
    <t>https://github.com/driemworks/mercury-blockchain</t>
  </si>
  <si>
    <t>88bd9317cd47fa99b7617099f8ab2181ba0256dd</t>
  </si>
  <si>
    <t>https://github.com/TachyonCMS/tachyoncms</t>
  </si>
  <si>
    <t>a3c88ecd1fc0865e67cd1ff0dd9b38d2c182b08b</t>
  </si>
  <si>
    <t>https://github.com/meilisearch/MeiliSearch</t>
  </si>
  <si>
    <t>https://github.com/slouc/randit</t>
  </si>
  <si>
    <t>7601439d52bc5b4ecfe2e05d80a50ac29118c8cb</t>
  </si>
  <si>
    <t>https://github.com/quackduck/secret</t>
  </si>
  <si>
    <t>8dc0fc3b097ed1d5991bd5330869dc0704908a2b</t>
  </si>
  <si>
    <t>https://github.com/gunjankarun/just50words</t>
  </si>
  <si>
    <t>4c36df7e1adce25ef481ac0f9d2a0e4e95d4ce2f</t>
  </si>
  <si>
    <t>https://github.com/brainless/dwata</t>
  </si>
  <si>
    <t>https://github.com/RLD-JL/Just-Listen</t>
  </si>
  <si>
    <t>https://github.com/Andreilys/personal_dashboard</t>
  </si>
  <si>
    <t>619fe570370dc1d257ef2a042e72ef370745a929</t>
  </si>
  <si>
    <t>https://github.com/mobilejazz/localname</t>
  </si>
  <si>
    <t>0f9682e7f684441c865951ed06f71d19b2837065</t>
  </si>
  <si>
    <t>https://github.com/jankrepl/mltype</t>
  </si>
  <si>
    <t>https://github.com/saurabh0719/elara</t>
  </si>
  <si>
    <t>https://github.com/theycallmemac/odin</t>
  </si>
  <si>
    <t>a01d039e809eca257fa78d358fe72eb3ad2a09f2</t>
  </si>
  <si>
    <t>https://github.com/mykolaharmash/git-jump</t>
  </si>
  <si>
    <t>00e4b5b426c80f3f1bdb313cbc0aea7a15e87f3c</t>
  </si>
  <si>
    <t>https://github.com/oslabs-beta/SocketLeague</t>
  </si>
  <si>
    <t>71e8d5777dc927291a1bc9464a092b078710d2e7</t>
  </si>
  <si>
    <t>https://github.com/lost-pixel/lost-pixel</t>
  </si>
  <si>
    <t>https://github.com/flancast90/Millidocs-Dark</t>
  </si>
  <si>
    <t>5cbe102c1a6c0642480ca72eae32b4f87c41972f</t>
  </si>
  <si>
    <t>https://github.com/grey-area/qcircuits</t>
  </si>
  <si>
    <t>c42a525e50b8df7c77e2407dcefea5bf7458525b</t>
  </si>
  <si>
    <t>https://github.com/Seneral/FlagPlayer</t>
  </si>
  <si>
    <t>https://github.com/chartbrew/chartbrew</t>
  </si>
  <si>
    <t>https://github.com/Ulysseassoo/ChatMore</t>
  </si>
  <si>
    <t>https://github.com/moizahmedd/typelikethis</t>
  </si>
  <si>
    <t>33073e276176b5f7c9649d5f9d8e7db412d0e0fb</t>
  </si>
  <si>
    <t>https://github.com/joshi008/gsoc-tagger</t>
  </si>
  <si>
    <t>625a2629d9008aa9a72533f23c26ee331802274a</t>
  </si>
  <si>
    <t>https://github.com/gethari/StackExchange.NET</t>
  </si>
  <si>
    <t>e05fab00de713d57da920a4f94c424fd8a73f415</t>
  </si>
  <si>
    <t>https://github.com/ikassim9/Marvel-Comics</t>
  </si>
  <si>
    <t>https://github.com/HarelZeevi/Missile_Command</t>
  </si>
  <si>
    <t>353418a868f9127d170d175070efe79c076b48e6</t>
  </si>
  <si>
    <t>https://github.com/AJAYK-01/Yiflyx</t>
  </si>
  <si>
    <t>53cf3cfd0024da38f4129bc816363fee6bc7eec9</t>
  </si>
  <si>
    <t>https://github.com/gabrielkay/POTUS-Progress-Bar</t>
  </si>
  <si>
    <t>f2e6ce508d5bceb9ef21bd6fa2fb3eda33a7a1a1</t>
  </si>
  <si>
    <t>https://github.com/noxasch/shoji-extension-admin</t>
  </si>
  <si>
    <t>a423b2f909c40e5062f7fbd9a1ed7911090ef697</t>
  </si>
  <si>
    <t>https://github.com/abdmmar/wc-toast</t>
  </si>
  <si>
    <t>https://github.com/IngvarX/Camelot</t>
  </si>
  <si>
    <t>https://github.com/ananyadhananjaya/pomodora</t>
  </si>
  <si>
    <t>b93382d7d310865d0684abf9da4f2d5def48529b</t>
  </si>
  <si>
    <t>https://github.com/saurabh0719/pswHash</t>
  </si>
  <si>
    <t>https://github.com/maximthomas/blazewall</t>
  </si>
  <si>
    <t>https://github.com/simplecto/screenshots</t>
  </si>
  <si>
    <t>https://github.com/streetwriters/notesnook</t>
  </si>
  <si>
    <t>https://github.com/Novartis/YADA</t>
  </si>
  <si>
    <t>e37c360b21bcdaf3c76cb26cd2432c2c368c64ef</t>
  </si>
  <si>
    <t>https://github.com/the-illarionov/the-supersonic-plugin-for-scroll-based-animation</t>
  </si>
  <si>
    <t>https://github.com/gamer2810/steam-miniprofile</t>
  </si>
  <si>
    <t>https://github.com/galalen/simple-hand-calc</t>
  </si>
  <si>
    <t>43e4e1e9e32709a293ab1b20a4a115d44367544e</t>
  </si>
  <si>
    <t>https://github.com/kyh/tc</t>
  </si>
  <si>
    <t>https://github.com/cbrand/esp32-ir-remote</t>
  </si>
  <si>
    <t>c7be6c6a75bb924c4ea52d5ea724b186294801bb</t>
  </si>
  <si>
    <t>https://github.com/pvs1209pvs/Spent</t>
  </si>
  <si>
    <t>https://github.com/thayallans/linkexploder</t>
  </si>
  <si>
    <t>https://github.com/ollelogdahl/ihct</t>
  </si>
  <si>
    <t>aba146b8413e2474db85873b0132d900d1746570</t>
  </si>
  <si>
    <t>https://github.com/hasithsen/simple-todo-list</t>
  </si>
  <si>
    <t>https://github.com/dgrcode/compalary</t>
  </si>
  <si>
    <t>https://github.com/miratcan/internetguzeldir</t>
  </si>
  <si>
    <t>https://github.com/linkinmedo/steam-roulette</t>
  </si>
  <si>
    <t>3d4fe35d4a5c83e04d1e5b9bef2327f08bbde17b</t>
  </si>
  <si>
    <t>https://github.com/tmjeee/fuyuko</t>
  </si>
  <si>
    <t>3d700e1259885b361861afc360ec4fff2d46e5a8</t>
  </si>
  <si>
    <t>https://github.com/starwiz-7/HackBot-Scraper</t>
  </si>
  <si>
    <t>897dc88fc76eecbd67f423d06e4949faa1a07a97</t>
  </si>
  <si>
    <t>https://github.com/Steppschuh/PlaceTracking</t>
  </si>
  <si>
    <t>29f1ab1c0e6a509462409b67c8efd248c4def49d</t>
  </si>
  <si>
    <t>https://github.com/rittikbasu/meme-generator</t>
  </si>
  <si>
    <t>7a462205e9360476166790c6485691e88fb707e6</t>
  </si>
  <si>
    <t>https://github.com/gravetii/diztl</t>
  </si>
  <si>
    <t>bf879409405f75424276a4df4dc51b47b96dffa8</t>
  </si>
  <si>
    <t>https://github.com/MegaTKC/multiplayer-game</t>
  </si>
  <si>
    <t>126f7aeac5004a6b66a63d98c9755301b349eccc</t>
  </si>
  <si>
    <t>https://github.com/sgolovine/fav.sh</t>
  </si>
  <si>
    <t>4429ecc13d4772eac4c462d86252f7f5bb8a7198</t>
  </si>
  <si>
    <t>https://github.com/snek152/ts-lib-template</t>
  </si>
  <si>
    <t>32c5f3e9297a76b6f53d0014f637f22714be6f7d</t>
  </si>
  <si>
    <t>https://github.com/ammark47/BballApp</t>
  </si>
  <si>
    <t>8b680bc7a420a852270362499713d5726e7f6c8a</t>
  </si>
  <si>
    <t>https://github.com/tavyandy97/span-tree</t>
  </si>
  <si>
    <t>https://github.com/sgriffin53/ravenopeningsexplorer</t>
  </si>
  <si>
    <t>3497a333e75eabf496b6904cd7a85e31dc7c1e72</t>
  </si>
  <si>
    <t>https://github.com/booua/smogbar</t>
  </si>
  <si>
    <t>018adf4e5b83b128043c815e6b857ec1bcee03d6</t>
  </si>
  <si>
    <t>https://github.com/amirgamil/carly</t>
  </si>
  <si>
    <t>ba8dd42490acedc40b2957c65882c5393398f063</t>
  </si>
  <si>
    <t>https://github.com/rohitbatra1/Safari-Reverse-Image-Search</t>
  </si>
  <si>
    <t>201040f0b9f1f686ce26ea63ac48313190b3fb4d</t>
  </si>
  <si>
    <t>https://github.com/GaZaTu/x11-emoji-picker</t>
  </si>
  <si>
    <t>https://github.com/techdervish/surflog</t>
  </si>
  <si>
    <t>0f8551a90fade369f463a469a91f6aa3e2ba81ba</t>
  </si>
  <si>
    <t>https://github.com/thomasmatt88/tfhub-od-easy</t>
  </si>
  <si>
    <t>220c46897c0e4d937ef68542e7a6bbe88ea749ef</t>
  </si>
  <si>
    <t>https://github.com/aduranil/django-channels-react-multiplayer</t>
  </si>
  <si>
    <t>2d8bbf408442f73cba461beb2ef2b50a33d23cae</t>
  </si>
  <si>
    <t>https://github.com/follow-github-organisation/fghx</t>
  </si>
  <si>
    <t>008aa29ac44f94ecaf0abf0a80072893ac5434bd</t>
  </si>
  <si>
    <t>https://github.com/sandoche/CuratedStack-nocode-template</t>
  </si>
  <si>
    <t>497c161452d11515fc6ed9a2a62d3fed33fceb15</t>
  </si>
  <si>
    <t>https://github.com/nedlir/OfficerBreaker</t>
  </si>
  <si>
    <t>4141bbedaa45e5729c44d3f530e3cc75dd7847cc</t>
  </si>
  <si>
    <t>https://github.com/mayur091193/readme-pro</t>
  </si>
  <si>
    <t>180ac3726e00ec5c211fc1830da68b7c9d7b6888</t>
  </si>
  <si>
    <t>https://github.com/Shahzayb/freemage</t>
  </si>
  <si>
    <t>65d3e0f638d9c61057df8cc2ff932b8897a5be68</t>
  </si>
  <si>
    <t>https://github.com/sramezani/resume-builder</t>
  </si>
  <si>
    <t>https://github.com/jlusPrivat/DestBox</t>
  </si>
  <si>
    <t>2dddcc215ae5e86d5a70c20f1988279a27996c21</t>
  </si>
  <si>
    <t>https://github.com/acrlakshman/profileio</t>
  </si>
  <si>
    <t>https://github.com/nilaymaj/esolang-park</t>
  </si>
  <si>
    <t>https://github.com/lalitadithya/SimpleNetworking</t>
  </si>
  <si>
    <t>a2adfbe05fcad54780ae7d0fc5eb898cf00e40a9</t>
  </si>
  <si>
    <t>https://github.com/pa-aggarwal/playlist-converter</t>
  </si>
  <si>
    <t>e782cb2b9473c791265657c65338cc12c856b91f</t>
  </si>
  <si>
    <t>https://github.com/vihdutta/autosort</t>
  </si>
  <si>
    <t>a9bd0b96bf84bc5c78bf25e6658f228881405923</t>
  </si>
  <si>
    <t>https://github.com/perryrh0dan/tmpo</t>
  </si>
  <si>
    <t>https://github.com/dbgate/dbgate</t>
  </si>
  <si>
    <t>https://github.com/alonstern/real-estate-tracker</t>
  </si>
  <si>
    <t>99e658f0d7d01100de4bdc2fc57d08aa5e52ee19</t>
  </si>
  <si>
    <t>https://github.com/AmruthPillai/Reactive-Resume</t>
  </si>
  <si>
    <t>https://github.com/thephilomaths/sendight-backend</t>
  </si>
  <si>
    <t>aec7aadf8d5cea9b1abd4b501eae7493ec9b021d</t>
  </si>
  <si>
    <t>https://github.com/okonek/tidal-cli-client</t>
  </si>
  <si>
    <t>13246062dd7e28672b49e758521f038eb8263b10</t>
  </si>
  <si>
    <t>https://github.com/AmeyKamat/MEERA</t>
  </si>
  <si>
    <t>30635b68995a9ce17024a76eb1b23cc1c300404f</t>
  </si>
  <si>
    <t>https://github.com/SigNoz/signoz</t>
  </si>
  <si>
    <t>https://github.com/HDK101/unnoficial-gog-product-wrapper</t>
  </si>
  <si>
    <t>d0f6e752171130124a93be4ae210f8412b858b57</t>
  </si>
  <si>
    <t>https://github.com/cupcakearmy/ora</t>
  </si>
  <si>
    <t>63713faa85f4b462cbe1a7b98a9b0909ce0b2b91</t>
  </si>
  <si>
    <t>https://github.com/anishshanbhag/Origin-Finder</t>
  </si>
  <si>
    <t>95f7ec96306caf45b5c180df4455829ca6aefc51</t>
  </si>
  <si>
    <t>https://github.com/nkorai/DiyAuth</t>
  </si>
  <si>
    <t>065a3833365c941184f07bf6f8dfd66401a27cc2</t>
  </si>
  <si>
    <t>https://github.com/fdemian/morpheus-frontend</t>
  </si>
  <si>
    <t>1b699929a452d9bca33e1f55570fc52569fb4781</t>
  </si>
  <si>
    <t>https://github.com/LibrePhotos/librephotos</t>
  </si>
  <si>
    <t>https://github.com/amirgamil/apollo</t>
  </si>
  <si>
    <t>c34d6d11efc4d049d199fa1ff1f6df15f1063e70</t>
  </si>
  <si>
    <t>https://github.com/b3z/homebrew-small</t>
  </si>
  <si>
    <t>e6196ed078b6b0d569922800edcb15eceb8775f1</t>
  </si>
  <si>
    <t>https://github.com/mediv0/v-bucket</t>
  </si>
  <si>
    <t>https://github.com/Racle/Reddit2Ebook</t>
  </si>
  <si>
    <t>https://github.com/MrSnix/TTL74181</t>
  </si>
  <si>
    <t>b249103ba0e199364d04713e0191365c829fdad0</t>
  </si>
  <si>
    <t>https://github.com/KrossyKey/krossykey</t>
  </si>
  <si>
    <t>f0e1eb593b498577de032aa431409d1d94be3a02</t>
  </si>
  <si>
    <t>https://github.com/wxFormBuilder/wxFormBuilder</t>
  </si>
  <si>
    <t>https://github.com/kingsteph23/Currency-Converter</t>
  </si>
  <si>
    <t>67ee6c7407278df392c8174610764f0a81bb97d5</t>
  </si>
  <si>
    <t>https://github.com/souvikinator/notion-to-md</t>
  </si>
  <si>
    <t>https://github.com/MitchellMarkGeorge/TabButler</t>
  </si>
  <si>
    <t>https://github.com/Linbreux/wikmd</t>
  </si>
  <si>
    <t>https://github.com/dd3v/snippets.ninja</t>
  </si>
  <si>
    <t>https://github.com/shamiul94/Subtitle-Synchronizer</t>
  </si>
  <si>
    <t>bd5893cefb5bfb1b0cfaa2248f23db9be46e24d2</t>
  </si>
  <si>
    <t>https://github.com/profullstack/upvotocracy-ui-ssr</t>
  </si>
  <si>
    <t>https://github.com/PhysicsUofRAUI/RecSportsApp</t>
  </si>
  <si>
    <t>1b67602088b6271d5f6fee7d32ca6a9a560946a3</t>
  </si>
  <si>
    <t>https://github.com/theterminalguy/floatcam</t>
  </si>
  <si>
    <t>https://github.com/kalyan427/Vaccine-Spotter</t>
  </si>
  <si>
    <t>3873b229cd094de3f6364cdc3f9c12cb9edab54d</t>
  </si>
  <si>
    <t>https://github.com/nickhir/pyfilemv</t>
  </si>
  <si>
    <t>cb3581c3f1b805345eeaed508ed0283f754ed5b8</t>
  </si>
  <si>
    <t>https://github.com/openshiporg/openfront</t>
  </si>
  <si>
    <t>https://github.com/varturas/PnlAITk</t>
  </si>
  <si>
    <t>72a19f253d1abd4e35fb48da137bacd69b53f179</t>
  </si>
  <si>
    <t>https://github.com/shubd-dev/Bank_app2</t>
  </si>
  <si>
    <t>https://github.com/carlosfrodrigues/silkscreen</t>
  </si>
  <si>
    <t>dfd65e5a7ac9852419d7683112e28fa76bf09c33</t>
  </si>
  <si>
    <t>https://github.com/PabloLec/StarryLines</t>
  </si>
  <si>
    <t>https://github.com/Ademking/WebCmd</t>
  </si>
  <si>
    <t>38bf9f8a14a878481c8f849bd9877bea6adfd125</t>
  </si>
  <si>
    <t>https://github.com/abuuzayr/coronavirus-apps</t>
  </si>
  <si>
    <t>523efe2c44e5eba9741a519853d11ed6f8a2946f</t>
  </si>
  <si>
    <t>https://github.com/subins2000/p2pt</t>
  </si>
  <si>
    <t>https://github.com/kha7iq/pingme</t>
  </si>
  <si>
    <t>https://github.com/oskar-codes/simple-canvas</t>
  </si>
  <si>
    <t>3c0aa11874e16e5155762a8fddb48fe5a7dd30a2</t>
  </si>
  <si>
    <t>https://github.com/devfake/years-to-read</t>
  </si>
  <si>
    <t>cd112cbea6eb5c910f49c9dbd5f6a138d3ba2ea5</t>
  </si>
  <si>
    <t>https://github.com/jweisbeck/Crossword</t>
  </si>
  <si>
    <t>fee30d7676b59345599daf8b53bb0fbb9ca87a1d</t>
  </si>
  <si>
    <t>https://github.com/bhavitvyamalik/DialogTag</t>
  </si>
  <si>
    <t>15f3254fdfcfc960eb82ae86119a1a58fb4766b9</t>
  </si>
  <si>
    <t>https://github.com/250/Steam-importer</t>
  </si>
  <si>
    <t>https://github.com/nasimuddin01/portfolio-site-with-html-sass-and-js</t>
  </si>
  <si>
    <t>4125f1e3a73624cc8b5ec2896897f3a9582bead5</t>
  </si>
  <si>
    <t>https://github.com/starwiz-7/HackBot</t>
  </si>
  <si>
    <t>aa8531244ffb92435ab160766c5cf6eba2d1aac3</t>
  </si>
  <si>
    <t>https://github.com/msjaber/marked.cc</t>
  </si>
  <si>
    <t>c5e0d254fe52f08e4b5c17fdb74d33747c790938</t>
  </si>
  <si>
    <t>https://github.com/kokimame/joytan</t>
  </si>
  <si>
    <t>ce1b5f0b5d9c5e19336b40861b83696683c3f22c</t>
  </si>
  <si>
    <t>https://github.com/tsensei/spaceXtale</t>
  </si>
  <si>
    <t>ace1680ea3ac2ef1f16b550ce86ecbf98a33cd54</t>
  </si>
  <si>
    <t>https://github.com/radekxrandom/latin_dictionary_browser_extension</t>
  </si>
  <si>
    <t>1dfed03b27e42d2280882e83564651695dc17c0b</t>
  </si>
  <si>
    <t>https://github.com/gregordr/ImageStore</t>
  </si>
  <si>
    <t>https://github.com/isaacrlevin/PresenceLight</t>
  </si>
  <si>
    <t>https://github.com/krmax44/taggler</t>
  </si>
  <si>
    <t>b74981c1b047b859bd49a7e1a73ae7596783424a</t>
  </si>
  <si>
    <t>https://github.com/alexpdp7/zqxjkcrud</t>
  </si>
  <si>
    <t>https://github.com/kenkpix/diabetes_risk_prediction</t>
  </si>
  <si>
    <t>f052ebee1c01057af57754bee949f7f2eb841645</t>
  </si>
  <si>
    <t>https://github.com/amirgamil/flora</t>
  </si>
  <si>
    <t>1340a425979abefb54904a6f723f06e98bd952f5</t>
  </si>
  <si>
    <t>https://github.com/AlexNabokikh/windows-playbook</t>
  </si>
  <si>
    <t>https://github.com/hmshreyas7/dish-wish</t>
  </si>
  <si>
    <t>0a9ec8e7d65bd68e79608eb9d4207139df11ac47</t>
  </si>
  <si>
    <t>https://github.com/deepto98/semblance-game</t>
  </si>
  <si>
    <t>b3b1885659cdc12e62ee7571b8ec0acca84fd0b6</t>
  </si>
  <si>
    <t>https://github.com/endorama/2ami</t>
  </si>
  <si>
    <t>https://github.com/EvanBurbidge/git-glance</t>
  </si>
  <si>
    <t>9275badd4be2ddc7943d2b2c01e2211562397b57</t>
  </si>
  <si>
    <t>https://github.com/mcnaveen/Random-Words-API</t>
  </si>
  <si>
    <t>https://github.com/alexkim205/g-desktop-suite</t>
  </si>
  <si>
    <t>e9622884dfa7948cbc6a079c06d73e0b8544cf8c</t>
  </si>
  <si>
    <t>https://github.com/cjdellomes/vibe-graph</t>
  </si>
  <si>
    <t>88f5c84c086825bb56e5473491051d9c763e1a99</t>
  </si>
  <si>
    <t>https://github.com/akashrchandran/Rayso-API</t>
  </si>
  <si>
    <t>https://github.com/navneetsharmaui/discover-twitter-spaces</t>
  </si>
  <si>
    <t>504063ae0753946a695f7b64a0be1c5e8e31aa42</t>
  </si>
  <si>
    <t>https://github.com/polarsteps-tracker/polarsteps-slack-bot</t>
  </si>
  <si>
    <t>140595cef1edd837154b465f706059674878b88d</t>
  </si>
  <si>
    <t>https://github.com/retro/writisan</t>
  </si>
  <si>
    <t>c13801d222545b41ef6af3642225b9d8318f9a36</t>
  </si>
  <si>
    <t>https://github.com/sandoche/Terminhack</t>
  </si>
  <si>
    <t>fd6ba8277dab3d0c0680a80281be52746c47212d</t>
  </si>
  <si>
    <t>https://github.com/mathjeff/ActivityRecommender</t>
  </si>
  <si>
    <t>https://github.com/spaceyour/dragerweb</t>
  </si>
  <si>
    <t>e4a48d3b0917b44d0a83b2680a99728a75f840da</t>
  </si>
  <si>
    <t>https://github.com/bennetdev/todolist</t>
  </si>
  <si>
    <t>fce8aaa885b08cd7eefb74e413ea44f41546b3e4</t>
  </si>
  <si>
    <t>https://github.com/warrenday/graphql-network-inspector</t>
  </si>
  <si>
    <t>https://github.com/nik-suri/MyTruth</t>
  </si>
  <si>
    <t>56d42f2720bff6691e6796455a4c327685446cc7</t>
  </si>
  <si>
    <t>https://github.com/itays123/partydeck</t>
  </si>
  <si>
    <t>d8f57de38c0e270b3525888a319a2b5b0333dd06</t>
  </si>
  <si>
    <t>https://github.com/benharvie/AmaPrice-API</t>
  </si>
  <si>
    <t>https://github.com/Pronoy999/VaccineAvailabilityNotifier</t>
  </si>
  <si>
    <t>c191986be5908fe16fbecec4bc4c6e3479303d11</t>
  </si>
  <si>
    <t>https://github.com/MoeinMavini/sema</t>
  </si>
  <si>
    <t>219cd1c7e04a03422ebb41a982d936da3ba18e6c</t>
  </si>
  <si>
    <t>https://github.com/slavcoder/timer</t>
  </si>
  <si>
    <t>059cf5ba42d423b7f238c34a4e364937ec0cf6ef</t>
  </si>
  <si>
    <t>https://github.com/m-kus/testex</t>
  </si>
  <si>
    <t>dbc48712baaf3e2e09427e261616d98e6c686666</t>
  </si>
  <si>
    <t>https://github.com/harttle/clipbrd-share</t>
  </si>
  <si>
    <t>30352cc8d9613586138f21fa59483d41032735af</t>
  </si>
  <si>
    <t>https://github.com/mc51/Corona-Test-Comparison</t>
  </si>
  <si>
    <t>https://github.com/rish-16/sight</t>
  </si>
  <si>
    <t>d04db64a03a5c2808027246b23384ea2e474479c</t>
  </si>
  <si>
    <t>https://github.com/apoclyps/reviews</t>
  </si>
  <si>
    <t>https://github.com/SSamps/giftlist-back</t>
  </si>
  <si>
    <t>https://github.com/joeattardi/tailstreamer</t>
  </si>
  <si>
    <t>a95d785bfa4594661ecbb6287abcfc7baeb2d182</t>
  </si>
  <si>
    <t>https://github.com/sam46/Agar.io-Clone</t>
  </si>
  <si>
    <t>efda9287aa1bb417f6506c592354234775844230</t>
  </si>
  <si>
    <t>https://github.com/minchanhan/Gym-Weight-Converter</t>
  </si>
  <si>
    <t>844fb76f2b1670f60e1be0733340459c6e929573</t>
  </si>
  <si>
    <t>https://github.com/carlortiz/Lakers-Turnovers-Tracker</t>
  </si>
  <si>
    <t>https://github.com/Dadangdut33/simple-wallpaper-changer</t>
  </si>
  <si>
    <t>9f58b6fc4c7b980e7ede854ee9da19c1216a5886</t>
  </si>
  <si>
    <t>https://github.com/qnkhuat/tstream</t>
  </si>
  <si>
    <t>928b7cc203d0b8fe38c67ffffb42923e78d9465e</t>
  </si>
  <si>
    <t>https://github.com/Docile-Alligator/Infinity-For-Reddit</t>
  </si>
  <si>
    <t>https://github.com/TheDevilOfJesters/CurseforgeParsing</t>
  </si>
  <si>
    <t>f0a552ace9adbfdf80c5d702886dc558d1dec4ae</t>
  </si>
  <si>
    <t>https://github.com/NitishGadangi/Privacy-Indicator-App</t>
  </si>
  <si>
    <t>8e0db14b9188e2df26d2859dad99b6584fafac9a</t>
  </si>
  <si>
    <t>https://github.com/jackdh/RasaTalk</t>
  </si>
  <si>
    <t>757630b3ce9ba9e7ee827a6ff35b400158961e84</t>
  </si>
  <si>
    <t>https://github.com/ckissi/responsive-html-email-templates</t>
  </si>
  <si>
    <t>b0fceb4211d6525cd865d9149f6a2f460b2a8d97</t>
  </si>
  <si>
    <t>https://github.com/ThewApp/vercel-shorturl-starter</t>
  </si>
  <si>
    <t>https://github.com/severell/severell</t>
  </si>
  <si>
    <t>9bc9b5d746997a757d8551369f6dc2b5806d3e01</t>
  </si>
  <si>
    <t>https://github.com/DerYeger/noted</t>
  </si>
  <si>
    <t>https://github.com/NickyMateev/Line-Clipper</t>
  </si>
  <si>
    <t>8ca7493ee8b85e3a8e5a698ee5367fb497e05165</t>
  </si>
  <si>
    <t>https://github.com/twf-nikhila/Awesome-Black-Friday-Cyber-Monday-deals</t>
  </si>
  <si>
    <t>https://github.com/LukasForst/katlib</t>
  </si>
  <si>
    <t>https://github.com/lukevella/rallly</t>
  </si>
  <si>
    <t>https://github.com/PabloLec/insta_newspaper</t>
  </si>
  <si>
    <t>4149fe22c061e18493aa4e5b0b12c1e37a97728c</t>
  </si>
  <si>
    <t>https://github.com/murfffi/zebra-apps</t>
  </si>
  <si>
    <t>https://github.com/SimranjitKaurMaan/Notely#features</t>
  </si>
  <si>
    <t>374be39dfc48e6054e2376cc819c79868228b309</t>
  </si>
  <si>
    <t>https://github.com/napisani/photostore</t>
  </si>
  <si>
    <t>d1ee649bbc5c53582757cccb3147b7eacfb2aba6</t>
  </si>
  <si>
    <t>https://github.com/SnaKKo/Fossdroid-Core</t>
  </si>
  <si>
    <t>6385c1f9d6dbcbdbc92a40655492ab0b58c30a61</t>
  </si>
  <si>
    <t>https://github.com/mjamry/youtubeScrobbler#features</t>
  </si>
  <si>
    <t>7422283c5e3176fe646d6269a8184f6cd59ff6a0</t>
  </si>
  <si>
    <t>https://github.com/peasoupio/inv</t>
  </si>
  <si>
    <t>6232a6f9a309324fd962e6217bdfb1fc8c92c7d6</t>
  </si>
  <si>
    <t>https://github.com/edogab33/telegram-groups-crawler</t>
  </si>
  <si>
    <t>https://github.com/radekxrandom/soap-client</t>
  </si>
  <si>
    <t>2331bd3cd16a8ed8f3dd95aec2ce93b05456e626</t>
  </si>
  <si>
    <t>https://github.com/Johennes/mailto-me</t>
  </si>
  <si>
    <t>3992dea33ba9ea7712cc70626fb53c8e1e87cb9f</t>
  </si>
  <si>
    <t>https://github.com/theabbie/PopCritic</t>
  </si>
  <si>
    <t>fc828793683b180a95e90a452907c50c038a4afd</t>
  </si>
  <si>
    <t>https://github.com/jctissier/Euro2016_TerminalApp</t>
  </si>
  <si>
    <t>261c289585166532052a8c2aff658d5666c062e5</t>
  </si>
  <si>
    <t>https://github.com/proustibat/d3js-ionic</t>
  </si>
  <si>
    <t>da18be0cbef8c68e5a1a93a7cdb834ac06228598</t>
  </si>
  <si>
    <t>https://github.com/phanix5/custom-reddit-feeds</t>
  </si>
  <si>
    <t>0adb341b4cf3815e58121e277deb903f46052260</t>
  </si>
  <si>
    <t>https://github.com/diamant3/chip-walo</t>
  </si>
  <si>
    <t>https://github.com/rittikbasu/website</t>
  </si>
  <si>
    <t>https://github.com/pranavpa8788/Rekey</t>
  </si>
  <si>
    <t>e8fc6b6c9de037192e285abfff9b19a1562157ea</t>
  </si>
  <si>
    <t>https://github.com/nfflow/redditflow</t>
  </si>
  <si>
    <t>db7c75583d033aeea718ab6ac8b94e5e77247109</t>
  </si>
  <si>
    <t>https://github.com/SiwonP/bob</t>
  </si>
  <si>
    <t>https://github.com/lazaro92/CliWidget</t>
  </si>
  <si>
    <t>5fef7b7957576fc4780cefbde685e9193550037b</t>
  </si>
  <si>
    <t>https://github.com/damoeb/rss-proxy</t>
  </si>
  <si>
    <t>https://github.com/rish-16/Angelfire</t>
  </si>
  <si>
    <t>b4d0a5bae4f1c8ca6718f0cda7c5d2e861050384</t>
  </si>
  <si>
    <t>https://github.com/KnowledgeCanvas/extensions</t>
  </si>
  <si>
    <t>98e43f48813ccea8db02f8902c4fa584a4223d9e</t>
  </si>
  <si>
    <t>https://github.com/mysigmail/card</t>
  </si>
  <si>
    <t>https://github.com/RuairiD/howsmytrack-web</t>
  </si>
  <si>
    <t>https://github.com/Prabhav-R/bookGrab-chrome-extension</t>
  </si>
  <si>
    <t>7f8f46f338b3c91cdec5942c64e7d6213b750bcc</t>
  </si>
  <si>
    <t>https://github.com/AviKKi/Corona-Freebies-List</t>
  </si>
  <si>
    <t>717b1f2500f9c2ef598b58540f1305ef4f59c373</t>
  </si>
  <si>
    <t>https://github.com/toolbuddy/papoGen</t>
  </si>
  <si>
    <t>987b6cb75efd446455a78ae97b21a162157fd311</t>
  </si>
  <si>
    <t>https://github.com/TutsWiki/source</t>
  </si>
  <si>
    <t>974eed6f1881840a1d0f17493adaff299a898dc4</t>
  </si>
  <si>
    <t>https://github.com/xdpirate/GameSearchHelper</t>
  </si>
  <si>
    <t>a51dc194a8c462ed3ac723e17996d4129fe1d760</t>
  </si>
  <si>
    <t>https://github.com/tmarshall/soda</t>
  </si>
  <si>
    <t>439eb6251624488157a0942c46dd4f500ef8960a</t>
  </si>
  <si>
    <t>https://github.com/CSSEGISandData/COVID-19</t>
  </si>
  <si>
    <t>https://github.com/disclave/disclave</t>
  </si>
  <si>
    <t>9c0829d35f4d63281e55247217ded68d2d7e1aa0</t>
  </si>
  <si>
    <t>https://github.com/joaoofreitas/run-on-commit</t>
  </si>
  <si>
    <t>d518490bab1dfa6c55a8a1a9920e219a16016a96</t>
  </si>
  <si>
    <t>https://github.com/dbanda/solana-nft-options#readme</t>
  </si>
  <si>
    <t>429490f47715d4c014afc491d24d704b2a78c9a1</t>
  </si>
  <si>
    <t>https://github.com/albemala/emoji-picker</t>
  </si>
  <si>
    <t>https://github.com/MartijnOud/IMDb-Bot</t>
  </si>
  <si>
    <t>b204c00b2a204d1aabe9e555316c896c6ce7aef0</t>
  </si>
  <si>
    <t>https://github.com/prof18/Friends-Tournament</t>
  </si>
  <si>
    <t>https://github.com/snek152/nextjs-utilities</t>
  </si>
  <si>
    <t>0f06ab71f60f0a75c51dbfe631c8fbe57adce78a</t>
  </si>
  <si>
    <t>https://github.com/jakerb/ImageTable</t>
  </si>
  <si>
    <t>38a19fa74f34c848e4147f7aace8f07a2bdc7d86</t>
  </si>
  <si>
    <t>https://github.com/metaphyze/gossl</t>
  </si>
  <si>
    <t>https://github.com/Bernardo-MG/docs-maven-skin</t>
  </si>
  <si>
    <t>https://github.com/ninest/direct-contact</t>
  </si>
  <si>
    <t>https://github.com/jackyzha0/portal</t>
  </si>
  <si>
    <t>8d296831c8b5175b98e1a6fe0c6dfc1ea278c63f</t>
  </si>
  <si>
    <t>https://github.com/rish-16/Metroplex</t>
  </si>
  <si>
    <t>https://github.com/kapydev/ezbackend-comparisons</t>
  </si>
  <si>
    <t>85daedd3858cb9acab386bc632c2c5d132a0390f</t>
  </si>
  <si>
    <t>https://github.com/burdy-io/burdy</t>
  </si>
  <si>
    <t>c3ca6c71af916b9ca516195a52a70f28fab77331</t>
  </si>
  <si>
    <t>https://github.com/LorenKociko/github-followers-tracker</t>
  </si>
  <si>
    <t>a671528d6bab84e823fe43e4b2992e7edb277123</t>
  </si>
  <si>
    <t>https://github.com/huytd/xaudio</t>
  </si>
  <si>
    <t>https://github.com/weeping-angel/crypto-medium-bot</t>
  </si>
  <si>
    <t>8fe6f4698b19a2d943c82f6c7752ecce49af8030</t>
  </si>
  <si>
    <t>https://github.com/stJudeWasHere/seonaut</t>
  </si>
  <si>
    <t>https://github.com/fdemian/morpheus-scripts</t>
  </si>
  <si>
    <t>767558562434ed1e8aa8f43e607fcf9e161fc7bb</t>
  </si>
  <si>
    <t>https://github.com/devnico/th_rosenheim</t>
  </si>
  <si>
    <t>e1e318085750c805ab1f5a1df3f09918a44610b5</t>
  </si>
  <si>
    <t>https://github.com/hanilr/tff</t>
  </si>
  <si>
    <t>5d2dfe1e206e7cc91ea4c50f94a2080332348718</t>
  </si>
  <si>
    <t>https://github.com/avinashbot/redd#readme</t>
  </si>
  <si>
    <t>3b1519a2d121efd18de59b935da6e652757eee90</t>
  </si>
  <si>
    <t>https://github.com/gmpetrov/ultimate-saas-ts</t>
  </si>
  <si>
    <t>2b987b958eb7f65d548c71719b167300a9c2d8c0</t>
  </si>
  <si>
    <t>https://github.com/d10nets/dupi-lambda</t>
  </si>
  <si>
    <t>8385768655eb3ecd59e4af677c63e2d8fa91f1f9</t>
  </si>
  <si>
    <t>https://github.com/caspg/datamaps.co</t>
  </si>
  <si>
    <t>b012cb83b4f95386467ae52b7a32d545f31f2545</t>
  </si>
  <si>
    <t>https://github.com/jflessau/bs-bingo</t>
  </si>
  <si>
    <t>https://github.com/T1mmos/cards2.0</t>
  </si>
  <si>
    <t>https://github.com/elomarns/guessmoji</t>
  </si>
  <si>
    <t>b3ee1ceac4ca7d5e3dc5cfc1c9a9bd55ab423571</t>
  </si>
  <si>
    <t>https://github.com/ksdme/copyy</t>
  </si>
  <si>
    <t>e4e11b653ad0f00c5168c0d3a559807a76b3552c</t>
  </si>
  <si>
    <t>https://github.com/jonbrennecke/CaptionThis</t>
  </si>
  <si>
    <t>77c3bd0b66413281e2b9e3b4b1f60eb18340b2b2</t>
  </si>
  <si>
    <t>https://github.com/carllacan/ankimaker</t>
  </si>
  <si>
    <t>https://github.com/akashrchandran/spotify-lyrics-api</t>
  </si>
  <si>
    <t>https://github.com/billychan/tabs-later</t>
  </si>
  <si>
    <t>c7740b3cdc90935122c35c1f516d6d9115d24c32</t>
  </si>
  <si>
    <t>https://github.com/Phantas0s/ottosocial</t>
  </si>
  <si>
    <t>b6a367b854a911888ed8521bdca175b341508a70</t>
  </si>
  <si>
    <t>https://github.com/autonomauk/feedback</t>
  </si>
  <si>
    <t>8fbc699d365fdd64682f9446d7423e9db46f205c</t>
  </si>
  <si>
    <t>https://github.com/numbersprotocol/starling-capture</t>
  </si>
  <si>
    <t>https://github.com/OldSneerJaw/heroku-buildpack-borealis-pg-ssh</t>
  </si>
  <si>
    <t>https://github.com/rohitpotato/spotify-unbiased-shuffle</t>
  </si>
  <si>
    <t>c518bfd46f927ace4bec04ded5cc279c4bebfec2</t>
  </si>
  <si>
    <t>https://github.com/tremorlabs/tremor</t>
  </si>
  <si>
    <t>https://github.com/AdamMYoung/Groupr</t>
  </si>
  <si>
    <t>f056367a8aa8f1c74c99beaf65ee4fef723af687</t>
  </si>
  <si>
    <t>https://github.com/simonfrey/matomo_circumvent_adblock</t>
  </si>
  <si>
    <t>https://github.com/bnkc/morningbot</t>
  </si>
  <si>
    <t>https://github.com/ramitmittal/mongraph</t>
  </si>
  <si>
    <t>c1de5b6e8d38940a177877e8de3e6d43451f7fc3</t>
  </si>
  <si>
    <t>https://github.com/acconrad/peergym</t>
  </si>
  <si>
    <t>af613fa292203b57c586bbe6139827336311b31f</t>
  </si>
  <si>
    <t>https://github.com/amirgamil/vibely</t>
  </si>
  <si>
    <t>5790afd32b882d4a2bbc8c4927828a68020b60cd</t>
  </si>
  <si>
    <t>https://github.com/uree/youtube-sampler</t>
  </si>
  <si>
    <t>https://github.com/albemala/exabox-app</t>
  </si>
  <si>
    <t>https://github.com/aivarasatk/BulkUninstaller</t>
  </si>
  <si>
    <t>2b29f85d0c9fedcfecb5aa7714b1fd5d02ec722a</t>
  </si>
  <si>
    <t>https://github.com/ayushpoddar/cricmenu</t>
  </si>
  <si>
    <t>0aff782fd5735049f6bc5ad5657292883dca50f3</t>
  </si>
  <si>
    <t>https://github.com/Peergos/example-apps</t>
  </si>
  <si>
    <t>https://github.com/DarthBenro008/pigil</t>
  </si>
  <si>
    <t>ff03515a3dd9a1c6d898f47aa331e5b06a83ce6a</t>
  </si>
  <si>
    <t>https://github.com/hakanu/pervane</t>
  </si>
  <si>
    <t>https://github.com/AMEST/PeerMeeting</t>
  </si>
  <si>
    <t>https://github.com/wonism/explosion-maker</t>
  </si>
  <si>
    <t>de17bf45d26d720ca3f9e5da1b673f4362db15ae</t>
  </si>
  <si>
    <t>https://github.com/sapristi-tool/sapristi</t>
  </si>
  <si>
    <t>ce12fe7526614fbc5f52ace511a5ca3384561f89</t>
  </si>
  <si>
    <t>https://github.com/certera-io/certera</t>
  </si>
  <si>
    <t>578dc7a1a4d1da4094c3b0a97c644ef928fe1fc2</t>
  </si>
  <si>
    <t>https://github.com/jdc-cunningham/webpad</t>
  </si>
  <si>
    <t>66c6130e7271f3390876a4de71d865da340a9741</t>
  </si>
  <si>
    <t>https://github.com/goforbg/wordle-answer-today</t>
  </si>
  <si>
    <t>7b31219132e45a799a421b09d4cca66b6ae3b611</t>
  </si>
  <si>
    <t>https://github.com/linkinmedo/ws-counter</t>
  </si>
  <si>
    <t>https://github.com/cermatej/plsql-analysis</t>
  </si>
  <si>
    <t>e6b16d623d881b33416e822a86b83ab475442464</t>
  </si>
  <si>
    <t>https://github.com/rohitmadrileno15/cart-react-ecommerce</t>
  </si>
  <si>
    <t>c5c0b5a3fa1e4dfc6c77d88d60e4f377ccbf7317</t>
  </si>
  <si>
    <t>https://github.com/DomEscobar/SuSi-Mockup-Wireframe</t>
  </si>
  <si>
    <t>8c05fef9d8123939fab81e041f0b8fa0eaab9611</t>
  </si>
  <si>
    <t>https://github.com/siklosi/multiStart</t>
  </si>
  <si>
    <t>0071d1a882e86cfcfebaf4ac1d11a9dad736dfd6</t>
  </si>
  <si>
    <t>https://github.com/Testura/Testura.Mutation</t>
  </si>
  <si>
    <t>3d389aa23fc2c5d0b306bfc1478a19f5be780a90</t>
  </si>
  <si>
    <t>https://github.com/b3z/reventlou</t>
  </si>
  <si>
    <t>8e9933b996cb228e5eed54aaeb25c3d61795b1c7</t>
  </si>
  <si>
    <t>https://github.com/leodamasceno/ping2me</t>
  </si>
  <si>
    <t>800b1d021b303c8830a6742f7478d0c66581365b</t>
  </si>
  <si>
    <t>https://github.com/RoyalEagle73/FollowIt-for-Reddit</t>
  </si>
  <si>
    <t>4c636112c79f0a1cc8a95d436bd7a3045020e84c</t>
  </si>
  <si>
    <t>https://github.com/ice-blaze/faq</t>
  </si>
  <si>
    <t>dafff0bc6b253c65eb893271c144d55e22921f54</t>
  </si>
  <si>
    <t>https://github.com/varchar-io/visit</t>
  </si>
  <si>
    <t>a7e6ead74a9440ff5ccaf572e8ac6af3ee3efd46</t>
  </si>
  <si>
    <t>https://github.com/TryShape/tryshape</t>
  </si>
  <si>
    <t>6d7133b644dc174eaa19da2b5250896641020105</t>
  </si>
  <si>
    <t>https://github.com/mjamry/youtubeScrobbler</t>
  </si>
  <si>
    <t>https://github.com/prathik/fcm</t>
  </si>
  <si>
    <t>a1cdda382d290d102c41bc0b0909f5b02cc44613</t>
  </si>
  <si>
    <t>https://github.com/anish-shanbhag/minecraft-api</t>
  </si>
  <si>
    <t>8d5d95a3dd06e42620e8f540d0084529d6c1ebc9</t>
  </si>
  <si>
    <t>https://github.com/prinzpiuz/Stone-Paper-Scissor</t>
  </si>
  <si>
    <t>b754a1b4cef35eef178840a710042b93686ba8bc</t>
  </si>
  <si>
    <t>https://github.com/daspartho/dynamic-wallpaper</t>
  </si>
  <si>
    <t>https://github.com/estruyf/vscode-front-matter</t>
  </si>
  <si>
    <t>https://github.com/origranot/reduced.to</t>
  </si>
  <si>
    <t>https://github.com/cmurphy580/Netflix_Rotten_Tomatoes_Chrome_Extension</t>
  </si>
  <si>
    <t>1359f7dd864ba9900c4e36ecaa24c7e98c1b2517</t>
  </si>
  <si>
    <t>https://github.com/Rishabh-malhotraa/caucus</t>
  </si>
  <si>
    <t>https://github.com/cjsheets/gpm-to-spotify</t>
  </si>
  <si>
    <t>207d314e016cd6ef2058287f44a8296838a82612</t>
  </si>
  <si>
    <t>https://github.com/harishsg99/OreoML</t>
  </si>
  <si>
    <t>ac7d48952c48e9455c78b3ed3a0c95a20d01352e</t>
  </si>
  <si>
    <t>https://github.com/thearn/webcam-pulse-detector</t>
  </si>
  <si>
    <t>https://github.com/tedigc/imdbleep</t>
  </si>
  <si>
    <t>aedb22f81ffd813af83e03f8982e3f9d8f31bb61</t>
  </si>
  <si>
    <t>https://github.com/azc242/LinkedOut</t>
  </si>
  <si>
    <t>c5796ecd007dc4886883b53082b6d3ccef1fedc4</t>
  </si>
  <si>
    <t>https://github.com/elendee/emutab</t>
  </si>
  <si>
    <t>https://github.com/ciur/papermerge</t>
  </si>
  <si>
    <t>https://github.com/kyleperik/termfun</t>
  </si>
  <si>
    <t>4e38f19df0eaa92f818a7965b2802aaeb4b1f753</t>
  </si>
  <si>
    <t>https://github.com/knmn2000/MuskAPI</t>
  </si>
  <si>
    <t>3105280493ed3cb5e0dc8519c90b821ee7944581</t>
  </si>
  <si>
    <t>https://github.com/reactrewind/react-rewind</t>
  </si>
  <si>
    <t>784cd0174ff62b4bfcc82b67110019673e75d376</t>
  </si>
  <si>
    <t>https://github.com/Mhdi-kr/text2tree</t>
  </si>
  <si>
    <t>5bf9220c35ccd0928547db8afe9dd55da6d407ca</t>
  </si>
  <si>
    <t>https://github.com/ashishBharadwaj/flawesome</t>
  </si>
  <si>
    <t>731d4caf9a00754d39c150e1af457c787f8dee4b</t>
  </si>
  <si>
    <t>https://github.com/btahir/notion-capture</t>
  </si>
  <si>
    <t>d56badf793c16eefe3bd5cae8d14c60650b9b0e5</t>
  </si>
  <si>
    <t>https://github.com/truj/midica</t>
  </si>
  <si>
    <t>https://github.com/dstotijn/ct-diag-server</t>
  </si>
  <si>
    <t>121769dac7a6971d7da664964f072af956273763</t>
  </si>
  <si>
    <t>https://github.com/rish-16/gpt2client</t>
  </si>
  <si>
    <t>3f5c3ff0feb4b65ff17cf2d889d7c28615186f89</t>
  </si>
  <si>
    <t>https://github.com/diamant3/LBP</t>
  </si>
  <si>
    <t>https://github.com/PayRequest/Amazon-SES-Directadmin-Hook</t>
  </si>
  <si>
    <t>ee85f112826fcfea8fb8c3c58035dc9f574713cd</t>
  </si>
  <si>
    <t>https://github.com/thephilomaths/sendight-frontend</t>
  </si>
  <si>
    <t>cee83825eaa543ddf056a18aa11d2a3fa7841b68</t>
  </si>
  <si>
    <t>https://github.com/AlexGascon/MalTiempoBot</t>
  </si>
  <si>
    <t>902db6bb2ea4e652003aeebfddc375105557fe5a</t>
  </si>
  <si>
    <t>https://github.com/albeniskerqeli10/react-social-network-v1</t>
  </si>
  <si>
    <t>https://github.com/progressively-crew/progressively</t>
  </si>
  <si>
    <t>https://github.com/jeverd/lecture-experience</t>
  </si>
  <si>
    <t>b23c323972b2f7d0d63c8f861f38afd19495fdb8</t>
  </si>
  <si>
    <t>https://github.com/krishnan-tech/typing-automation</t>
  </si>
  <si>
    <t>a5517b845e3f8b6e658876fc3cf7348f0ca9dcde</t>
  </si>
  <si>
    <t>https://github.com/michaelcukier/Poker-Hand-Tracker</t>
  </si>
  <si>
    <t>9adae42fab9f640e6939ba06bd588ab1a2feb90f</t>
  </si>
  <si>
    <t>https://github.com/Krisseck/Hashtag-Wall-Server</t>
  </si>
  <si>
    <t>https://github.com/nemanjadragun92/nuxt-tw</t>
  </si>
  <si>
    <t>dff70afdc2506bb42d068dadb67bc8c5da1ad7eb</t>
  </si>
  <si>
    <t>https://github.com/beekeeper-studio/beekeeper-studio</t>
  </si>
  <si>
    <t>https://github.com/aberforthQ/puppeteer-split-test</t>
  </si>
  <si>
    <t>d7e49b1ef0c61bbabb2c2c160c898eb58187471a</t>
  </si>
  <si>
    <t>https://github.com/mkfeuhrer/acrons</t>
  </si>
  <si>
    <t>8ff73dd69a8468c67064289fe8c3a5a560450fb2</t>
  </si>
  <si>
    <t>https://github.com/AJAYK-01/Reactube</t>
  </si>
  <si>
    <t>e61e67729b529990a50e0eb54a7fb203ac038427</t>
  </si>
  <si>
    <t>https://github.com/DerYeger/apollo-backend</t>
  </si>
  <si>
    <t>https://github.com/triton11/ChessTier</t>
  </si>
  <si>
    <t>321256516f9a0f42990ffc23fe9e199e96446280</t>
  </si>
  <si>
    <t>https://github.com/jasonwalsh/punk</t>
  </si>
  <si>
    <t>https://github.com/kingsteph23/Motivation-Nation-</t>
  </si>
  <si>
    <t>ed3b46026587b0616465310b4eb49e6c6299fb86</t>
  </si>
  <si>
    <t>https://github.com/fdemian/morpheus-api</t>
  </si>
  <si>
    <t>b27efed37ae4b50ca512d9a3e144a4788fe75a9a</t>
  </si>
  <si>
    <t>https://github.com/Mini-Sylar/Anime-Info-Platform</t>
  </si>
  <si>
    <t>https://github.com/salfatigroup/nopeus</t>
  </si>
  <si>
    <t>2c571f222a8cb7934bc6e20f609117559d1d11dc</t>
  </si>
  <si>
    <t>https://github.com/AviKKi/The-Dragon-Book</t>
  </si>
  <si>
    <t>5aaccca0365cb761a8bb06e5b50fbef018a88ed9</t>
  </si>
  <si>
    <t>https://github.com/clowre/docserver</t>
  </si>
  <si>
    <t>44dee443545c406feb7a72d1acf994a32c8d7703</t>
  </si>
  <si>
    <t>https://github.com/tellmolly/tellmolly.com</t>
  </si>
  <si>
    <t>https://github.com/boatengyeboah/WashYourHands</t>
  </si>
  <si>
    <t>aea7ea66f8e529cc5d8bf96ea1472c6781a8414d</t>
  </si>
  <si>
    <t>https://github.com/kaustubh03/supscroll</t>
  </si>
  <si>
    <t>0abe7afc6e41710d0f330a8e998b1ce04f9410aa</t>
  </si>
  <si>
    <t>https://github.com/RuairiD/howsmytrack-api</t>
  </si>
  <si>
    <t>https://github.com/chandru89new/hideMediumBars</t>
  </si>
  <si>
    <t>c028ce6c3126aa8c5550b83f4ff2c16fc1dd7ce4</t>
  </si>
  <si>
    <t>https://github.com/zergov/flashcards</t>
  </si>
  <si>
    <t>4d1b1c277585b95517ed6c00ceff7555c8c131eb</t>
  </si>
  <si>
    <t>https://github.com/michael-langaman/fntsylu</t>
  </si>
  <si>
    <t>fe03ce3e04636611a009661561757df834e19f75</t>
  </si>
  <si>
    <t>https://github.com/Netchicken/reactDadJokes</t>
  </si>
  <si>
    <t>6ff1ddaf4174774914893156f84a4405945b808b</t>
  </si>
  <si>
    <t>https://github.com/antonreshetov/massCode</t>
  </si>
  <si>
    <t>3c51c2b7fd0c4cf08fbe60e4384bd8cd74154830</t>
  </si>
  <si>
    <t>https://github.com/ChrisStayte/Bachup</t>
  </si>
  <si>
    <t>27522c0b72fb59b97f0b998badaf0d350db483b6</t>
  </si>
  <si>
    <t>https://github.com/PabloLec/recoverpy</t>
  </si>
  <si>
    <t>https://github.com/geckogecko/jumpstar</t>
  </si>
  <si>
    <t>c2b2aa6329ef27fd976b74ba81c8a08ef42ae291</t>
  </si>
  <si>
    <t>https://github.com/mile95/csgo_cli</t>
  </si>
  <si>
    <t>a7a2b78bb1deae5435ce30595779b1605cfec187</t>
  </si>
  <si>
    <t>https://github.com/milosv1/Python_Storage_Tracker</t>
  </si>
  <si>
    <t>3c76a9ee48545ab5b530fc8e05358dec8379312e</t>
  </si>
  <si>
    <t>https://github.com/ahmed-debbech/emojini</t>
  </si>
  <si>
    <t>afcb9110d8d688784d0f825c91fe70d6a16b6a38</t>
  </si>
  <si>
    <t>https://github.com/SantosDylan/angular-crud</t>
  </si>
  <si>
    <t>https://github.com/anhtumai/roomie-frontend</t>
  </si>
  <si>
    <t>https://github.com/SuPythony/Github-Stars-Extension</t>
  </si>
  <si>
    <t>https://github.com/theycallmemac/larder</t>
  </si>
  <si>
    <t>9f7a05c8d2ef2d345c12c763e858f3fe324a4765</t>
  </si>
  <si>
    <t>https://github.com/2018kguo/RobinhoodBot</t>
  </si>
  <si>
    <t>f05c4b7b806aa59281b3c02fd80c86a37d1c4943</t>
  </si>
  <si>
    <t>https://github.com/ollar/cheevies</t>
  </si>
  <si>
    <t>4d33b28ec88376fea1157fa22553eb3136d0b325</t>
  </si>
  <si>
    <t>https://github.com/ivanshen/SpotiKeys</t>
  </si>
  <si>
    <t>6a801df0ca58c1bc630aa0cdb8622898dbb7b0b2</t>
  </si>
  <si>
    <t>https://github.com/namuan/http-rider</t>
  </si>
  <si>
    <t>https://github.com/jkhan-007/contextually-app-osx</t>
  </si>
  <si>
    <t>3784dfc40fcefe02584180f6491eb2648262d9e9</t>
  </si>
  <si>
    <t>https://github.com/mathcoll/t6</t>
  </si>
  <si>
    <t>https://github.com/danobot/notorious</t>
  </si>
  <si>
    <t>1ab44ef95220bd97af29a18765797d3c00304db7</t>
  </si>
  <si>
    <t>https://github.com/prof18/Secure-QR-Reader</t>
  </si>
  <si>
    <t>https://github.com/fonoster/routr</t>
  </si>
  <si>
    <t>https://github.com/martinblampied/breatherbar_macos</t>
  </si>
  <si>
    <t>3a34ae201dc97b9e419c154a2cb99b70cbde64d7</t>
  </si>
  <si>
    <t>https://github.com/caronc/apprise</t>
  </si>
  <si>
    <t>https://github.com/jason-shepherd/programming_timelapse</t>
  </si>
  <si>
    <t>945f042206255044d2d9830d0f7dfe341f4b9195</t>
  </si>
  <si>
    <t>https://github.com/DeskX11/DeskX</t>
  </si>
  <si>
    <t>https://github.com/AnishDe12020/notiger</t>
  </si>
  <si>
    <t>0b63aecc7150d972bb19c9ddd3ba65e971f52210</t>
  </si>
  <si>
    <t>https://github.com/arbindo/mimock</t>
  </si>
  <si>
    <t>0f727b8758e838bdf2dcb971f38369fe36808228</t>
  </si>
  <si>
    <t>https://github.com/rajatkulkarni95/hckrnws</t>
  </si>
  <si>
    <t>https://github.com/jjcard/JLenPEG</t>
  </si>
  <si>
    <t>https://github.com/janet-lang/janet</t>
  </si>
  <si>
    <t>https://github.com/EmmaPoliakova/WebRTCSmartphoneController</t>
  </si>
  <si>
    <t>https://github.com/fluoroom/papirus-folders-cycle</t>
  </si>
  <si>
    <t>5bbd51d1dbfbec9ec8523ee286c7dd925c88bd0d</t>
  </si>
  <si>
    <t>https://github.com/llu13701/sms_analysis</t>
  </si>
  <si>
    <t>ae9ea9b250c082d406d5f9cc89f9a58cbbd129e5</t>
  </si>
  <si>
    <t>https://github.com/Moosync/Moosync</t>
  </si>
  <si>
    <t>https://github.com/Abdelmalek123-Ennani/Convert-speech-to-text</t>
  </si>
  <si>
    <t>53da60b381be7fe4686efbc839241c1727e337b0</t>
  </si>
  <si>
    <t>https://github.com/palerdot/wordl</t>
  </si>
  <si>
    <t>0969f7c10e2b901b3b41c519c5e8ea67e2f44afc</t>
  </si>
  <si>
    <t>https://github.com/dwkoss/botwhatabot</t>
  </si>
  <si>
    <t>b0ca76a8d761ca2b4caaf3dce8a19e5858c919b0</t>
  </si>
  <si>
    <t>https://github.com/samuelOsborne/Lottie-interactive</t>
  </si>
  <si>
    <t>93bb8bb7a2d0f393d1acb02799ba22b19f800744</t>
  </si>
  <si>
    <t>https://github.com/ionmosincat/wheretostream</t>
  </si>
  <si>
    <t>af3d0e545a9215bd6cdc22a392276e81cc646b24</t>
  </si>
  <si>
    <t>https://github.com/EmmaPoliakova/WebRTCSmartphoneController?fbclid=IwAR2f0R_z8uMHrlf93t3i26XNvBcalh6RxCF9W2yt15kWZ2pnWTth9WhQwxY</t>
  </si>
  <si>
    <t>https://github.com/atapas/next-starter-revue-tailwind</t>
  </si>
  <si>
    <t>1d61a8247f049fd5aabf1efa44c6f682018b6836</t>
  </si>
  <si>
    <t>https://github.com/nhevia/xmarket</t>
  </si>
  <si>
    <t>9f3c4388cc5b301fe82c1920f4f8c7c58e54c311</t>
  </si>
  <si>
    <t>https://github.com/schlumpfling42/nnsfw</t>
  </si>
  <si>
    <t>2affe5c58be6c9d4fc0e947e5c82600c28dc9990</t>
  </si>
  <si>
    <t>https://github.com/ripexz/logpasta</t>
  </si>
  <si>
    <t>3d9672f470fe7b5873748fd8e750bd51741d8c4d</t>
  </si>
  <si>
    <t>https://github.com/das-jishu/cloakspace</t>
  </si>
  <si>
    <t>a08806ed1a739c29195f7f54bffb76e3958fba92</t>
  </si>
  <si>
    <t>https://github.com/CA326/BittorrentVisualizer</t>
  </si>
  <si>
    <t>ec58b8f3eb87ccbd1fcc5c7fcf350e2f8150872a</t>
  </si>
  <si>
    <t>https://github.com/chr33z/py-spotify-setlist-generator</t>
  </si>
  <si>
    <t>78de16e0c50470707124adcc215873bd0e0defc6</t>
  </si>
  <si>
    <t>https://github.com/MichaelWarmbier/Console-Minesweeper</t>
  </si>
  <si>
    <t>4ba29fbd6ca15feb9ba56638c0aa16cd73c994a8</t>
  </si>
  <si>
    <t>https://github.com/jackyzha0/nanoDB</t>
  </si>
  <si>
    <t>fed4e369e8339f502dbe04ca6c7228116c2b029f</t>
  </si>
  <si>
    <t>https://github.com/cinarmert/doclogs</t>
  </si>
  <si>
    <t>https://github.com/y0c/react-datepicker</t>
  </si>
  <si>
    <t>17696fdf671a824d0b040617c62adabc2fcc50fa</t>
  </si>
  <si>
    <t>https://github.com/ihajhasa/SpotiDude-TelegramBot</t>
  </si>
  <si>
    <t>72f68a0e439c958b33fca42d02ac4fb08d262ec4</t>
  </si>
  <si>
    <t>https://github.com/PollsAPI/yo-polls</t>
  </si>
  <si>
    <t>04a742dc76f15872b07b66a51435b47d3587837d</t>
  </si>
  <si>
    <t>https://github.com/RAJAGOPALAN-GANGADHARAN/JS-OS</t>
  </si>
  <si>
    <t>ac64ce70f7c6be457671a46a0e1b21490819fe7a</t>
  </si>
  <si>
    <t>https://github.com/illacloud/illa-builder</t>
  </si>
  <si>
    <t>https://github.com/calganaygun/MDcat</t>
  </si>
  <si>
    <t>https://github.com/RonenNess/ShackDB</t>
  </si>
  <si>
    <t>da730743ae80396003592edbb2b5d598563139a2</t>
  </si>
  <si>
    <t>https://github.com/beganovich/capsule</t>
  </si>
  <si>
    <t>bbfe4d2799cfb8a69671fe2ebdfbd8567336142b</t>
  </si>
  <si>
    <t>https://github.com/abhijithneilabraham/Covid-QA</t>
  </si>
  <si>
    <t>d5d4d10544f4191d5e50b0c425f7d0306235322b</t>
  </si>
  <si>
    <t>https://github.com/bestreddit/bestreddithub.io</t>
  </si>
  <si>
    <t>https://github.com/ThewApp/vercel-shorturl</t>
  </si>
  <si>
    <t>https://github.com/sakkshm/MemeBot</t>
  </si>
  <si>
    <t>0715f3823379c50950525966372d3e1c00d35c54</t>
  </si>
  <si>
    <t>https://github.com/OlivierGaland/CashFactory</t>
  </si>
  <si>
    <t>https://github.com/AMEST/Heimdallr</t>
  </si>
  <si>
    <t>https://github.com/ozzs/monobox</t>
  </si>
  <si>
    <t>https://github.com/mezod/awesome-indie</t>
  </si>
  <si>
    <t>https://github.com/yaat-project/yaat</t>
  </si>
  <si>
    <t>417d4553aafccdc02eb913a57a566899544ac830</t>
  </si>
  <si>
    <t>https://github.com/viveknathani/maketest</t>
  </si>
  <si>
    <t>3eeca8d602b9446384e287a9787ca2d6db369225</t>
  </si>
  <si>
    <t>https://github.com/aschmelyun/use-the-keyboard</t>
  </si>
  <si>
    <t>36ff76b3dd8c017e31ac9f19cbdd874f3320a15b</t>
  </si>
  <si>
    <t>https://github.com/SimranjitKaurMaan/Artly#live-demo</t>
  </si>
  <si>
    <t>c62fd957addd8bd9fc62522003a0b2e9a7795d5f</t>
  </si>
  <si>
    <t>https://github.com/tchambon/DeepGuru</t>
  </si>
  <si>
    <t>9d85db08f204d48d6fbdef18bcda634e7944e46a</t>
  </si>
  <si>
    <t>https://github.com/kamalkishor1991/croma</t>
  </si>
  <si>
    <t>0c0ffa0caa3f09233e92ae4c16091baa7d2b03da</t>
  </si>
  <si>
    <t>https://github.com/iamOgunyinka/Ornamite</t>
  </si>
  <si>
    <t>26871b263c0fcd2696d7ccb07740eb767eaa76d8</t>
  </si>
  <si>
    <t>https://github.com/eduardosasso/bullish</t>
  </si>
  <si>
    <t>https://github.com/QasimWani/LeetHub</t>
  </si>
  <si>
    <t>8b7e560d91fa5490f181fb5aa70e3964a87904db</t>
  </si>
  <si>
    <t>https://github.com/openlowcode/Open-Lowcode</t>
  </si>
  <si>
    <t>37ef32051283b93624218908576694c682e259d4</t>
  </si>
  <si>
    <t>https://github.com/anorman728/LostArt</t>
  </si>
  <si>
    <t>15d966af294615973258a75f4d7686f78b57d88a</t>
  </si>
  <si>
    <t>https://github.com/HACKERALERT/Picocrypt</t>
  </si>
  <si>
    <t>https://github.com/openshiporg/opensupport</t>
  </si>
  <si>
    <t>https://github.com/AviKKi/unnwhiteboard</t>
  </si>
  <si>
    <t>7d8510eaedaf8644bfb68c90bb7a0259d295bd9f</t>
  </si>
  <si>
    <t>https://github.com/hackertron/getignore</t>
  </si>
  <si>
    <t>https://github.com/justinwlin/Caffeinate-Server</t>
  </si>
  <si>
    <t>fc1f7dc143883cb6d41922cf63bc2d3f47e1105b</t>
  </si>
  <si>
    <t>https://github.com/QasimWani/UPS</t>
  </si>
  <si>
    <t>31f8ddd401e6cb998a34553f34ef50f434fec91c</t>
  </si>
  <si>
    <t>https://github.com/lbaldy/flipper-plugin-async-storage-advanced</t>
  </si>
  <si>
    <t>https://github.com/faisalsayed10/carbon-slack</t>
  </si>
  <si>
    <t>https://github.com/marcojrfurtado/bookweave</t>
  </si>
  <si>
    <t>e60cf3ef4808daa54ee2623c98587a61dbdfd886</t>
  </si>
  <si>
    <t>https://github.com/formiga-tecnologia/Lavine</t>
  </si>
  <si>
    <t>f217806f1d05eec5796890fa79a7aefd19f301e8</t>
  </si>
  <si>
    <t>https://github.com/GDGVIT/Priority-Msg-Bot</t>
  </si>
  <si>
    <t>35c82e5578a8617367bde6f096981f012d40a74f</t>
  </si>
  <si>
    <t>https://github.com/evandwight/modernexcel</t>
  </si>
  <si>
    <t>01994128f3880de4cb05c1d28b1a54ab1f74b899</t>
  </si>
  <si>
    <t>https://github.com/raghavyuva/LucaMail</t>
  </si>
  <si>
    <t>e083e00b3d8975a10559840cd6a04bd6ff3eaaac</t>
  </si>
  <si>
    <t>https://github.com/techboy-coder/mmdl</t>
  </si>
  <si>
    <t>https://github.com/AmruthPillai/fireup-cli</t>
  </si>
  <si>
    <t>9461f4c7bb13193bca88531884ed24cd85ec1bd5</t>
  </si>
  <si>
    <t>https://github.com/jdc-cunningham/3-positives</t>
  </si>
  <si>
    <t>ba0f6058aa12a811aeb9c7c5f49d0add60f41350</t>
  </si>
  <si>
    <t>https://github.com/galalen/grest</t>
  </si>
  <si>
    <t>07c61be54e3681d09b0dd0e465d62abaa7d3f991</t>
  </si>
  <si>
    <t>https://github.com/hectorgarcia07/FEM-To-Do</t>
  </si>
  <si>
    <t>af0b3e74113104c9157da601ecc89e06908643d1</t>
  </si>
  <si>
    <t>https://github.com/carlelieser/Flixerr</t>
  </si>
  <si>
    <t>19d827008b464e52448a24d155bd84e36b5718a0</t>
  </si>
  <si>
    <t>https://github.com/cbrand/ir-remote-frontend</t>
  </si>
  <si>
    <t>4eb75fb01b9a4400027e61c8837e833138e9d54a</t>
  </si>
  <si>
    <t>https://github.com/arye321/yt_sort</t>
  </si>
  <si>
    <t>https://github.com/xojoc/randomwebsitebot</t>
  </si>
  <si>
    <t>https://github.com/Phantas0s/devdash</t>
  </si>
  <si>
    <t>https://github.com/amirgamil/lispy</t>
  </si>
  <si>
    <t>616e656a331410e8983f7c2e0a46fb8a566da0e9</t>
  </si>
  <si>
    <t>https://github.com/GorvGoyl/Shortcut-Menu-Bar-VSCode-Extension</t>
  </si>
  <si>
    <t>bdf7590a8ecc3a8b741b2a7bbb2a3909e0237748</t>
  </si>
  <si>
    <t>https://github.com/nck974/interactive-expenses-report</t>
  </si>
  <si>
    <t>https://github.com/studiosi/stumge</t>
  </si>
  <si>
    <t>185d225650d92663b2bace94f60790a42ceedeb1</t>
  </si>
  <si>
    <t>https://github.com/pcm-dpc/COVID-19</t>
  </si>
  <si>
    <t>https://github.com/Labs64/GuideChimp</t>
  </si>
  <si>
    <t>https://github.com/CT83/The-Overly-Complicated-Random-Number-Generator</t>
  </si>
  <si>
    <t>0efa3561c8a3c6a88fc9b626eb770bff9963d348</t>
  </si>
  <si>
    <t>https://github.com/Nuqlear/genkstaleague</t>
  </si>
  <si>
    <t>https://github.com/gazzwi86/blokit</t>
  </si>
  <si>
    <t>13fa9cda2c2a64efe3c71dd270b770bb218064fc</t>
  </si>
  <si>
    <t>https://github.com/alexpovel/ancv</t>
  </si>
  <si>
    <t>https://github.com/aschmelyun/listpal</t>
  </si>
  <si>
    <t>ef178fa9ff03f4588f8f98e7c21782dc6674c3df</t>
  </si>
  <si>
    <t>https://github.com/vssudarshan-projects/webnovel-downloader</t>
  </si>
  <si>
    <t>8243a3cbf021139656a43f70b94c0ad41abe43e1</t>
  </si>
  <si>
    <t>https://github.com/anorman728/vimsyntax</t>
  </si>
  <si>
    <t>https://github.com/iamOgunyinka/OrnamiteMobile</t>
  </si>
  <si>
    <t>a41d15cceb63040c719feef8a339a3d1a1ed91c3</t>
  </si>
  <si>
    <t>https://github.com/gradejs/gradejs</t>
  </si>
  <si>
    <t>ceca9c9db1f0f0b6e095ebce0c93f44748c3839e</t>
  </si>
  <si>
    <t>https://github.com/DerYeger/d3-graph-controller</t>
  </si>
  <si>
    <t>https://github.com/iArunava/Python-TheNoTheoryGuide</t>
  </si>
  <si>
    <t>ceb581c6ba10625b3f50a8d6e7160135c381a4f8</t>
  </si>
  <si>
    <t>https://github.com/ebwinters/CoronaTracker</t>
  </si>
  <si>
    <t>8359d74cf292ea242f205a9550f50d337955cf72</t>
  </si>
  <si>
    <t>https://github.com/NannyML/nannyml</t>
  </si>
  <si>
    <t>https://github.com/rlindskog/covid19-graphql</t>
  </si>
  <si>
    <t>fc7f4f72ee2562ecf757f53c85a0884c5b986537</t>
  </si>
  <si>
    <t>https://github.com/salihozdemir/stackoverflow-clone</t>
  </si>
  <si>
    <t>d282ccda33b132be768ae38347cc2818743b1af6</t>
  </si>
  <si>
    <t>https://github.com/JanoPL/Routeslist</t>
  </si>
  <si>
    <t>https://github.com/arabold/react-native-whirlwind</t>
  </si>
  <si>
    <t>66d4431ebfd9b51becfd572c8b62678261b58e59</t>
  </si>
  <si>
    <t>https://github.com/ananyalohani/teams</t>
  </si>
  <si>
    <t>bd9be706f0c83e12d9b7c3ddf9197268184831bd</t>
  </si>
  <si>
    <t>https://github.com/AJAYK-01/Anti-Nitro-Spam-Helper</t>
  </si>
  <si>
    <t>b7742f8cfe5cccda3782cca9998a05d9d1ef8820</t>
  </si>
  <si>
    <t>https://github.com/GhostWrench/pqm</t>
  </si>
  <si>
    <t>https://github.com/japiirainen/fp</t>
  </si>
  <si>
    <t>https://github.com/counterbeing/riddlesticks</t>
  </si>
  <si>
    <t>69b2dd2157636306e0aba36f136602f76b783c03</t>
  </si>
  <si>
    <t>https://github.com/jacobhjustice/PiFrame</t>
  </si>
  <si>
    <t>7394dc14d0d74c69fea5a58f588b2cdf52a31f47</t>
  </si>
  <si>
    <t>https://github.com/a-chris/medium-no-thanks</t>
  </si>
  <si>
    <t>https://github.com/gigobooks/gigobooks</t>
  </si>
  <si>
    <t>da436f5678697ae03bc57da1455e52a13e67a481</t>
  </si>
  <si>
    <t>https://github.com/johnyrose/reddit-news</t>
  </si>
  <si>
    <t>https://github.com/chemiadel/mining-hardware-calculator</t>
  </si>
  <si>
    <t>342e6589de63a21aae71e18be8bafed49869090b</t>
  </si>
  <si>
    <t>https://github.com/yodigi7/quiplash</t>
  </si>
  <si>
    <t>039e83a59647af02e76974bc08cf2cc1e8a0f127</t>
  </si>
  <si>
    <t>https://github.com/clupasq/word-mastermind</t>
  </si>
  <si>
    <t>https://github.com/stfurkan/gez</t>
  </si>
  <si>
    <t>https://github.com/boltex/leointeg#readme</t>
  </si>
  <si>
    <t>https://github.com/cedricium/medium-bookmarklets</t>
  </si>
  <si>
    <t>e52df0569a24438ded4fddaa7e55b00220d88a82</t>
  </si>
  <si>
    <t>https://github.com/RocktimSaikia/github-card</t>
  </si>
  <si>
    <t>6e72ed0347377e83cc3b9a51f314d59e6749260e</t>
  </si>
  <si>
    <t>https://github.com/halfmoonui/halfmoon</t>
  </si>
  <si>
    <t>https://github.com/varungujarathi9/Hashnode-App</t>
  </si>
  <si>
    <t>4ecc686f96c42b699c8a79b92bcb05e1621edc2a</t>
  </si>
  <si>
    <t>https://github.com/aschmelyun/passhints</t>
  </si>
  <si>
    <t>9bc12c3a6eb433233570d53260bd36f7e9584ace</t>
  </si>
  <si>
    <t>https://github.com/tesar-tech/zodoc</t>
  </si>
  <si>
    <t>https://github.com/Adam-Jimenez/auddit</t>
  </si>
  <si>
    <t>619052f358439c4b6d578cbc5fbdae2961bb9e16</t>
  </si>
  <si>
    <t>https://github.com/rudderlabs/rudder-server</t>
  </si>
  <si>
    <t>https://github.com/plainlab/plainmerge</t>
  </si>
  <si>
    <t>https://github.com/Deniskviatkovskij/filmsync</t>
  </si>
  <si>
    <t>c6826115df951f5913886c26e8d1fff02c39da30</t>
  </si>
  <si>
    <t>https://github.com/AnishDe12020/easycomments</t>
  </si>
  <si>
    <t>fe512f49547c7e881882613104880c71bc73bad1</t>
  </si>
  <si>
    <t>https://github.com/moon004/YouDeez</t>
  </si>
  <si>
    <t>70a72f52064615d2d4aa51e37376f3d4ff47b718</t>
  </si>
  <si>
    <t>https://github.com/brianstrauch/spotify-cli</t>
  </si>
  <si>
    <t>fb58de10372f5e6a122cd7103e38d2fd245a9865</t>
  </si>
  <si>
    <t>https://github.com/getify/You-Dont-Know-JS</t>
  </si>
  <si>
    <t>https://github.com/pj/hacn</t>
  </si>
  <si>
    <t>232d47626db3c4ce23e1d5181b88dced97bc7622</t>
  </si>
  <si>
    <t>https://github.com/devhsoj/clips</t>
  </si>
  <si>
    <t>74906b6e549db1b0d0837e53d425977c2dfd1073</t>
  </si>
  <si>
    <t>https://github.com/Volmarg/personal-management-system</t>
  </si>
  <si>
    <t>https://github.com/aidenybai/lucia</t>
  </si>
  <si>
    <t>https://github.com/davidedellagiustina/RC16</t>
  </si>
  <si>
    <t>919f6383aca74508fe1287a533adb22621f95ba5</t>
  </si>
  <si>
    <t>https://github.com/ashishb/outbound-link-checker</t>
  </si>
  <si>
    <t>https://github.com/guitld/Distortion-Bot-for-Telegram</t>
  </si>
  <si>
    <t>d8023c1172e44ea30fca7aa6404ec4c7343aa57f</t>
  </si>
  <si>
    <t>https://github.com/sudonims/PvtKeyManager</t>
  </si>
  <si>
    <t>0978de5c0538bfb1299809571cdb028019d7e0ca</t>
  </si>
  <si>
    <t>https://github.com/ahmed-debbech/mutak</t>
  </si>
  <si>
    <t>999d146c902c0af9aaa54241b45905efdfb9b8f0</t>
  </si>
  <si>
    <t>https://github.com/halftheopposite/TOSIOS</t>
  </si>
  <si>
    <t>https://github.com/avengerandy/RewriteDagger</t>
  </si>
  <si>
    <t>https://github.com/cbrand/ir-remote-backend</t>
  </si>
  <si>
    <t>eb874876afc3baa5ad5cf550423dae6e1ce2100d</t>
  </si>
  <si>
    <t>https://github.com/stepci/stepci</t>
  </si>
  <si>
    <t>https://github.com/RobTF9/parrot</t>
  </si>
  <si>
    <t>a7499f894269d36443890125d9b402a9c4f43108</t>
  </si>
  <si>
    <t>https://github.com/maximthomas/passwordless</t>
  </si>
  <si>
    <t>https://github.com/MarioMatschgi/Converter</t>
  </si>
  <si>
    <t>17904fa5e601c7e9db8424696be09f9fd9e2f674</t>
  </si>
  <si>
    <t>https://github.com/vadootvpeer/p2p-cdn-sdk-javascript</t>
  </si>
  <si>
    <t>450d9c35caa17ee99ec4cb513c70e6b1229fd9dd</t>
  </si>
  <si>
    <t>https://github.com/MeoMix/antfarm</t>
  </si>
  <si>
    <t>https://github.com/StoneT2000/Dimensions</t>
  </si>
  <si>
    <t>789c807fa0817e7e58b809ed95bff61b4c237b12</t>
  </si>
  <si>
    <t>https://github.com/jonasvinther/medusa</t>
  </si>
  <si>
    <t>https://github.com/SHA65536/RubiksCube</t>
  </si>
  <si>
    <t>6f94264271738c141e7beffce806aebdd082ff7d</t>
  </si>
  <si>
    <t>https://github.com/victorantos/AngJobs</t>
  </si>
  <si>
    <t>https://github.com/DerYeger/apollo-frontend</t>
  </si>
  <si>
    <t>https://github.com/jonroig/nozama</t>
  </si>
  <si>
    <t>d9ed53552088a704745c2a4c685796607033ff89</t>
  </si>
  <si>
    <t>https://github.com/dimakiss/Udemy_bot</t>
  </si>
  <si>
    <t>d98cb79e55cc4403371042814e3cec5bd32d30f3</t>
  </si>
  <si>
    <t>https://github.com/Fytex/Instagram-Giveaways-Winner</t>
  </si>
  <si>
    <t>2172c269e10d7233851633160db30b614981817e</t>
  </si>
  <si>
    <t>https://github.com/KnowledgeCanvas/knowledge</t>
  </si>
  <si>
    <t>https://github.com/mayur091193/q-google-map</t>
  </si>
  <si>
    <t>d6bdaa54426e07fd828934e61d75e54aa9b24625</t>
  </si>
  <si>
    <t>https://github.com/awaescher/RepoZ</t>
  </si>
  <si>
    <t>1a0a71e804f84ec0854a2cd760ae52865740e6d9</t>
  </si>
  <si>
    <t>https://github.com/ManojNallusamy/clock-tab</t>
  </si>
  <si>
    <t>https://github.com/YigitGunduc/voxel-engine</t>
  </si>
  <si>
    <t>3500199fc005c42f07c5b666459aef8d6c215a1c</t>
  </si>
  <si>
    <t>https://github.com/jankrepl/deepdow</t>
  </si>
  <si>
    <t>https://github.com/zackumar/newspaper_snippets</t>
  </si>
  <si>
    <t>7aeef7511217b69db647e1e367962483f4617712</t>
  </si>
  <si>
    <t>https://github.com/jo1gi/openurl</t>
  </si>
  <si>
    <t>72bc440e1c3e6311a0282c8f9d8c496d4ce8f0d8</t>
  </si>
  <si>
    <t>https://github.com/anantn/thinmusic</t>
  </si>
  <si>
    <t>https://github.com/akashrchandran/syrics</t>
  </si>
  <si>
    <t>https://github.com/radekxrandom/obiadekchat</t>
  </si>
  <si>
    <t>cb4d76ad15df52e37fc33b00d78252c46e6893ce</t>
  </si>
  <si>
    <t>https://github.com/ankitmaloo/gmail-sidebar-drive</t>
  </si>
  <si>
    <t>438cf874118f650613628ed869a750076058d159</t>
  </si>
  <si>
    <t>https://github.com/joeycato/boundlessvideoplayer</t>
  </si>
  <si>
    <t>bd6a55307a98a773d3cb94625cc1557a9afca874</t>
  </si>
  <si>
    <t>https://github.com/souvikinator/synko</t>
  </si>
  <si>
    <t>ccecaadcc2d96ab530867389a59cb9d0a8bbb128</t>
  </si>
  <si>
    <t>https://github.com/yukselberkay/pmanager</t>
  </si>
  <si>
    <t>https://github.com/omar-haris/smart-coding-mcp</t>
  </si>
  <si>
    <t>ef8e842fdd5002247a436056b7650f60fd99279b</t>
  </si>
  <si>
    <t>https://github.com/jessekorzan/themockitship</t>
  </si>
  <si>
    <t>e63ea245ba435694468308ed7574adc502a71025</t>
  </si>
  <si>
    <t>https://github.com/CaliLuke/quality-workflow-meta</t>
  </si>
  <si>
    <t>43ff49e3ef33fade45bd74d31e3fe5b77b4fbe98</t>
  </si>
  <si>
    <t>https://github.com/ipdisdendat/NewsBiasSuperDetector</t>
  </si>
  <si>
    <t>8619dc7d493a4bd6b530bdc15069aa19e55cdf7a</t>
  </si>
  <si>
    <t>https://github.com/CodeWithCJ/SparkyFitness</t>
  </si>
  <si>
    <t>0e6d50aa300750c7837f23d53bd7610ab83b64ab</t>
  </si>
  <si>
    <t>https://github.com/jbdamask/scratch</t>
  </si>
  <si>
    <t>8e927149a250e44f09756f7fdf6d7db04b2a2623</t>
  </si>
  <si>
    <t>https://github.com/dennisimoo/Infinite-Web</t>
  </si>
  <si>
    <t>63c557a7aecabf830babc7d0aafcc99aa5d7c0de</t>
  </si>
  <si>
    <t>https://github.com/Intro0siddiqui/Browser-db</t>
  </si>
  <si>
    <t>44dd53729e3211f3093086e48fa1d60429179ce9</t>
  </si>
  <si>
    <t>https://github.com/fpytloun/gptsh</t>
  </si>
  <si>
    <t>24a5867e7dd6f84d18e805dcad86d5970048c28b</t>
  </si>
  <si>
    <t>https://github.com/gioruggieri/PromptPress</t>
  </si>
  <si>
    <t>2e53e2557f54f7ced0e3d2b4451be6d80123dff1</t>
  </si>
  <si>
    <t>https://github.com/skaldlabs/skald</t>
  </si>
  <si>
    <t>af3626a35ef2f9738176c4cfd929b29664f10128</t>
  </si>
  <si>
    <t>https://github.com/fabriziosalmi/trinity</t>
  </si>
  <si>
    <t>72c1a9b9a36207184ec729909aed18b26ec639fc</t>
  </si>
  <si>
    <t>https://github.com/AizenvoltPrime/claude-setup</t>
  </si>
  <si>
    <t>d6e4b9b9bf6229a6bfdce5b6ee3840421b12bf97</t>
  </si>
  <si>
    <t>https://github.com/RatuL65/ShelfStory</t>
  </si>
  <si>
    <t>e360b89cdd90dcdebf0626bc28a5f237a81341cb</t>
  </si>
  <si>
    <t>https://github.com/onflow/rewtf-registry</t>
  </si>
  <si>
    <t>ab9478dd2854ede04e653823c2b79096c79d8f13</t>
  </si>
  <si>
    <t>https://github.com/ljis120301/notes</t>
  </si>
  <si>
    <t>72dc27206f5fb563eb8eb2acb40196bd9875ca13</t>
  </si>
  <si>
    <t>https://github.com/i-am-noamg/cursorbird</t>
  </si>
  <si>
    <t>c8a381b5c385db35c81d80b87b7afa6f72bf5148</t>
  </si>
  <si>
    <t>https://github.com/NeptuneHub/AudioMuse-AI</t>
  </si>
  <si>
    <t>4a1634bbefdca066455dedfb54f5f389feb869f8</t>
  </si>
  <si>
    <t>https://github.com/JakeNesler/Claude_Prophet</t>
  </si>
  <si>
    <t>3feb059ee0738f345237680c8512c21f425e3434</t>
  </si>
  <si>
    <t>https://github.com/Mohitkadu16/StudKits</t>
  </si>
  <si>
    <t>c86a5c0d14e8e2a7857463c3d6d2fed967761a6b</t>
  </si>
  <si>
    <t>https://github.com/bisonbet/BisonNotes-AI</t>
  </si>
  <si>
    <t>https://github.com/open-ug/conveyor</t>
  </si>
  <si>
    <t>6b152b2f85fc440b6dda874153a2f7892d18110d</t>
  </si>
  <si>
    <t>https://github.com/ceciliomichael/echode</t>
  </si>
  <si>
    <t>e1dc45961bf4ffebf7d8a3696c3bc2b5de7c180e</t>
  </si>
  <si>
    <t>https://github.com/Priivacy-ai/spec-kitty</t>
  </si>
  <si>
    <t>https://github.com/subhan986/Space-Explorer</t>
  </si>
  <si>
    <t>947465465b35dc3a52f4f7518d4bbcf3d9bd94e4</t>
  </si>
  <si>
    <t>https://github.com/anshulyadav1976/VulnViper</t>
  </si>
  <si>
    <t>d122aab35409a673c488b3f903b4ef18c00bed36</t>
  </si>
  <si>
    <t>https://github.com/forsonny/The-Crucible-Writing-System-For-Claude</t>
  </si>
  <si>
    <t>0d82e733536d70358259f93d66cc40708077898e</t>
  </si>
  <si>
    <t>https://github.com/ashuraits/airtv</t>
  </si>
  <si>
    <t>d8c585163ad2f346e64701cca3d60835a09a3017</t>
  </si>
  <si>
    <t>https://github.com/hongxin/RealConsole</t>
  </si>
  <si>
    <t>4d9496681a7144006d99c8051703811582910bcf</t>
  </si>
  <si>
    <t>https://github.com/spessasus/SpessaSynth</t>
  </si>
  <si>
    <t>376044e39111a86b471c8e7d723619a30fde38ae</t>
  </si>
  <si>
    <t>https://github.com/MatthewTheDev166/LaptopSeismo?utm_source=chatgpt.com</t>
  </si>
  <si>
    <t>e499d2215c448fc74d141754acf24cfb96ea4637</t>
  </si>
  <si>
    <t>https://github.com/GenuineDickies/fourstrokeanimation</t>
  </si>
  <si>
    <t>75e2889dbbb356ae561a37c8b29adf32f1b6b166</t>
  </si>
  <si>
    <t>https://github.com/polaroi8d/cactoide</t>
  </si>
  <si>
    <t>d18afc43da0143ce016274bfc388dc88d8be920a</t>
  </si>
  <si>
    <t>https://github.com/kooshi/image_fft_toy</t>
  </si>
  <si>
    <t>70f2a16473adefebc508fb8530fdda648bcb6079</t>
  </si>
  <si>
    <t>https://github.com/UDPSendToFailed/HydroScreen</t>
  </si>
  <si>
    <t>5bc1d545d7d492574890fa9a6c9630153bd44a6c</t>
  </si>
  <si>
    <t>https://github.com/Helo3301/budget-automation</t>
  </si>
  <si>
    <t>8634ef81e420e3f1caaa2908ceb5c7cb07e0c7a5</t>
  </si>
  <si>
    <t>https://github.com/DubblePumper/NMBS-Train-data</t>
  </si>
  <si>
    <t>d9e37b2826566ff73db6305f25f8cee8add5c301</t>
  </si>
  <si>
    <t>https://github.com/vraxo/coalesce</t>
  </si>
  <si>
    <t>4dfe42ef4aa392e49aa236b9603f15b0339e0252</t>
  </si>
  <si>
    <t>https://github.com/Nexen4/hex_game_ai</t>
  </si>
  <si>
    <t>5838a4fed1ad3132e7a3759234e47ea823a0e044</t>
  </si>
  <si>
    <t>https://github.com/cndn/recipe-discovery-playbook</t>
  </si>
  <si>
    <t>83cb0fc1ec1c2bcab968b6b9f54e153d6944ef4a</t>
  </si>
  <si>
    <t>https://github.com/richard1912/PasteParty#screenshot</t>
  </si>
  <si>
    <t>03251a19bfe08ae38ec503e04e1eeab66690faed</t>
  </si>
  <si>
    <t>https://github.com/TheIlkinAlizade/Christmas-Tree</t>
  </si>
  <si>
    <t>6c6d425f0ac27bbf855fca8d963ffa06fe196c52</t>
  </si>
  <si>
    <t>https://github.com/VulcanWM/earn-grid</t>
  </si>
  <si>
    <t>bb557e1479d419507c77ffb14a4974db3f21de48</t>
  </si>
  <si>
    <t>https://github.com/saketsarin/composer-web</t>
  </si>
  <si>
    <t>2a3b19e9a062bce387e2b99970f2ed0768543d7e</t>
  </si>
  <si>
    <t>https://github.com/kovermier/prompt-library</t>
  </si>
  <si>
    <t>b7ad56afc6c91da209f2ffbff3034929065c3da6</t>
  </si>
  <si>
    <t>https://github.com/aedm/square-minus-square</t>
  </si>
  <si>
    <t>f7fcc7512790c4b4a478f41f598cb52bcca42802</t>
  </si>
  <si>
    <t>https://github.com/omar-haris/smart-coding-mcp:</t>
  </si>
  <si>
    <t>https://github.com/jessekorzan/themockitship:</t>
  </si>
  <si>
    <t>https://github.com/CaliLuke/quality-workflow-meta:</t>
  </si>
  <si>
    <t>https://github.com/mk-knight23/vibe-cli:</t>
  </si>
  <si>
    <t>https://github.com/ipdisdendat/NewsBiasSuperDetector:</t>
  </si>
  <si>
    <t>https://github.com/CodeWithCJ/SparkyFitness:</t>
  </si>
  <si>
    <t>https://github.com/Vexa-ai/vexa_example_client:</t>
  </si>
  <si>
    <t>https://github.com/jbdamask/scratch:</t>
  </si>
  <si>
    <t>https://github.com/dennisimoo/Infinite-Web:</t>
  </si>
  <si>
    <t>https://github.com/Intro0siddiqui/Browser-db:</t>
  </si>
  <si>
    <t>https://github.com/fpytloun/gptsh:</t>
  </si>
  <si>
    <t>https://github.com/bcdannyboy/robot-dreams:</t>
  </si>
  <si>
    <t>https://github.com/gioruggieri/PromptPress:</t>
  </si>
  <si>
    <t>https://github.com/skaldlabs/skald:</t>
  </si>
  <si>
    <t>https://github.com/fabriziosalmi/trinity:</t>
  </si>
  <si>
    <t>https://github.com/AizenvoltPrime/claude-setup:</t>
  </si>
  <si>
    <t>https://github.com/RatuL65/ShelfStory:</t>
  </si>
  <si>
    <t>https://github.com/onflow/rewtf-registry:</t>
  </si>
  <si>
    <t>https://github.com/ljis120301/notes:</t>
  </si>
  <si>
    <t>https://github.com/getAsterisk/claudia:</t>
  </si>
  <si>
    <t>https://github.com/i-am-noamg/cursorbird:</t>
  </si>
  <si>
    <t>https://github.com/NeptuneHub/AudioMuse-AI:</t>
  </si>
  <si>
    <t>https://github.com/JakeNesler/Claude_Prophet:</t>
  </si>
  <si>
    <t>https://github.com/Mohitkadu16/StudKits:</t>
  </si>
  <si>
    <t>https://github.com/bisonbet/BisonNotes-AI:</t>
  </si>
  <si>
    <t>https://github.com/open-ug/conveyor:</t>
  </si>
  <si>
    <t>https://github.com/ceciliomichael/echode:</t>
  </si>
  <si>
    <t>https://github.com/Priivacy-ai/spec-kitty:</t>
  </si>
  <si>
    <t>https://github.com/subhan986/Space-Explorer:</t>
  </si>
  <si>
    <t>https://github.com/anshulyadav1976/VulnViper:</t>
  </si>
  <si>
    <t>https://github.com/forsonny/The-Crucible-Writing-System-For-Claude:</t>
  </si>
  <si>
    <t>https://github.com/ashuraits/airtv:</t>
  </si>
  <si>
    <t>https://github.com/hongxin/RealConsole:</t>
  </si>
  <si>
    <t>https://github.com/spessasus/SpessaSynth:</t>
  </si>
  <si>
    <t>https://github.com/MatthewTheDev166/LaptopSeismo?utm_source=chatgpt.com:</t>
  </si>
  <si>
    <t>https://github.com/GenuineDickies/fourstrokeanimation:</t>
  </si>
  <si>
    <t>https://github.com/polaroi8d/cactoide:</t>
  </si>
  <si>
    <t>https://github.com/kooshi/image_fft_toy:</t>
  </si>
  <si>
    <t>https://github.com/UDPSendToFailed/HydroScreen:</t>
  </si>
  <si>
    <t>https://github.com/Helo3301/budget-automation:</t>
  </si>
  <si>
    <t>https://github.com/DubblePumper/NMBS-Train-data:</t>
  </si>
  <si>
    <t>https://github.com/vraxo/coalesce:</t>
  </si>
  <si>
    <t>https://github.com/benbasha/claudeloop:</t>
  </si>
  <si>
    <t>https://github.com/Nexen4/hex_game_ai:</t>
  </si>
  <si>
    <t>https://github.com/cndn/recipe-discovery-playbook:</t>
  </si>
  <si>
    <t>https://github.com/richard1912/PasteParty#screenshot:</t>
  </si>
  <si>
    <t>https://github.com/TheIlkinAlizade/Christmas-Tree:</t>
  </si>
  <si>
    <t>https://github.com/VulcanWM/earn-grid:</t>
  </si>
  <si>
    <t>https://github.com/saketsarin/composer-web:</t>
  </si>
  <si>
    <t>https://github.com/kovermier/prompt-library:</t>
  </si>
  <si>
    <t>c2ead4af6a33aed6ed79684f2346de6a3f12fe5a</t>
  </si>
  <si>
    <t>4747b9d40aeb6c1cbc73eb0802008c4afff686d9</t>
  </si>
  <si>
    <t>3f57c4a8a626678f27305c54d13237eb583c30b4</t>
  </si>
  <si>
    <t>d34f00d82f2f19fce6bd96959e9d2b969617a040</t>
  </si>
  <si>
    <t>ea81d8b6e94bc9dd3ec6bf634cd75aa7c8b4abb9</t>
  </si>
  <si>
    <t>b5afb7fd49e717d5966d1fa509a512d1564c5b5f</t>
  </si>
  <si>
    <t>dced3375debfbe06362d2da03f71ea80b29fb81b</t>
  </si>
  <si>
    <t>a0390526216e3fc46bb82180d87998d3a62635f9</t>
  </si>
  <si>
    <t>260d3229d87c6c85468f56feaadf0d9836c211b7</t>
  </si>
  <si>
    <t>53a338cfc08babfb2d6089e3f4fdbfc9fb544698</t>
  </si>
  <si>
    <t>d68ee1f7c1ecd1b56b96cdf1506ae63716655241</t>
  </si>
  <si>
    <t>6aa9bf5e740ba8d07615cfaf53a18c3f9604c206</t>
  </si>
  <si>
    <t>ae362b9238461d1823f1fc3564578832c899ea04</t>
  </si>
  <si>
    <t>41b78211f1374590f7f5456560af44874a08ac9e</t>
  </si>
  <si>
    <t>ee2e99a795810f17defeaee368dbac88fc4a36c2</t>
  </si>
  <si>
    <t>411fbd1d077c111f6667aa47259e40275f559d5c</t>
  </si>
  <si>
    <t>e5b47f89c0863ddeb9e8117f51ddbac1f04024fd</t>
  </si>
  <si>
    <t>50fa389baeab3d879c06cd67cbb183c708abef62</t>
  </si>
  <si>
    <t>dab29e72671ab26fc80918d7168b681e7ce9b4ff</t>
  </si>
  <si>
    <t>9493fddf165ba862876052de5c740c5ab75bf2c6</t>
  </si>
  <si>
    <t>b2ae8051da054ac115576f85aec99f06b1b72cc4</t>
  </si>
  <si>
    <t>d66702daf6cfef09ad08964f538a5fe309a2e230</t>
  </si>
  <si>
    <t>08a5a674c46e96bd932b578aa7d8351c1fb1c658</t>
  </si>
  <si>
    <t>4473b7548141ad19f138462e132b1bb9608a75f9</t>
  </si>
  <si>
    <t>d11b5ac273450014bb3ec202367d827544c83778</t>
  </si>
  <si>
    <t>ab947c2f34efbcd3d45bda33b1f651236c297a32</t>
  </si>
  <si>
    <t>2bf2863831fddab9e526806386101e8deac507eb</t>
  </si>
  <si>
    <t>dacdaac15a6bd962e10c01554d2416b5dc238ad8</t>
  </si>
  <si>
    <t>38982d13fe6ec2dc0d23f3e9c71b7b229ab91073</t>
  </si>
  <si>
    <t>a7e672eae87c93f71a821823697b488f595c380f</t>
  </si>
  <si>
    <t>d2de99ca6d41b4959f3bd07b78cdadcc0a662975</t>
  </si>
  <si>
    <t>36bcd468bd6ba26edb40f6f00ba9f561ed7aaa8c</t>
  </si>
  <si>
    <t>f3bf1c2036cad73b37f85a36137447c900567fba</t>
  </si>
  <si>
    <t>8c6a58edf665cbaab9b651904e1dd8e901953e16</t>
  </si>
  <si>
    <t>2d7164e2c3acba52e18eda2856fdd3d1114e943d</t>
  </si>
  <si>
    <t>a6ba951ade990971b7e2529b3143468e36671825</t>
  </si>
  <si>
    <t>2e615e50d0ba574415b8694b9e6b5eb7fbe47d11</t>
  </si>
  <si>
    <t>2f22b71f872fca4cf3dc20f5fa250f1d65f1c37c</t>
  </si>
  <si>
    <t>a20107a81ceaea326805dc2775d3545b43ef66e8</t>
  </si>
  <si>
    <t>a96b4766f719b932ea09f4f1cdc5d607b0a36889</t>
  </si>
  <si>
    <t>7a158a476813e18f2df9b29975188fa3431569ce</t>
  </si>
  <si>
    <t>cef6e20484e2b2b7fb74943381f2f945f844dc98</t>
  </si>
  <si>
    <t>c8909eadd5fd6d589370b82fc03a389634fbba2a</t>
  </si>
  <si>
    <t>cd7689af51d3965842b4c9e4924dc101f8b88bec</t>
  </si>
  <si>
    <t>79ca0f8754e8c50115d6d70796acc763946bc3f4</t>
  </si>
  <si>
    <t>a3a3b88c89744472527c4532ec7515405c2cc281</t>
  </si>
  <si>
    <t>4251777b2b02f2bc8faae3cdccdad8a1a1d44998</t>
  </si>
  <si>
    <t>38da230c39da12e60c723756290997da775ea863</t>
  </si>
  <si>
    <t>8bc58b7869b6e756e8e40843842ba21dcb496475</t>
  </si>
  <si>
    <t>c04775a7f200bfe19aa2378a2a92ea76e4611feb</t>
  </si>
  <si>
    <t>9ad4d3894ef09063b39f6b7d0c81d9d6807a87f9</t>
  </si>
  <si>
    <t>cd96d50dd71c06908853f171a1c8e72cafd596b0</t>
  </si>
  <si>
    <t>9b7ae11e2bc8c8e7de348343b139bd0c25805ed2</t>
  </si>
  <si>
    <t>ccbc45450b519a4c6fa895e1ea3da8ac6cc37df3</t>
  </si>
  <si>
    <t>5c47f4837b9e20a595cffea13686c72228e4ef1a</t>
  </si>
  <si>
    <t>5e6240b4e1c9d9acd0b53d0b6aeb1c8c4db6f251</t>
  </si>
  <si>
    <t>3e3a4089c527b4bc6efef422064211f016d3276f</t>
  </si>
  <si>
    <t>805d385adc1d8c89b782892ad60fd833f2fb4ee4</t>
  </si>
  <si>
    <t>1fb48648ad7c4b7e0eae0730dc30255184ec8aed</t>
  </si>
  <si>
    <t>4a756626117fbc4b40601a8dc38ea4e9e599d840</t>
  </si>
  <si>
    <t>7650a30914fc4fe0ca332d7674f9206bef408e4e</t>
  </si>
  <si>
    <t>410f20738836a938ff154e851754cf9110aadd05</t>
  </si>
  <si>
    <t>8360db05355d41f13b895116aaf18a71763abd32</t>
  </si>
  <si>
    <t>3c500739bb982ab9c2d70b99606c662610ec9d51</t>
  </si>
  <si>
    <t>2a4005df3fbf043071cc9b97cb393171999eccf2</t>
  </si>
  <si>
    <t>ae8c5c0cc1ae94fbdb4d96ce4c8d2e58c885dbba</t>
  </si>
  <si>
    <t>d8357c995930fde2578a9ad6e1732c41fef50221</t>
  </si>
  <si>
    <t>18d80d47e5ad3f68220e84e509fa493f7ff20a26</t>
  </si>
  <si>
    <t>b5e4dec89e1b558f62bd405e4f9180849e719d70</t>
  </si>
  <si>
    <t>dff4ec72b1df7f6c91f945036f3d966884955510</t>
  </si>
  <si>
    <t>207974c7953b0be3f8e73aac55c0c26887fcf42a</t>
  </si>
  <si>
    <t>edb3938a9d709bf0296b8dac195b23ece990ae43</t>
  </si>
  <si>
    <t>6d54b74a23eefb933fc73bf4004015930c01df32</t>
  </si>
  <si>
    <t>a70120b652c563398d248e3cf478fcf16718612b</t>
  </si>
  <si>
    <t>e856e7f72624f600cc735b5148e3ea586b320819</t>
  </si>
  <si>
    <t>c2ef7767ce64c2ac98dd088dc689dd7ad529aa8a</t>
  </si>
  <si>
    <t>8780009298fb8b3c08d40b04bef605d8e4df72d1</t>
  </si>
  <si>
    <t>6f3f290eb52f56b2bb960a27b103bcf77be50791</t>
  </si>
  <si>
    <t>e990b66d046c5fc587477f431cb45127388b333a</t>
  </si>
  <si>
    <t>0b4be96792fece821e2297757589b6512718d578</t>
  </si>
  <si>
    <t>9ec5d4a2d999269e1f96a179f1e7ce7fa3ca829e</t>
  </si>
  <si>
    <t>d535f6e3a4744e3bf56e6054314daa0f645e3674</t>
  </si>
  <si>
    <t>61d0b3c457f47d599338a673aff9ddce80a214c5</t>
  </si>
  <si>
    <t>2410aeefc994d9edf8987b69e18b58da015d957c</t>
  </si>
  <si>
    <t>7d1ddeb3f95ac5eef35dc5fd98947ebf9fcb2883</t>
  </si>
  <si>
    <t>b59697fbd06c9149de38153622dd88d6f8336ada</t>
  </si>
  <si>
    <t>a54b24ec8b83910c009a77cabc725c5426e91062</t>
  </si>
  <si>
    <t>49c7d2898cf81cb6e8b203c6a9afe85c7c20b7b0</t>
  </si>
  <si>
    <t>1fed68e69c3814097eeaeeb18aaee6fdc91cbe1e</t>
  </si>
  <si>
    <t>082e201a0b70a030e31c86edbff4310a25541d24</t>
  </si>
  <si>
    <t>536bf429f77d6259b12e3add587b2bd5f1dacb0d</t>
  </si>
  <si>
    <t>39100e93721f396f900d80e4298036f986e086ac</t>
  </si>
  <si>
    <t>7d2c056f89a5b09007264b21fe2915a6b64e737a</t>
  </si>
  <si>
    <t>b1dd05a7d5dd89378a42b26dc680a90768c90719</t>
  </si>
  <si>
    <t>51c448ae315c630de78fefb12fd41d632cd5d5b5</t>
  </si>
  <si>
    <t>025c912c347672b4d630d56fc82f11635a2ec88d</t>
  </si>
  <si>
    <t>97b1c935a1070ee240d8f1bee4f66b0f16a0a4ea</t>
  </si>
  <si>
    <t>27825ffb2fec2482696072de21d02a7aecbf2251</t>
  </si>
  <si>
    <t>233997c1b0d6e3c3c992a481a58ea3b2ebe0975f</t>
  </si>
  <si>
    <t>5593d01e777b5b422bec3d8ffad7181c0c66bdbe</t>
  </si>
  <si>
    <t>3f40e331342a03aa9fa6139e47f5109f0b63f563</t>
  </si>
  <si>
    <t>1025e6daaf98c125382ac0f8b940f75cd6845e80</t>
  </si>
  <si>
    <t>405de1679da2f12f68bb07f7cbd879b2b9491e1e</t>
  </si>
  <si>
    <t>bfa932ab493ba069875f143e849f88d2925a3460</t>
  </si>
  <si>
    <t>4c6c4adbaf6c7f4ffca5af19a96e34de2b93f658</t>
  </si>
  <si>
    <t>57e2373958de97cdc664500034268b73c127d88c</t>
  </si>
  <si>
    <t>a9be2462b8f3ed822ad4585c69e3ec22a832d045</t>
  </si>
  <si>
    <t>f20c9e91aeee7ac20ae0765d8b51a5c44cd50b3d</t>
  </si>
  <si>
    <t>e237a7138f0b1c8c293f2d388f5788bd95b72072</t>
  </si>
  <si>
    <t>664dacef45d14923c12b71c75fd23e3dfeb14e60</t>
  </si>
  <si>
    <t>6553a0bc22458890a2fcf39e5638faebdc915600</t>
  </si>
  <si>
    <t>968e1cf30e3a7630c09b9a02d6604b0e9da9e862</t>
  </si>
  <si>
    <t>4af9e3d1617845b4674dc2e52c467c4f811d9e1d</t>
  </si>
  <si>
    <t>4d390c388d347bdf118093af97e67142765e9ec3</t>
  </si>
  <si>
    <t>92fc46d7677126868505dbb70a4073298892b548</t>
  </si>
  <si>
    <t>d9ef45c20f33d63a18dfd68f41ddc1dea594cb3b</t>
  </si>
  <si>
    <t>c899a233efe02e3da0a6a2f6a05f199de8752aa1</t>
  </si>
  <si>
    <t>366deec47685d8b19932aeb32c1d5ef4c771fd33</t>
  </si>
  <si>
    <t>ac55701890cd866ee946deb25e2b2839fb14900e</t>
  </si>
  <si>
    <t>23e76f3b09337ad399b2f683c1a549b4738c324c</t>
  </si>
  <si>
    <t>7c160cca3feafcd14bf150ab0e3008b3e2b93968</t>
  </si>
  <si>
    <t>7d7a6b9ba33f25e52505c9ed1a466544c5116fc8</t>
  </si>
  <si>
    <t>0256fdae0fa769648ffaf45a53802e3ed6f26dd1</t>
  </si>
  <si>
    <t>9d88ee6e2c9aa444271d10258a4cbe59ddd9ada1</t>
  </si>
  <si>
    <t>272ec2e76cb3641bef012c711ff25d15b6f99663</t>
  </si>
  <si>
    <t>47648c7ea1e68204f6556956b0cf3c1b8b5fa66f</t>
  </si>
  <si>
    <t>7fab9054dcc2d4116bdb1551a157408673979cb6</t>
  </si>
  <si>
    <t>3ffd5c19b202ad5d9588b241713661d23854a30c</t>
  </si>
  <si>
    <t>e13e3bfc468bbe78eb2d65c060d227434c665720</t>
  </si>
  <si>
    <t>aa313dc7a9bb40ee459be06fb58ed654db684c06</t>
  </si>
  <si>
    <t>c4a29e64b95164f7903b39d48ef660c087220095</t>
  </si>
  <si>
    <t>b05abd22109b25d46b32c35fad75e642d96e347b</t>
  </si>
  <si>
    <t>4d51c8583ca87d49ccc82ef3f6c0e07bc31f95e4</t>
  </si>
  <si>
    <t>74088b455beebbc7f93781466c8cdce25f02768b</t>
  </si>
  <si>
    <t>077d1b968820fbf121dd45758edbde077774622d</t>
  </si>
  <si>
    <t>130f68aa4003ea25b070e7df2829ea037e5e8378</t>
  </si>
  <si>
    <t>469b9bf4ded0d5de986d747fc0783c53531e39a0</t>
  </si>
  <si>
    <t>aaa2c2b4dbe29e9518c117474cfcf84f9840ca77</t>
  </si>
  <si>
    <t>bb956ae0f05fa0d04f1d79961e3b6d1938043047</t>
  </si>
  <si>
    <t>e02fb271430265a00e72f84e5205bda9b37cf7f7</t>
  </si>
  <si>
    <t>dda3b4b92e6377ab724ee04fabed7aa011750e18</t>
  </si>
  <si>
    <t>f1f83aca9246502121e84234738277d1a6b43b7e</t>
  </si>
  <si>
    <t>30d5e09e20a320a703e3d47bb3b347b4afeaba01</t>
  </si>
  <si>
    <t>ba5a9031db3f2f8b35221d5f123a22ab810f5f6f</t>
  </si>
  <si>
    <t>99c9722ec2fdd7dfbcb516e568a9d3a7aee367b4</t>
  </si>
  <si>
    <t>e32c83305edc8cdcc6bce4fd9594d5db64fe096d</t>
  </si>
  <si>
    <t>b523f9f13c24269dc1a37a119563a13680d82cef</t>
  </si>
  <si>
    <t>343b11c204110fe5901b975694f76635afbd610b</t>
  </si>
  <si>
    <t>55aaebd32712ab95d21de008c8ca47e16ddb77dc</t>
  </si>
  <si>
    <t>f70daa4869ec291f1ac1d1118bf019d66b397449</t>
  </si>
  <si>
    <t>93d6189ae4ed451696ec5b746ef36ab6aa2b688e</t>
  </si>
  <si>
    <t>f8132feb893eee0b413fe93eed8b3303ac72d338</t>
  </si>
  <si>
    <t>282c118d1afbdab168eb91b1a050314ea9934789</t>
  </si>
  <si>
    <t>32ca352117155fc8ebf280e389990c365b9066e4</t>
  </si>
  <si>
    <t>d3cf0d21ea6b337dc21f0b5534a727532c548c55</t>
  </si>
  <si>
    <t>10b36b76362d0e1d92dfecf9d74831328fe1350a</t>
  </si>
  <si>
    <t>bd4a52692e188f5d2d70dcb6dad1c954f0300dad</t>
  </si>
  <si>
    <t>a2ac0eb833f6db2fb7136729cceb31c3f2323899</t>
  </si>
  <si>
    <t>f7e0a9ed883095304f8707211f7395e9591588fe</t>
  </si>
  <si>
    <t>6c5001b12a06dea2b87f06aff86b2d5678c1b411</t>
  </si>
  <si>
    <t>54bb7d3f75d52943d61037859c1a12dcdde8301d</t>
  </si>
  <si>
    <t>1edf6d1bcb025d6f0c654ffb36602b53ba6d713c</t>
  </si>
  <si>
    <t>30aed3e121358e3af2465c87d80c24e60aabc995</t>
  </si>
  <si>
    <t>acf475d441814008d3ed5e7facc16008fe27b260</t>
  </si>
  <si>
    <t>14c61521bc18ddd929daaa1a5ee6488b32d51c08</t>
  </si>
  <si>
    <t>a3f943bdd3b7f7036f535c5701f161796b53070d</t>
  </si>
  <si>
    <t>1de3a31a14486f2a48082724919df55f5f7417cb</t>
  </si>
  <si>
    <t>4cb787d90a059827e8a277bd3985ceda63ea74fb</t>
  </si>
  <si>
    <t>7d7b0aaa93392fc025c6a34400a875ef1bfcf0c5</t>
  </si>
  <si>
    <t>92b938d4a8cfa3d5ae561044638ddfcc7305779a</t>
  </si>
  <si>
    <t>6a24176700aaf07e97c392c0b51ce88f1a01807e</t>
  </si>
  <si>
    <t>c12295e1b024fd15830320ebfac8b2c84ede87b7</t>
  </si>
  <si>
    <t>07e2906209010fef0cd70f6a19f84007cb55ee91</t>
  </si>
  <si>
    <t>492cafe1e16220dddfd4ed35ef9e2776e42f07ee</t>
  </si>
  <si>
    <t>50e0bcf69f94a57c431a3de2388f66dba2a981b8</t>
  </si>
  <si>
    <t>f67be9efb99e7419dbe88b6f35f21164e7c6cf2f</t>
  </si>
  <si>
    <t>3359b0a9724c53a5ed059f2194084f18ca7e61b9</t>
  </si>
  <si>
    <t>fcd2fdf021fb46d0edd0444564eeb3722da0958c</t>
  </si>
  <si>
    <t>171522dd70bad6a4075a38b46ea116024e215e8e</t>
  </si>
  <si>
    <t>06ecee1971e047c41758fc237dd1eeed6a596ad6</t>
  </si>
  <si>
    <t>c710a51f93d49c3e3b6cdc776991892af6c26201</t>
  </si>
  <si>
    <t>234bed8e0ba81144e19b3148870fa929e7540b61</t>
  </si>
  <si>
    <t>2829c1b633e9df072fde8644971a922898b7891c</t>
  </si>
  <si>
    <t>3540f0424070a9839ac078a59195cb87d88f957d</t>
  </si>
  <si>
    <t>fce5e4841e7e946230ae47e2a7bbf31de7f6c6de</t>
  </si>
  <si>
    <t>e06cadcb41eeb533a8a797a4038055e32a450380</t>
  </si>
  <si>
    <t>ca90d32dbeeec834fe8e904d8be8ad0f7bddd1a5</t>
  </si>
  <si>
    <t>0f444344ebd46656d1f7814a68ff7152757498e3</t>
  </si>
  <si>
    <t>b1b18421d0398dd533991162f7694edbb56b95f9</t>
  </si>
  <si>
    <t>1814ff7d87818cf32a0fbce9a5f3a99034542ac9</t>
  </si>
  <si>
    <t>09bfc1e8061f8da583c2973c6ac49c46b1df5983</t>
  </si>
  <si>
    <t>3c4251921421ef9efbfa4209f115b30d88df7add</t>
  </si>
  <si>
    <t>7a6db4bcaf6a8fb289f3a05b178a62bcee95fe66</t>
  </si>
  <si>
    <t>2d03eb531882d944cfac346e73d1b608b8f96b3e</t>
  </si>
  <si>
    <t>0557cfae1e84112626c1a40d317a300bc654fa71</t>
  </si>
  <si>
    <t>f664ad3e26d93428e334b51bde736ac285409d68</t>
  </si>
  <si>
    <t>dcce75d06ee1bba025e42976edd4750c25df9729</t>
  </si>
  <si>
    <t>a3e9af459e000cf3ecdff6e1096c965a29918bb2</t>
  </si>
  <si>
    <t>e23634f3217cc145d808e9effa686db087f0319d</t>
  </si>
  <si>
    <t>aea270e38d17d7234bc1f913bb2a6a2973bf9a01</t>
  </si>
  <si>
    <t>7865409afdba08753e6951271143f84ab0bda69b</t>
  </si>
  <si>
    <t>fb2517e8e91f9b837f5bcb5e2eacfb985bfd131f</t>
  </si>
  <si>
    <t>51a5ca8a75c16b41385e393df482a6c13e904a6b</t>
  </si>
  <si>
    <t>cc043caba23645317a62dfd32f520704112933c0</t>
  </si>
  <si>
    <t>b7020ce49aec24d730a211ac618488571d918845</t>
  </si>
  <si>
    <t>efcd69e50c3076222d7a23c6e1bf82f20be37cc5</t>
  </si>
  <si>
    <t>8c5e94a1553994416daf9c82c81477ed337332d6</t>
  </si>
  <si>
    <t>fc66e1f4d56a8a53c133cd5a015258e2d9f3f052</t>
  </si>
  <si>
    <t>e15920eef89e4d65269e2a5d3834f7cde1ed3a08</t>
  </si>
  <si>
    <t>b7a5e0b490d8f52783ef446701451874ae1e78a7</t>
  </si>
  <si>
    <t>1c08d04c570d1fa156729a8f61e43c3c51b68f96</t>
  </si>
  <si>
    <t>6fb8fbab1974fe424025a3f1b99532d5339e3ce0</t>
  </si>
  <si>
    <t>d1bb3c5c57b69dceab9eab72834de05fc68bb4c7</t>
  </si>
  <si>
    <t>748e8d952eede61bce7403f04c75544edf251218</t>
  </si>
  <si>
    <t>2a1911573ddfd460ee1c48e27acc5f8052d822b8</t>
  </si>
  <si>
    <t>0824f45e29063aaf83c3f7fed7892d1b8a4b8865</t>
  </si>
  <si>
    <t>12d8205069b3f551ae846d4388343be81d71de5a</t>
  </si>
  <si>
    <t>7f712491b818f0f03b285b265dd1127388bcb30d</t>
  </si>
  <si>
    <t>a1f17e7601a3923c682b2b890d22082bce708137</t>
  </si>
  <si>
    <t>1c300b280e101f93a5cc4fce927094a05316edc1</t>
  </si>
  <si>
    <t>192de2a9bbc90f1a87c98ca4e368e92f901134fd</t>
  </si>
  <si>
    <t>31d22e0fb32a278c23b7953c5095b7f93a6aa9a5</t>
  </si>
  <si>
    <t>15d9bbc0551894a1d3d04cd4711e4e956d213554</t>
  </si>
  <si>
    <t>1b627dff4656c24e22a215a738dfa154e6a11e0a</t>
  </si>
  <si>
    <t>ef3b553447f622ad98f632400c47d2eb4c6a882d</t>
  </si>
  <si>
    <t>cc21a3ab8fa6584d623fb76b7546a1cb7157f7d5</t>
  </si>
  <si>
    <t>14d4655c2bb30e3de8b5e074e0f50837b254a6a7</t>
  </si>
  <si>
    <t>31caeaf062c45c551015562a516102917459aa7b</t>
  </si>
  <si>
    <t>dd3d8e1cc6bfea7f34e645dbe459f191ff60d841</t>
  </si>
  <si>
    <t>fcedecd3deb5de0e4defdfe674dc782b38952997</t>
  </si>
  <si>
    <t>1698e6d0702c10c1e32fa96cf5ac0002d0d4b863</t>
  </si>
  <si>
    <t>161210faafcb5950f6764350898713a7bd818904</t>
  </si>
  <si>
    <t>abba7b8e85dd0855500a0643db7fa2b9a55a38ed</t>
  </si>
  <si>
    <t>6603443e0887e83554cd411ee41d90e0ca389f26</t>
  </si>
  <si>
    <t>a9c0e8826bc456a1bea2ab760093b22e7e01d33d</t>
  </si>
  <si>
    <t>ff6cc2895c4a4ece865987219cd6f71daba3a505</t>
  </si>
  <si>
    <t>50fe6a0d6a77227d808db7669c624ab041acb51a</t>
  </si>
  <si>
    <t>ed5389d8cbc1545c416246a5832057e4243cc49e</t>
  </si>
  <si>
    <t>09770a3c10de5c97a31ee475bddf273eb9daaf6d</t>
  </si>
  <si>
    <t>b66c2e8ef8be864a6a83871f114eaa43f316c622</t>
  </si>
  <si>
    <t>51a69da0615f63f6ffe27d46472a3ec6f5b308a2</t>
  </si>
  <si>
    <t>c1c6e7791c366a7df0dbec544e18104bccfa93c8</t>
  </si>
  <si>
    <t>9d8dce0cddb0cc629acd0155b9928e536c7bf34a</t>
  </si>
  <si>
    <t>397f0463bca6c7c99f00ae667aa212c3cd1a06f7</t>
  </si>
  <si>
    <t>fd46fb05d33b95ded307f5c1eb23bf26c0ab3bf8</t>
  </si>
  <si>
    <t>bea69c4ca81d0cdb4ca2a58ef723c807e47e11d3</t>
  </si>
  <si>
    <t>0e93ab411262f96aa5e6f18ef8d4a73a4db3bc08</t>
  </si>
  <si>
    <t>5286b336638d73a48d094ba6509fd5ab17e65ece</t>
  </si>
  <si>
    <t>4d835c5411b8913daec94ac5b052d559964ff28d</t>
  </si>
  <si>
    <t>2cc27097cec5d4f9af52e68b777412bf131ffa93</t>
  </si>
  <si>
    <t>8f78dde47ac2263d199f3abe41887ca5c201dd24</t>
  </si>
  <si>
    <t>3c27923f544e8b9f015cf26031ff46e53467ffe6</t>
  </si>
  <si>
    <t>3998e75bf107c61e18bd3f79add2b6fc8c65027c</t>
  </si>
  <si>
    <t>d5e5a3525b064717338e5319b5e8920ea3733a07</t>
  </si>
  <si>
    <t>7e2d05514de7dc497ca993a64ca60c5b8207731c</t>
  </si>
  <si>
    <t>833dd35fda5cd6941fd5f06a7cc31caed1b3592e</t>
  </si>
  <si>
    <t>8f6c8b5e2d7a579a28a33ed265373c9ec617d567</t>
  </si>
  <si>
    <t>58ebb96005abd09a1f4a6777ecfa31d68d9f13d1</t>
  </si>
  <si>
    <t>b20776ba6ec9338a8307269c7ac275e93ce88938</t>
  </si>
  <si>
    <t>3a233e68309c3db4d3f34282de720641d29dc5f9</t>
  </si>
  <si>
    <t>5642dc600df4c325d694197acac89c0dd1cd6147</t>
  </si>
  <si>
    <t>2adeb461b70f233347b2b24a86a52fe4eb2f6f7a</t>
  </si>
  <si>
    <t>3476a93ab0fecd7c373018f70780605817e20336</t>
  </si>
  <si>
    <t>a6ba46609e1b6cfef7370e2e1ae6e9fb41608715</t>
  </si>
  <si>
    <t>c1db8e83b10a4ea54fa6b988b7a1317e6cf4e864</t>
  </si>
  <si>
    <t>b83fc47de5dbe9f641dee1265be490b0c7c3cad7</t>
  </si>
  <si>
    <t>dcb3ae36d05de7bc5319d4bea388f43a8c034daa</t>
  </si>
  <si>
    <t>35342abcaec045002bf3670b89784db67b6e9686</t>
  </si>
  <si>
    <t>a5cbc10c82b5d111596e2782df33ca46bf5f1d10</t>
  </si>
  <si>
    <t>b8b2ab5bb6e7cc4c8f640ae657d7d47484595427</t>
  </si>
  <si>
    <t>b79be046d1dfe67d6aa3b26cda9999852d1a79c7</t>
  </si>
  <si>
    <t>437c427ae9a26fbdd1d4d2f5d0d75fdfb160fcdc</t>
  </si>
  <si>
    <t>03445af1a6d8f9e0468301c18418bae445f7b5d9</t>
  </si>
  <si>
    <t>db325cfdc509c40c4b97b937198d9355b478fdf8</t>
  </si>
  <si>
    <t>9478dbd3e6509e3f30675982a680ab1c5a71bc4c</t>
  </si>
  <si>
    <t>228168ee4333d088af5658163f964eee859a339b</t>
  </si>
  <si>
    <t>cfed893353358c7c36384df2ea66e9535f60ff98</t>
  </si>
  <si>
    <t>92aa9c4579776636893a952c0da0f7e1fd51ef1d</t>
  </si>
  <si>
    <t>4fabddf18a33e27889a93801efb333378f76b065</t>
  </si>
  <si>
    <t>5e8f73dd021206deff10629f4cae6e0c1965d80f</t>
  </si>
  <si>
    <t>f259fa5111902bfb6449e4963b1ed6eab845a24e</t>
  </si>
  <si>
    <t>43d9bbcfb15797ccf0166c6216ee888e0aefd583</t>
  </si>
  <si>
    <t>3d162c28168eb6da97168b83f6c8d752d1926f6a</t>
  </si>
  <si>
    <t>5b3eda57d4175022df2626d94d6a473fdb78359e</t>
  </si>
  <si>
    <t>2c758e90dc9d3335d7e3940c23a2f7e3912b8f93</t>
  </si>
  <si>
    <t>39d3c0df641a5435f2028b37a27d26ba61a3b97b</t>
  </si>
  <si>
    <t>34c1114e6289d59135e303b06ce61c21656b3ebd</t>
  </si>
  <si>
    <t>509667adb9f305624fbd9f04be25319887c48b2a</t>
  </si>
  <si>
    <t>4131cb4305d9ce0e6a5af95423c720dd1cec3495</t>
  </si>
  <si>
    <t>05d4a910eaa58cef9db3e8c1144d1f41604a185e</t>
  </si>
  <si>
    <t>e8ef82cea0371b8a85b3a9e161785dedba17920e</t>
  </si>
  <si>
    <t>e1d27b9eaac1594f5347cfebbea28ec22751b05e</t>
  </si>
  <si>
    <t>c3016cdbc406ec196acb9e5397873cb2725495b6</t>
  </si>
  <si>
    <t>8d2520abcd7b47c9e8ced46ea7c97d7bf1d541cf</t>
  </si>
  <si>
    <t>986129cab0361fa37607f1c460501f5b54012d75</t>
  </si>
  <si>
    <t>2f25762b7531f86a9e4bbc119f85ffdd8d955720</t>
  </si>
  <si>
    <t>b9852565c1c124059d52cfecdbcd688ab384a5ef</t>
  </si>
  <si>
    <t>61e6db410d91f6e6bcc307093a6c0ad6ba2fb108</t>
  </si>
  <si>
    <t>e655b832c0745a3d2ffd63e805d7e01861accf70</t>
  </si>
  <si>
    <t>4db02d439ba6ec59d1473fef350a633930c9d9c1</t>
  </si>
  <si>
    <t>49d21cbe48a75fb9af7c342286ecd08a13702d69</t>
  </si>
  <si>
    <t>ae833ece9359e7fc81af258e9bcaa6c7d37faf80</t>
  </si>
  <si>
    <t>e1b746c649d869230a7e21af1742086900cf3e69</t>
  </si>
  <si>
    <t>0ba0c4f94f87386d6ff8052a383fa2ed7e253562</t>
  </si>
  <si>
    <t>87f0f0d77e5f553dce559cc101d4e21f5442c8c9</t>
  </si>
  <si>
    <t>4888909666dc0d6722836044018cf23ee7a3c6f1</t>
  </si>
  <si>
    <t>f6c823fe0ab4412fc8ad9ee0587786083fb931c2</t>
  </si>
  <si>
    <t>4433177a2b5d93249d9db8899975c79b87397d07</t>
  </si>
  <si>
    <t>341b34d324cf8054f2f59f092b3afcdd031bc828</t>
  </si>
  <si>
    <t>26301e3b687791a275ff7a7a97ae96bcb92e8d7b</t>
  </si>
  <si>
    <t>e007c10ff23a25755a0e0b41d267d1f445d0f299</t>
  </si>
  <si>
    <t>db372fa2f19096659f01f9ebe60a3012bda9d132</t>
  </si>
  <si>
    <t>fc8d2867c5ba8161302b809c80fa1fd6a4df94a2</t>
  </si>
  <si>
    <t>fa883fdd1d63658d86ae4cf876d8891c676a1ea0</t>
  </si>
  <si>
    <t>2e72caea6100374221fb0210c521412cdf5a61c5</t>
  </si>
  <si>
    <t>70c16d8a4910db48cd9684aeacdd431caefd7d71</t>
  </si>
  <si>
    <t>Trial</t>
  </si>
  <si>
    <t>Real</t>
  </si>
  <si>
    <t>name change broke link (fixed)</t>
  </si>
  <si>
    <t>https://github.com/xerus-ai/xerus</t>
  </si>
  <si>
    <t>https://github.com/doughyvibe/vibeCodingGovFramework#1-the-philosophy-context-is-king</t>
  </si>
  <si>
    <t>2899082a57c5efcfeb8c973cf6f4742bca0c26cc</t>
  </si>
  <si>
    <t>https://github.com/pritha21/netflix-imdb-ratings</t>
  </si>
  <si>
    <t>5851406c9ba7da1d96088560bf45fb5941ae76a7</t>
  </si>
  <si>
    <t>https://github.com/claudekit/frontend-design-pro-demo</t>
  </si>
  <si>
    <t>756b8d99618b2c4e8a90c89a99f678009468aae3</t>
  </si>
  <si>
    <t>https://github.com/shatrix/pixalize_android</t>
  </si>
  <si>
    <t>d816488b0bee4669e60c09067c7b3b4919a587c9</t>
  </si>
  <si>
    <t>https://github.com/George5562/Switchboard</t>
  </si>
  <si>
    <t>e33359c886836b25b4357ce2d91a95db619799b9</t>
  </si>
  <si>
    <t>66be893e9f19c08d2f97fbb9cff12d897c33b8c8</t>
  </si>
  <si>
    <t>https://github.com/doonfrs/AI-Instructions-Syncer</t>
  </si>
  <si>
    <t>80cfe8041fa8c0449408dad768a81e593fae5a8c</t>
  </si>
  <si>
    <t>https://github.com/ophydami/gatekeeper-marketplace</t>
  </si>
  <si>
    <t>aaa28179f17418471573889e6b0788190c4c9d22</t>
  </si>
  <si>
    <t>https://github.com/appoly/multiagent-chat</t>
  </si>
  <si>
    <t>4881698eb17f7a942f54c0da67f4dccfb46bee78</t>
  </si>
  <si>
    <t>https://github.com/jordicor/ai-json-cleanroom</t>
  </si>
  <si>
    <t>8f9053345d7858dcf0710028933aea0712b7c7cf</t>
  </si>
  <si>
    <t>https://github.com/Juan-Pestana/Train_the_cursor</t>
  </si>
  <si>
    <t>4e84f1c402497cceaee62df153decd2695cc7533</t>
  </si>
  <si>
    <t>https://github.com/dernerl/ManagedFavsGenerator</t>
  </si>
  <si>
    <t>18c8ad40a4085349e19fbf7840bd78204cc0e70a</t>
  </si>
  <si>
    <t>https://github.com/jmassengille/sketch2prompt</t>
  </si>
  <si>
    <t>932583af6ded815993a65bd82b6513453c32b19b</t>
  </si>
  <si>
    <t>https://github.com/MDReptile/RadioData</t>
  </si>
  <si>
    <t>5e8da2c80f4b95ad386e00df9c66499577dd9da7</t>
  </si>
  <si>
    <t>https://github.com/p32929/ccheckpoints</t>
  </si>
  <si>
    <t>39cfa0162209f80fdccc66096606c4cae423396f</t>
  </si>
  <si>
    <t>86240f8dd5a5821321b891d771fb766f4aff209e</t>
  </si>
  <si>
    <t>https://github.com/taylorwilsdon/quantconnect-mcp</t>
  </si>
  <si>
    <t>db736df08275c83d277ecbf4be124ecedafb0b40</t>
  </si>
  <si>
    <t>92084c154b321ad4febc476613953e3377113eb1</t>
  </si>
  <si>
    <t>https://github.com/b4rtaz/learning-games-for-kids#available-games</t>
  </si>
  <si>
    <t>57b6e3e1f07865dc1b32920197cfd7477b97838e</t>
  </si>
  <si>
    <t>https://github.com/TuckerBWieland/nyc-water-app</t>
  </si>
  <si>
    <t>1317416e7a1a606188d51e9425dc7e3c7324f4f2</t>
  </si>
  <si>
    <t>https://github.com/Suwot/ffmpeg</t>
  </si>
  <si>
    <t>5ae7d762fe7a57f8388067fccf2e5800d078828a</t>
  </si>
  <si>
    <t>https://github.com/trose/mouse-jiggler</t>
  </si>
  <si>
    <t>c08c66746a07734d8077f14920af0aa89e8f244f</t>
  </si>
  <si>
    <t>https://github.com/samuelfaj/claudiomiro</t>
  </si>
  <si>
    <t>3be2466b63d515cc6d156a80de7f37f16c4bd99a</t>
  </si>
  <si>
    <t>https://github.com/Dvorkam/wol-service</t>
  </si>
  <si>
    <t>9d46c1e48887660409eb191a79648a4edf16d937</t>
  </si>
  <si>
    <t>https://github.com/4regab/TaskSync</t>
  </si>
  <si>
    <t>5ca6fc9f4f76e36c3685c7f2dc340120793b5de8</t>
  </si>
  <si>
    <t>https://github.com/chunkhound/chunkhound</t>
  </si>
  <si>
    <t>e47bc312cf8a2c0d7d90f942871901d16016557b</t>
  </si>
  <si>
    <t>https://github.com/infiniV/VoiceFlow</t>
  </si>
  <si>
    <t>7c7ece1b356ee6eaf570f21b0afef469fe687e64</t>
  </si>
  <si>
    <t>https://github.com/ston1ee/transparent-checklist-app</t>
  </si>
  <si>
    <t>c71eee0cef26bd7f36ae0279b6e51460b34fe8c8</t>
  </si>
  <si>
    <t>https://github.com/agileandy/code-analysis?tab=readme-ov-file</t>
  </si>
  <si>
    <t>b0c67e2118defc0195fbae979ca3de513ec20021</t>
  </si>
  <si>
    <t>https://github.com/px-pride/flowcoder</t>
  </si>
  <si>
    <t>83319bb58b2b07479b257c4f39b26e81f40f6efb</t>
  </si>
  <si>
    <t>https://github.com/tesserato/Inscribe</t>
  </si>
  <si>
    <t>562b94b06c9fbcc2fd58b6b13299fbee171c9b29</t>
  </si>
  <si>
    <t>https://github.com/Frankenbuild-labs/Pocket-Code</t>
  </si>
  <si>
    <t>fb9b170ef078c03232a272adcf5811245ba893a4</t>
  </si>
  <si>
    <t>https://github.com/soitgoes-again/eyeinthecloud</t>
  </si>
  <si>
    <t>7d8743e65e9553d4a5f4e96f92037c8a4d4aae2c</t>
  </si>
  <si>
    <t>57a3779505da8268580109cbabc9b36c28439af0</t>
  </si>
  <si>
    <t>https://github.com/KhazP/vibe-coding-prompt-template</t>
  </si>
  <si>
    <t>b3ac2ea2d6dcc25c338a3465ef9bd12f37c0ba74</t>
  </si>
  <si>
    <t>https://github.com/voidquark/Chefly</t>
  </si>
  <si>
    <t>518ed16556cc7e0a2e9beec2406940cdd205d2b8</t>
  </si>
  <si>
    <t>https://github.com/Mmorgan-ML/Neuromodulatory-Control-Networks</t>
  </si>
  <si>
    <t>ac0eb85f5cd08416558fa5302b2779ea7cce79fe</t>
  </si>
  <si>
    <t>https://github.com/b4rtaz/learning-games-for-kids</t>
  </si>
  <si>
    <t>https://github.com/prateekjain24/clipdrop</t>
  </si>
  <si>
    <t>79bc3f797098dd28e039f621e3a8ff052c302a07</t>
  </si>
  <si>
    <t>https://github.com/Kabi10/ratemyemployer</t>
  </si>
  <si>
    <t>a633f78eba62b7a1e6b5fd10bd74f0f448fbe80c</t>
  </si>
  <si>
    <t>https://github.com/ajaxdude/speakprompt</t>
  </si>
  <si>
    <t>734fabf8ee44d6c83175f85625acc2b84fdfcede</t>
  </si>
  <si>
    <t>https://github.com/ryanrawlingswang/cursor-rules</t>
  </si>
  <si>
    <t>e5553aad32cc44ace958947db0ad2e9ca467d0c2</t>
  </si>
  <si>
    <t>https://github.com/codebeaver-ai/codebeaver-ai</t>
  </si>
  <si>
    <t>f5e2c2ac077bbc2dff9847a8cf4b8e489ab09414</t>
  </si>
  <si>
    <t>https://github.com/screamingearth/the_collective</t>
  </si>
  <si>
    <t>89dfcd596338f5b94940f481c329494688c098ca</t>
  </si>
  <si>
    <t>https://github.com/quadracollision/automatic_shallot2</t>
  </si>
  <si>
    <t>8e95498be6809c129618f4513dd3b1e6af2cf768</t>
  </si>
  <si>
    <t>https://github.com/CodeDeficient/KarpeSlop</t>
  </si>
  <si>
    <t>3eb07dedd2d6d8490d6fc33a254ea104406b6a4c</t>
  </si>
  <si>
    <t>https://github.com/jordicor/santa-claus-is-calling</t>
  </si>
  <si>
    <t>32780575c5e5b93c4d0fa96df36b9337f6f87e5c</t>
  </si>
  <si>
    <t>https://github.com/Addy-shetty/Vibe-Prompting</t>
  </si>
  <si>
    <t>b488d240e9907f0cf1dc8fe8868dd4eaff4a7f99</t>
  </si>
  <si>
    <t>https://github.com/Lyellr88/MARM-Systems</t>
  </si>
  <si>
    <t>ef579c0981e35db78df01e2b788108c12c8252ab</t>
  </si>
  <si>
    <t>https://github.com/dadbodgeoff/SwiftUIAudit</t>
  </si>
  <si>
    <t>660ebb83b0d069f91d127ba7d14c2514aa4ab9e5</t>
  </si>
  <si>
    <t>https://github.com/javiera-vasquez/claude-code-job-tailor</t>
  </si>
  <si>
    <t>8ae1bda0a3e82bc732d4beb8ebef1d62aba6797b</t>
  </si>
  <si>
    <t>https://github.com/mahmoudsamy7729/RAG-builder</t>
  </si>
  <si>
    <t>be0c14c89c333387065167f679bd83f78c03a827</t>
  </si>
  <si>
    <t>https://github.com/ObservedObserver/async-code</t>
  </si>
  <si>
    <t>a3f259537e3492b8b0960c4116da5b3b564e60cd</t>
  </si>
  <si>
    <t>https://github.com/dtlevin/cursor-project-rules</t>
  </si>
  <si>
    <t>9741d8f67db3756c1ddf9ff6bf819f9dcfe0ee47</t>
  </si>
  <si>
    <t>https://github.com/luca-liceti/TraceGuard-Privacy-Extension</t>
  </si>
  <si>
    <t>59a3033f93a6f2299458a9662a28f7f506256cb6</t>
  </si>
  <si>
    <t>https://github.com/anthonylee991/voice-recorder-app</t>
  </si>
  <si>
    <t>d119e4099bae0492054314fdb2f8663c2f97cfb1</t>
  </si>
  <si>
    <t>https://github.com/seutje/neuromorphs</t>
  </si>
  <si>
    <t>d1eea0fbffcb5cedd9fdefb02726b7be5d8a81c8</t>
  </si>
  <si>
    <t>https://github.com/JoloWizz/SnippetBar</t>
  </si>
  <si>
    <t>e20a6de8541cb0d3c3cb762faa95752d90ab411c</t>
  </si>
  <si>
    <t>https://github.com/veighnsche/Vibe_Copyleft</t>
  </si>
  <si>
    <t>42e69bdff68e80019ac21563c0895df61544e0ca</t>
  </si>
  <si>
    <t>https://github.com/jenfarwell/vibe-emoji-language</t>
  </si>
  <si>
    <t>c78f74aa9d725c4dba04e9092fe27641a26540c7</t>
  </si>
  <si>
    <t>https://github.com/sokinpui/itf.go</t>
  </si>
  <si>
    <t>b69fbf81b84c0bd9d8c725b5a66cfa6d34f6dcd5</t>
  </si>
  <si>
    <t>https://github.com/mcgaheypaycen/Notflix</t>
  </si>
  <si>
    <t>d32029c8ce435d272631723289628819a4fe03d7</t>
  </si>
  <si>
    <t>https://github.com/zxdxjtu/dogtor</t>
  </si>
  <si>
    <t>4231cbd831ecd4cae52616d5f3822a6f0b6c15ad</t>
  </si>
  <si>
    <t>https://github.com/ngtwolf/AI-Docs</t>
  </si>
  <si>
    <t>dc4f86ddfb7044b1e0bb692ed1e2d979b028986e</t>
  </si>
  <si>
    <t>https://github.com/officebeats/matrix-iptv</t>
  </si>
  <si>
    <t>6e6de21ae2e04464a04c00cd26833cbd2655a85a</t>
  </si>
  <si>
    <t>https://github.com/mchen-lab/local-notes-mcp</t>
  </si>
  <si>
    <t>ba0fbc79371abd839de8928c556a33589aa1df60</t>
  </si>
  <si>
    <t>https://github.com/graphhopper/tsp-game</t>
  </si>
  <si>
    <t>8bd80fc4fd9a8406cd89f2540d92ebb9ae731d47</t>
  </si>
  <si>
    <t>https://github.com/EgidioBezerra/GD-Downloader</t>
  </si>
  <si>
    <t>cb132137e5ab920e6bb2731c6bfaec49d8092ee1</t>
  </si>
  <si>
    <t>https://github.com/popmechanic/finitude</t>
  </si>
  <si>
    <t>280dd51863b4d384c6c71d756fa78d66b9aa5e1b</t>
  </si>
  <si>
    <t>https://github.com/neonwatty/kamal-quake</t>
  </si>
  <si>
    <t>648adf28d545eb6795f9c462ec255fc8ca1cf91c</t>
  </si>
  <si>
    <t>https://github.com/digitaladaption/claude-code-direct</t>
  </si>
  <si>
    <t>230d5caffbc6d3df194215ce1dfb946b71e25358</t>
  </si>
  <si>
    <t>https://github.com/borisvanschooten/webcogs-ai-toolkit</t>
  </si>
  <si>
    <t>a619b1f0524e3d1cbf18c9fe3b2281f2a57cfd91</t>
  </si>
  <si>
    <t>https://github.com/jfernandez/mdserve</t>
  </si>
  <si>
    <t>3e75b7799bdbfb5a0cee9ef774ad998a6917c373</t>
  </si>
  <si>
    <t>https://github.com/fred-terzi/reqtext</t>
  </si>
  <si>
    <t>c79423eb576fbc8babc339f4b1eebf1e4f1b5e02</t>
  </si>
  <si>
    <t>https://github.com/KukicVidan/vidan-tui-video-player</t>
  </si>
  <si>
    <t>1b34509d3b2b150dcd41c38a3f0c999260d862d6</t>
  </si>
  <si>
    <t>https://github.com/RockyHong/OopsTab</t>
  </si>
  <si>
    <t>1d3f0611aed778050c2d8f12eef4220ab3019a80</t>
  </si>
  <si>
    <t>https://github.com/justdoinc/justdo</t>
  </si>
  <si>
    <t>c4cbfd03f4f1511da27db1174d98b612ec776d92</t>
  </si>
  <si>
    <t>https://github.com/TanayK07/codeprint</t>
  </si>
  <si>
    <t>e23622bb5d612592e690208d2ba9cfe05661d982</t>
  </si>
  <si>
    <t>https://github.com/muhammad1438/pixelateR</t>
  </si>
  <si>
    <t>400acb2efe4efdbc7551df8f12814cb05b119946</t>
  </si>
  <si>
    <t>https://github.com/roeiba/forkMonkey</t>
  </si>
  <si>
    <t>380dcd8ede303d6331c189a650a693bdff6b8b64</t>
  </si>
  <si>
    <t>https://github.com/indieceo/indiesaas</t>
  </si>
  <si>
    <t>bd234b01feba088caae8a82a4c031c95701f5d9a</t>
  </si>
  <si>
    <t>https://github.com/RAMCloudCode/contxtify</t>
  </si>
  <si>
    <t>304ca6942726f3fbf700b2adcbb93d8cdb5f58a5</t>
  </si>
  <si>
    <t>5a23f3a08f694425f8e80755a958a7d15f92fd02</t>
  </si>
  <si>
    <t>https://github.com/brainless/brainless.in</t>
  </si>
  <si>
    <t>095bf1267d8553e5a6074327b7a002508d765e5d</t>
  </si>
  <si>
    <t>https://github.com/samuelm2/svraster-webgl</t>
  </si>
  <si>
    <t>f751b4c1a29c4c69a7da28ac0cc2a51fb24c955e</t>
  </si>
  <si>
    <t>https://github.com/pomazanbohdan/party-for-company</t>
  </si>
  <si>
    <t>9e449131e78c77b2e094adeca47b21146581adbb</t>
  </si>
  <si>
    <t>https://github.com/quantbuff/playdatepal</t>
  </si>
  <si>
    <t>0a0acb3454b7d68a1413bd876104161ea9232f5f</t>
  </si>
  <si>
    <t>https://github.com/leereilly/copilot-cam</t>
  </si>
  <si>
    <t>50e2b98abd73e88df1d96b40ec4e63115e971ead</t>
  </si>
  <si>
    <t>https://github.com/swarajdhondge/digitalwellbeingpc</t>
  </si>
  <si>
    <t>ad9c4595c7c33efa8663a6b5c93fafcfb2eeb9a6</t>
  </si>
  <si>
    <t>https://github.com/paideia-lms/Paideia</t>
  </si>
  <si>
    <t>37e2de89e4cfc1e447893aecfbab496d4c81409e</t>
  </si>
  <si>
    <t>https://github.com/RmaNMetaverse/RmaNDance3D</t>
  </si>
  <si>
    <t>8ab3bdeb60db8d482981efefecbfa19fff719024</t>
  </si>
  <si>
    <t>https://github.com/ColinEberhardt/kartlog</t>
  </si>
  <si>
    <t>de24d75f4f5406637d589bf56d51ef6c32727952</t>
  </si>
  <si>
    <t>https://github.com/adolfousier/keyguard-ai-scan</t>
  </si>
  <si>
    <t>c64314cc3e21d7b0acc20e2d03cac76b8fc02cca</t>
  </si>
  <si>
    <t>https://github.com/yagizdas/phi-delta</t>
  </si>
  <si>
    <t>373bb71b1cca7770823bd3b446fc6e3dbe6ad399</t>
  </si>
  <si>
    <t>https://github.com/openconstruct/llamaedit</t>
  </si>
  <si>
    <t>2f8e531be93035567871f9372dfa987866a9e503</t>
  </si>
  <si>
    <t>https://github.com/WilliamAvHolmberg/cesium-flight-simulator</t>
  </si>
  <si>
    <t>640f6ddf0fb72dd84fbfda7bda7edadc64d7aa55</t>
  </si>
  <si>
    <t>https://github.com/RogueCtrl/Descent-Cyber-Wizardry</t>
  </si>
  <si>
    <t>f320772762b22fd49f068f1ecb30b847e5987cda</t>
  </si>
  <si>
    <t>https://github.com/mopsicus/downloader-tv</t>
  </si>
  <si>
    <t>f8c78204d330d9ac86ea6cd14433bcebf1964c10</t>
  </si>
  <si>
    <t>https://github.com/bemmerzaal/garansy-rp</t>
  </si>
  <si>
    <t>dfd1060094bc25258893520953a00fff8c83865b</t>
  </si>
  <si>
    <t>https://github.com/fwdslsh/dispatch</t>
  </si>
  <si>
    <t>87ef4b3b0c35772142b4da899114c4f9ec29f4a9</t>
  </si>
  <si>
    <t>https://github.com/actyra/conversation-viewer</t>
  </si>
  <si>
    <t>d171849902d9293785583384c3c72dbee64047dd</t>
  </si>
  <si>
    <t>https://github.com/smalltransfers/ai-starter</t>
  </si>
  <si>
    <t>c812b1e653b8274529dfb2861f101e8a8d1bf25c</t>
  </si>
  <si>
    <t>https://github.com/erencanakyuz/ContextLLM</t>
  </si>
  <si>
    <t>5fb0da1f2b39107418cd1352dc6885a41390de0e</t>
  </si>
  <si>
    <t>https://github.com/stravu/crystal</t>
  </si>
  <si>
    <t>1e18e0bc981225f75b5226f82a300fa741970c6f</t>
  </si>
  <si>
    <t>https://github.com/hooosberg/WitNote</t>
  </si>
  <si>
    <t>8f508ecdc29386fb8dfae9a1f3a0b916e4d6a8e8</t>
  </si>
  <si>
    <t>https://github.com/JoeInnsp23/claude-glm-wrapper</t>
  </si>
  <si>
    <t>84fb40cc0d17d48af98f23060fa92b795f87385e</t>
  </si>
  <si>
    <t>https://github.com/theSoberSobber/election-bot</t>
  </si>
  <si>
    <t>96a8e2fb63269c0bca2772776aa6639d7ec667ff</t>
  </si>
  <si>
    <t>https://github.com/kaushikgopal/ff-container-traffic-control</t>
  </si>
  <si>
    <t>5c4227ce08dd9a1c58f000da5d190b8c0baef0a2</t>
  </si>
  <si>
    <t>https://github.com/richard1912/PasteParty</t>
  </si>
  <si>
    <t>https://github.com/kabir-21/sami-vs-moiz</t>
  </si>
  <si>
    <t>da5c3ca1f347fec0af01a0e0e859b314d95bb9f6</t>
  </si>
  <si>
    <t>https://github.com/skinnerboxentertainment/VibeCodeTrisMVP</t>
  </si>
  <si>
    <t>0cdbc007ed9396eb68e97ffa44f21357637fffa5</t>
  </si>
  <si>
    <t>https://github.com/josharmour/mtga-voice-assistant</t>
  </si>
  <si>
    <t>8bcb61c75ae8854f00e3d186a63f0683b9be4335</t>
  </si>
  <si>
    <t>https://github.com/PleasePrompto/notebooklm-mcp</t>
  </si>
  <si>
    <t>fd0525ff48204a81c55b80fbdfc81d6d7d6a2796</t>
  </si>
  <si>
    <t>https://github.com/RickyHoHo/GPT-Burger</t>
  </si>
  <si>
    <t>9eca5f75f5a7840a99c03bef9e66a8dde49d7f31</t>
  </si>
  <si>
    <t>https://github.com/breschio/drawbridge</t>
  </si>
  <si>
    <t>12b1ef78b88033fc32b6137e00b199dbc4473c07</t>
  </si>
  <si>
    <t>https://github.com/Intro0siddiqui/token-counter-server</t>
  </si>
  <si>
    <t>71f6d16a1bb67941e96b4096ac4ce57f09f3be3c</t>
  </si>
  <si>
    <t>https://github.com/magicink/twine-campfire</t>
  </si>
  <si>
    <t>965c6fffa83a31a245acdcf268326c5d46ed63d4</t>
  </si>
  <si>
    <t>https://github.com/yardimli/SmartCodePrompts</t>
  </si>
  <si>
    <t>4457dba7ba7e58a11315ca73ca227e2307e85e72</t>
  </si>
  <si>
    <t>https://github.com/WilliamAvHolmberg/vibecodementor</t>
  </si>
  <si>
    <t>70fa9be78b73040e43f75046623285de7ca4aa93</t>
  </si>
  <si>
    <t>b6b3dc7e9a19588745d7dfa66161f53599212541</t>
  </si>
  <si>
    <t>https://github.com/edxeth/parakeet-dictation</t>
  </si>
  <si>
    <t>5db722966932cd3fdfb63275a362a36306128667</t>
  </si>
  <si>
    <t>68c51882647e2781dd22ed4a947ef4c37e4b6c39</t>
  </si>
  <si>
    <t>https://github.com/mhingston/keystone-cli</t>
  </si>
  <si>
    <t>d8c4beaa73689ce035bb8a1ba688c52021250e77</t>
  </si>
  <si>
    <t>https://github.com/brainless/letsorder</t>
  </si>
  <si>
    <t>c486e88abf14fa09e3f108c2bb1d3d8a39e654cd</t>
  </si>
  <si>
    <t>https://github.com/vishnupriyanpr/Terminal-Pal</t>
  </si>
  <si>
    <t>61fc93d6b7f86602e1817f517e1e827fb3b72a9e</t>
  </si>
  <si>
    <t>https://github.com/davialabs/davia</t>
  </si>
  <si>
    <t>0ae5c75fa77df3ce2154cc5701a531a9507ade65</t>
  </si>
  <si>
    <t>https://github.com/menelly/liberation</t>
  </si>
  <si>
    <t>3a3b26bffee5b76a72d7fb10d4d79dccf9b5964b</t>
  </si>
  <si>
    <t>https://github.com/OlivierKodaii/calendarKodaii</t>
  </si>
  <si>
    <t>d1c423c20972b88bf338d9347f8b2c738a0c5983</t>
  </si>
  <si>
    <t>https://github.com/saharmor/simulatedev</t>
  </si>
  <si>
    <t>faa3a442f76167e8d715178b95d35f67afe75cd5</t>
  </si>
  <si>
    <t>https://github.com/bookcard-io/bookcard</t>
  </si>
  <si>
    <t>c8b8ecb2e3490f6f4e2ad46ab1295f5ab8786498</t>
  </si>
  <si>
    <t>https://github.com/uditk2/multimodalagentframework</t>
  </si>
  <si>
    <t>2fd91f06ba20607c1ba6cf764898c4aab1b86ed0</t>
  </si>
  <si>
    <t>https://github.com/jordicor/ai-json-cleanroom-php</t>
  </si>
  <si>
    <t>f2e70c63782d1635be3e6da159b05b250ad6be67</t>
  </si>
  <si>
    <t>https://github.com/007rudra007/hangar</t>
  </si>
  <si>
    <t>e348dcba43addc3b08487898e605ab83f1edd673</t>
  </si>
  <si>
    <t>https://github.com/Sriram-PR/loci-mobile</t>
  </si>
  <si>
    <t>3ed3dc60c98ed07db0d9d9c91aded8ddd0d55b77</t>
  </si>
  <si>
    <t>https://github.com/ecappa/ubuntuQuickUserSwitcher</t>
  </si>
  <si>
    <t>3314230d5a61f3c828e6ec72de66bee7fa9f8455</t>
  </si>
  <si>
    <t>https://github.com/antifantifa/ds4-midi-converter</t>
  </si>
  <si>
    <t>35b13520c88f53ee9b9380a387d7faef26971e2b</t>
  </si>
  <si>
    <t>https://github.com/13pathak/AI-Popup-Infopedia</t>
  </si>
  <si>
    <t>ed33f190f1fd0d9dfefc3c813175732b4d906798</t>
  </si>
  <si>
    <t>https://github.com/hh54188/ai-assistant-chrome-extension</t>
  </si>
  <si>
    <t>99df8d7adc5d5d2925bfa3bcbca4e4afbdb1d88e</t>
  </si>
  <si>
    <t>https://github.com/SoumyaEXE/3d-Solar-System-ThreeJS</t>
  </si>
  <si>
    <t>0d305aec31db5328c66a6d3e66da444dce8bc6dc</t>
  </si>
  <si>
    <t>38ca2b58dc767ab07b2a8727e887c1a64efaddf5</t>
  </si>
  <si>
    <t>1de40b2d103abfdcb777015085149ebd64ab8672</t>
  </si>
  <si>
    <t>https://github.com/Abhinav1416/coding-platform</t>
  </si>
  <si>
    <t>db90668de66abef444d2d0a148349ec597c1f193</t>
  </si>
  <si>
    <t>https://github.com/PoRiFiRo123/gitread</t>
  </si>
  <si>
    <t>6d85fde81093256dfd4e3bbc41c27e1c08b34dbb</t>
  </si>
  <si>
    <t>https://github.com/wonderchatai/labubu-game</t>
  </si>
  <si>
    <t>4c6ad0718ebd2e0ab781317ec35856b79aec5584</t>
  </si>
  <si>
    <t>https://github.com/Abil-Shrestha/tracer</t>
  </si>
  <si>
    <t>ea533318ac692a229857b744c8bd4638bb67b627</t>
  </si>
  <si>
    <t>https://github.com/yayoboy/pac-track</t>
  </si>
  <si>
    <t>677735df7192dc5e607bfbec580e4cb2fc0fc34c</t>
  </si>
  <si>
    <t>https://github.com/AgiFlow/openskill</t>
  </si>
  <si>
    <t>eb1d08c062d1dde1da3686d4af04378ec1a8a3f3</t>
  </si>
  <si>
    <t>https://github.com/sjackp/r2-gallery?utm_source=chatgpt.com</t>
  </si>
  <si>
    <t>c130bf9ff89c0ada5897890ac076e187f6cd5a0a</t>
  </si>
  <si>
    <t>73b4b1f1b9ce5d23f9ddbb2ab07b77589efb04f8</t>
  </si>
  <si>
    <t>https://github.com/mobile-next/mobile-mcp</t>
  </si>
  <si>
    <t>429ec4f98ac10b9a9a2edbec116607040d69a3cb</t>
  </si>
  <si>
    <t>https://github.com/murderszn/riverside</t>
  </si>
  <si>
    <t>5beb4efa537d920cf9d2284e3e9a3c67dbea582e</t>
  </si>
  <si>
    <t>https://github.com/erluxman/Productive-Browser</t>
  </si>
  <si>
    <t>a3fb146539ec904d54a8edd1bab601e8964280b5</t>
  </si>
  <si>
    <t>https://github.com/lagduck/AI-protocols</t>
  </si>
  <si>
    <t>a2fb8a2bfa01a6506ff6c70bf2a131774d6e098f</t>
  </si>
  <si>
    <t>https://github.com/halfaipg/project-board</t>
  </si>
  <si>
    <t>17af3dd7f139c6b827da9647f40f61cef50f5119</t>
  </si>
  <si>
    <t>https://github.com/hellrae/saas-starter</t>
  </si>
  <si>
    <t>3f39d46d507fc78fcd418bf3750931acdf7f9ff1</t>
  </si>
  <si>
    <t>https://github.com/OptikR/OptikR</t>
  </si>
  <si>
    <t>f329714f5d7b2d92bf392f2207843bcc35a6ee9c</t>
  </si>
  <si>
    <t>https://github.com/agileandy/prompt-manager</t>
  </si>
  <si>
    <t>8a7baf716955c6412bd322c0a5d725ed08e9254f</t>
  </si>
  <si>
    <t>https://github.com/KwaminaWhyte/db-hive</t>
  </si>
  <si>
    <t>93b28194148d98f145547208b15c7ed815bab91a</t>
  </si>
  <si>
    <t>https://github.com/BrunoV21/CodeTide</t>
  </si>
  <si>
    <t>803e756e449f2843e6c3027ca7970c76e7d3ea7c</t>
  </si>
  <si>
    <t>https://github.com/b3p3k0/coords</t>
  </si>
  <si>
    <t>35abac27da9bdf2b367eb41f610bc5cbbed663b8</t>
  </si>
  <si>
    <t>https://github.com/CodeHappenz/openrouter-claude-chat</t>
  </si>
  <si>
    <t>146f5842ae03b946ae429723918607637907030b</t>
  </si>
  <si>
    <t>https://github.com/runkids/PackageFlow</t>
  </si>
  <si>
    <t>2e021237334a4ad94a91782ce30a43476054b749</t>
  </si>
  <si>
    <t>https://github.com/RezaHoque/phosphor-omp-theme</t>
  </si>
  <si>
    <t>7da4af75bcdc95e4e01cb6c5db137efc8ccba26b</t>
  </si>
  <si>
    <t>https://github.com/vaibhav-mattoo/cxt</t>
  </si>
  <si>
    <t>0770eecb3a28d6bf23716ffdd5322aecb4763447</t>
  </si>
  <si>
    <t>https://github.com/arccoxx/topoKEMP</t>
  </si>
  <si>
    <t>40f5681c373e0b836f83e640144b83843c41fe2a</t>
  </si>
  <si>
    <t>https://github.com/srkorwho/cheap-gpt.xyz</t>
  </si>
  <si>
    <t>4655c8f4bee8a1ae684984ae6d648362425ca190</t>
  </si>
  <si>
    <t>https://github.com/ArtixJP/twitch-plays-claude</t>
  </si>
  <si>
    <t>8858d22908f1cce968e791f629b082174dd8a576</t>
  </si>
  <si>
    <t>https://github.com/rbee-keeper/rbee</t>
  </si>
  <si>
    <t>4a049b96e7b2650f768ae1c0d7a1ce354990880f</t>
  </si>
  <si>
    <t>https://github.com/WilliamAvHolmberg/glenn-explore</t>
  </si>
  <si>
    <t>5b40306259dcaa2fc7a0fbb32626f50c3bc99805</t>
  </si>
  <si>
    <t>https://github.com/Detrol/quorum-cli</t>
  </si>
  <si>
    <t>6366ca7cf31500babcff934b60fde4569c00722d</t>
  </si>
  <si>
    <t>https://github.com/open-dev-society/openreadme</t>
  </si>
  <si>
    <t>ec04e9e2cab6144dbf3a65be15d60ca64f218045</t>
  </si>
  <si>
    <t>https://github.com/winstonkoh87/Athena-Public</t>
  </si>
  <si>
    <t>e9d12ae154d215b0bbb3ef544707c80ec48e0b60</t>
  </si>
  <si>
    <t>https://github.com/areu01or00/perf-hints</t>
  </si>
  <si>
    <t>a5ac62f0532f3f7c84f17ca99b168937a76ee95d</t>
  </si>
  <si>
    <t>11ae4bf80e7be52481dacace0d3e6191f381410e</t>
  </si>
  <si>
    <t>https://github.com/majoraexp/Taskwire</t>
  </si>
  <si>
    <t>8b6691e804eeefcc5845f799a507f1c36c6d06c9</t>
  </si>
  <si>
    <t>https://github.com/Danielmelody/ccconfig</t>
  </si>
  <si>
    <t>0f68ac43b30b403a6f21e542049959f0df0e6549</t>
  </si>
  <si>
    <t>https://github.com/harmoneer/taman</t>
  </si>
  <si>
    <t>0a7c7d7a5a8ed1e85a51d4043cb6810124fe8ca5</t>
  </si>
  <si>
    <t>https://github.com/CodeWithCJ/SparkyBudget</t>
  </si>
  <si>
    <t>07bd4cdd0e17e332956d96bb52f4d35f69e8e197</t>
  </si>
  <si>
    <t>https://github.com/nxtg-ai/SynApps-v0.4.0</t>
  </si>
  <si>
    <t>6c339738c37443adc306711d2d745c2acaa74984</t>
  </si>
  <si>
    <t>https://github.com/MehmetMHY/cha</t>
  </si>
  <si>
    <t>64e2caef72cdaf1b0f2fb3d28928b23ad87c1e6a</t>
  </si>
  <si>
    <t>https://github.com/jguida941/CI-CD-BST-Demo-GitHub-Actions</t>
  </si>
  <si>
    <t>d3487484361519cc238a4039975ba33c784e5c8c</t>
  </si>
  <si>
    <t>https://github.com/GAIR-NLP/ASI-Arch</t>
  </si>
  <si>
    <t>3113c51b04a1d4a7520a3b0238c6a08d3194d58f</t>
  </si>
  <si>
    <t>https://github.com/pagaldilz/CodeVisions</t>
  </si>
  <si>
    <t>d345701202eef188a24c6940a2c1ccea93a4b7a1</t>
  </si>
  <si>
    <t>26967a9b48595555308ca1d75d812a7390ebe97b</t>
  </si>
  <si>
    <t>7d3bf2eec2d40f1d828a37d810dd98f242908c0d</t>
  </si>
  <si>
    <t>https://github.com/SpynitterMina/StudyBuddy</t>
  </si>
  <si>
    <t>913186e61ea4b5fda8cba215fe9934232df1e678</t>
  </si>
  <si>
    <t>https://github.com/RestDB/codehooks-mcp-server</t>
  </si>
  <si>
    <t>1d731aae446c43309b672d5763d5a7b2618360d6</t>
  </si>
  <si>
    <t>https://github.com/magentic/flowlens-mcp-server</t>
  </si>
  <si>
    <t>03bf80be4c84782b8209140b18d977b1e536c3a2</t>
  </si>
  <si>
    <t>https://github.com/Ido-Levi/claude-code-tamagotchi</t>
  </si>
  <si>
    <t>ccf9399f41571b2e025b8a8f5e782a5ef6f3e730</t>
  </si>
  <si>
    <t>https://github.com/taubut/holy-paladin-raid-healing-simulator</t>
  </si>
  <si>
    <t>1c3db69fd14ebb62760177ec2669c53aa7909d94</t>
  </si>
  <si>
    <t>proj_name</t>
  </si>
  <si>
    <t>file_path</t>
  </si>
  <si>
    <t>file_name</t>
  </si>
  <si>
    <t>new_url</t>
  </si>
  <si>
    <t>comments</t>
  </si>
  <si>
    <t>Anubis</t>
  </si>
  <si>
    <t>Anubis/theia/autograde/autograde/exercise.py</t>
  </si>
  <si>
    <t>exercise.py</t>
  </si>
  <si>
    <t>https://github.com/GusSand/Anubis/blob/dced3375debfbe06362d2da03f71ea80b29fb81b/theia/autograde/autograde/exercise.py#L52</t>
  </si>
  <si>
    <t>https://github.com/GusSand/Anubis/blob/dced3375debfbe06362d2da03f71ea80b29fb81b/theia/autograde/autograde/exercise.py#L65</t>
  </si>
  <si>
    <t>https://github.com/GusSand/Anubis/blob/dced3375debfbe06362d2da03f71ea80b29fb81b/theia/autograde/autograde/exercise.py#L77</t>
  </si>
  <si>
    <t>https://github.com/GusSand/Anubis/blob/dced3375debfbe06362d2da03f71ea80b29fb81b/theia/autograde/autograde/exercise.py#L97</t>
  </si>
  <si>
    <t>https://github.com/GusSand/Anubis/blob/dced3375debfbe06362d2da03f71ea80b29fb81b/theia/autograde/autograde/exercise.py#L103</t>
  </si>
  <si>
    <t>https://github.com/GusSand/Anubis/blob/dced3375debfbe06362d2da03f71ea80b29fb81b/theia/autograde/autograde/exercise.py#L109</t>
  </si>
  <si>
    <t>https://github.com/GusSand/Anubis/blob/dced3375debfbe06362d2da03f71ea80b29fb81b/theia/autograde/autograde/exercise.py#L116</t>
  </si>
  <si>
    <t>Anubis/theia/autograde/autograde/app.py</t>
  </si>
  <si>
    <t>app.py</t>
  </si>
  <si>
    <t>https://github.com/GusSand/Anubis/blob/dced3375debfbe06362d2da03f71ea80b29fb81b/theia/autograde/autograde/app.py#L1</t>
  </si>
  <si>
    <t>https://github.com/GusSand/Anubis/blob/dced3375debfbe06362d2da03f71ea80b29fb81b/theia/autograde/autograde/app.py#L2</t>
  </si>
  <si>
    <t>https://github.com/GusSand/Anubis/blob/dced3375debfbe06362d2da03f71ea80b29fb81b/theia/autograde/autograde/app.py#L100</t>
  </si>
  <si>
    <t>Anubis/theia/autosave/app.py</t>
  </si>
  <si>
    <t>https://github.com/GusSand/Anubis/blob/dced3375debfbe06362d2da03f71ea80b29fb81b/theia/autosave/app.py#L1</t>
  </si>
  <si>
    <t>https://github.com/GusSand/Anubis/blob/dced3375debfbe06362d2da03f71ea80b29fb81b/theia/autosave/app.py#L34</t>
  </si>
  <si>
    <t>https://github.com/GusSand/Anubis/blob/dced3375debfbe06362d2da03f71ea80b29fb81b/theia/autosave/app.py#L39</t>
  </si>
  <si>
    <t>https://github.com/GusSand/Anubis/blob/dced3375debfbe06362d2da03f71ea80b29fb81b/theia/autosave/app.py#L43</t>
  </si>
  <si>
    <t>https://github.com/GusSand/Anubis/blob/dced3375debfbe06362d2da03f71ea80b29fb81b/theia/autosave/app.py#L47</t>
  </si>
  <si>
    <t>https://github.com/GusSand/Anubis/blob/dced3375debfbe06362d2da03f71ea80b29fb81b/theia/autosave/app.py#L54</t>
  </si>
  <si>
    <t>https://github.com/GusSand/Anubis/blob/dced3375debfbe06362d2da03f71ea80b29fb81b/theia/autosave/app.py#L57</t>
  </si>
  <si>
    <t>https://github.com/GusSand/Anubis/blob/dced3375debfbe06362d2da03f71ea80b29fb81b/theia/autosave/app.py#L69</t>
  </si>
  <si>
    <t>https://github.com/GusSand/Anubis/blob/dced3375debfbe06362d2da03f71ea80b29fb81b/theia/autosave/app.py#L82</t>
  </si>
  <si>
    <t>Anubis/api/migrations/env.py</t>
  </si>
  <si>
    <t>env.py</t>
  </si>
  <si>
    <t>https://github.com/GusSand/Anubis/blob/dced3375debfbe06362d2da03f71ea80b29fb81b/api/migrations/env.py#L24</t>
  </si>
  <si>
    <t>https://github.com/GusSand/Anubis/blob/dced3375debfbe06362d2da03f71ea80b29fb81b/api/migrations/env.py#L28</t>
  </si>
  <si>
    <t>https://github.com/GusSand/Anubis/blob/dced3375debfbe06362d2da03f71ea80b29fb81b/api/migrations/env.py#L33</t>
  </si>
  <si>
    <t>https://github.com/GusSand/Anubis/blob/dced3375debfbe06362d2da03f71ea80b29fb81b/api/migrations/env.py#L46</t>
  </si>
  <si>
    <t>https://github.com/GusSand/Anubis/blob/dced3375debfbe06362d2da03f71ea80b29fb81b/api/migrations/env.py#L53</t>
  </si>
  <si>
    <t>https://github.com/GusSand/Anubis/blob/dced3375debfbe06362d2da03f71ea80b29fb81b/api/migrations/env.py#L72</t>
  </si>
  <si>
    <t>https://github.com/GusSand/Anubis/blob/dced3375debfbe06362d2da03f71ea80b29fb81b/api/migrations/env.py#L79</t>
  </si>
  <si>
    <t>Anubis/api/migrations/versions/b17b8f54b3af_rm_theia_persistent_column_from_.py</t>
  </si>
  <si>
    <t>b17b8f54b3af_rm_theia_persistent_column_from_.py</t>
  </si>
  <si>
    <t>https://github.com/GusSand/Anubis/blob/dced3375debfbe06362d2da03f71ea80b29fb81b/api/migrations/versions/b17b8f54b3af_rm_theia_persistent_column_from_.py#L1</t>
  </si>
  <si>
    <t>https://github.com/GusSand/Anubis/blob/dced3375debfbe06362d2da03f71ea80b29fb81b/api/migrations/versions/b17b8f54b3af_rm_theia_persistent_column_from_.py#L10</t>
  </si>
  <si>
    <t>https://github.com/GusSand/Anubis/blob/dced3375debfbe06362d2da03f71ea80b29fb81b/api/migrations/versions/b17b8f54b3af_rm_theia_persistent_column_from_.py#L18</t>
  </si>
  <si>
    <t>https://github.com/GusSand/Anubis/blob/dced3375debfbe06362d2da03f71ea80b29fb81b/api/migrations/versions/b17b8f54b3af_rm_theia_persistent_column_from_.py#L20</t>
  </si>
  <si>
    <t>https://github.com/GusSand/Anubis/blob/dced3375debfbe06362d2da03f71ea80b29fb81b/api/migrations/versions/b17b8f54b3af_rm_theia_persistent_column_from_.py#L24</t>
  </si>
  <si>
    <t>https://github.com/GusSand/Anubis/blob/dced3375debfbe06362d2da03f71ea80b29fb81b/api/migrations/versions/b17b8f54b3af_rm_theia_persistent_column_from_.py#L34</t>
  </si>
  <si>
    <t>Anubis/api/migrations/versions/22b0d9fdb52f_add_questions_assigned_to_assignment.py</t>
  </si>
  <si>
    <t>22b0d9fdb52f_add_questions_assigned_to_assignment.py</t>
  </si>
  <si>
    <t>https://github.com/GusSand/Anubis/blob/dced3375debfbe06362d2da03f71ea80b29fb81b/api/migrations/versions/22b0d9fdb52f_add_questions_assigned_to_assignment.py#L1</t>
  </si>
  <si>
    <t>https://github.com/GusSand/Anubis/blob/dced3375debfbe06362d2da03f71ea80b29fb81b/api/migrations/versions/22b0d9fdb52f_add_questions_assigned_to_assignment.py#L9</t>
  </si>
  <si>
    <t>https://github.com/GusSand/Anubis/blob/dced3375debfbe06362d2da03f71ea80b29fb81b/api/migrations/versions/22b0d9fdb52f_add_questions_assigned_to_assignment.py#L17</t>
  </si>
  <si>
    <t>https://github.com/GusSand/Anubis/blob/dced3375debfbe06362d2da03f71ea80b29fb81b/api/migrations/versions/22b0d9fdb52f_add_questions_assigned_to_assignment.py#L25</t>
  </si>
  <si>
    <t>https://github.com/GusSand/Anubis/blob/dced3375debfbe06362d2da03f71ea80b29fb81b/api/migrations/versions/22b0d9fdb52f_add_questions_assigned_to_assignment.py#L29</t>
  </si>
  <si>
    <t>https://github.com/GusSand/Anubis/blob/dced3375debfbe06362d2da03f71ea80b29fb81b/api/migrations/versions/22b0d9fdb52f_add_questions_assigned_to_assignment.py#L31</t>
  </si>
  <si>
    <t>Anubis/api/migrations/versions/58166a4719aa_add_repo_ta_team.py</t>
  </si>
  <si>
    <t>58166a4719aa_add_repo_ta_team.py</t>
  </si>
  <si>
    <t>https://github.com/GusSand/Anubis/blob/dced3375debfbe06362d2da03f71ea80b29fb81b/api/migrations/versions/58166a4719aa_add_repo_ta_team.py#L1</t>
  </si>
  <si>
    <t>https://github.com/GusSand/Anubis/blob/dced3375debfbe06362d2da03f71ea80b29fb81b/api/migrations/versions/58166a4719aa_add_repo_ta_team.py#L10</t>
  </si>
  <si>
    <t>https://github.com/GusSand/Anubis/blob/dced3375debfbe06362d2da03f71ea80b29fb81b/api/migrations/versions/58166a4719aa_add_repo_ta_team.py#L18</t>
  </si>
  <si>
    <t>https://github.com/GusSand/Anubis/blob/dced3375debfbe06362d2da03f71ea80b29fb81b/api/migrations/versions/58166a4719aa_add_repo_ta_team.py#L31</t>
  </si>
  <si>
    <t>https://github.com/GusSand/Anubis/blob/dced3375debfbe06362d2da03f71ea80b29fb81b/api/migrations/versions/58166a4719aa_add_repo_ta_team.py#L35</t>
  </si>
  <si>
    <t>https://github.com/GusSand/Anubis/blob/dced3375debfbe06362d2da03f71ea80b29fb81b/api/migrations/versions/58166a4719aa_add_repo_ta_team.py#L38</t>
  </si>
  <si>
    <t>Anubis/api/migrations/versions/4331be83342a_add_theia_options_to_assignment_and_.py</t>
  </si>
  <si>
    <t>4331be83342a_add_theia_options_to_assignment_and_.py</t>
  </si>
  <si>
    <t>https://github.com/GusSand/Anubis/blob/dced3375debfbe06362d2da03f71ea80b29fb81b/api/migrations/versions/4331be83342a_add_theia_options_to_assignment_and_.py#L1</t>
  </si>
  <si>
    <t>https://github.com/GusSand/Anubis/blob/dced3375debfbe06362d2da03f71ea80b29fb81b/api/migrations/versions/4331be83342a_add_theia_options_to_assignment_and_.py#L9</t>
  </si>
  <si>
    <t>https://github.com/GusSand/Anubis/blob/dced3375debfbe06362d2da03f71ea80b29fb81b/api/migrations/versions/4331be83342a_add_theia_options_to_assignment_and_.py#L17</t>
  </si>
  <si>
    <t>https://github.com/GusSand/Anubis/blob/dced3375debfbe06362d2da03f71ea80b29fb81b/api/migrations/versions/4331be83342a_add_theia_options_to_assignment_and_.py#L26</t>
  </si>
  <si>
    <t>https://github.com/GusSand/Anubis/blob/dced3375debfbe06362d2da03f71ea80b29fb81b/api/migrations/versions/4331be83342a_add_theia_options_to_assignment_and_.py#L30</t>
  </si>
  <si>
    <t>https://github.com/GusSand/Anubis/blob/dced3375debfbe06362d2da03f71ea80b29fb81b/api/migrations/versions/4331be83342a_add_theia_options_to_assignment_and_.py#L34</t>
  </si>
  <si>
    <t>Anubis/api/migrations/versions/4f7efe8d8177_add_email.py</t>
  </si>
  <si>
    <t>4f7efe8d8177_add_email.py</t>
  </si>
  <si>
    <t>https://github.com/GusSand/Anubis/blob/dced3375debfbe06362d2da03f71ea80b29fb81b/api/migrations/versions/4f7efe8d8177_add_email.py#L1</t>
  </si>
  <si>
    <t>https://github.com/GusSand/Anubis/blob/dced3375debfbe06362d2da03f71ea80b29fb81b/api/migrations/versions/4f7efe8d8177_add_email.py#L10</t>
  </si>
  <si>
    <t>https://github.com/GusSand/Anubis/blob/dced3375debfbe06362d2da03f71ea80b29fb81b/api/migrations/versions/4f7efe8d8177_add_email.py#L147</t>
  </si>
  <si>
    <t>https://github.com/GusSand/Anubis/blob/dced3375debfbe06362d2da03f71ea80b29fb81b/api/migrations/versions/4f7efe8d8177_add_email.py#L264</t>
  </si>
  <si>
    <t>https://github.com/GusSand/Anubis/blob/dced3375debfbe06362d2da03f71ea80b29fb81b/api/migrations/versions/4f7efe8d8177_add_email.py#L268</t>
  </si>
  <si>
    <t>https://github.com/GusSand/Anubis/blob/dced3375debfbe06362d2da03f71ea80b29fb81b/api/migrations/versions/4f7efe8d8177_add_email.py#L275</t>
  </si>
  <si>
    <t>Anubis/api/migrations/versions/a143a9fa5199_add_theia_image.py</t>
  </si>
  <si>
    <t>a143a9fa5199_add_theia_image.py</t>
  </si>
  <si>
    <t>https://github.com/GusSand/Anubis/blob/dced3375debfbe06362d2da03f71ea80b29fb81b/api/migrations/versions/a143a9fa5199_add_theia_image.py#L1</t>
  </si>
  <si>
    <t>https://github.com/GusSand/Anubis/blob/dced3375debfbe06362d2da03f71ea80b29fb81b/api/migrations/versions/a143a9fa5199_add_theia_image.py#L10</t>
  </si>
  <si>
    <t>https://github.com/GusSand/Anubis/blob/dced3375debfbe06362d2da03f71ea80b29fb81b/api/migrations/versions/a143a9fa5199_add_theia_image.py#L18</t>
  </si>
  <si>
    <t>https://github.com/GusSand/Anubis/blob/dced3375debfbe06362d2da03f71ea80b29fb81b/api/migrations/versions/a143a9fa5199_add_theia_image.py#L48</t>
  </si>
  <si>
    <t>https://github.com/GusSand/Anubis/blob/dced3375debfbe06362d2da03f71ea80b29fb81b/api/migrations/versions/a143a9fa5199_add_theia_image.py#L52</t>
  </si>
  <si>
    <t>https://github.com/GusSand/Anubis/blob/dced3375debfbe06362d2da03f71ea80b29fb81b/api/migrations/versions/a143a9fa5199_add_theia_image.py#L59</t>
  </si>
  <si>
    <t>Anubis/api/migrations/versions/2faa37dff9d0_add_theia_session_docker_column.py</t>
  </si>
  <si>
    <t>2faa37dff9d0_add_theia_session_docker_column.py</t>
  </si>
  <si>
    <t>https://github.com/GusSand/Anubis/blob/dced3375debfbe06362d2da03f71ea80b29fb81b/api/migrations/versions/2faa37dff9d0_add_theia_session_docker_column.py#L1</t>
  </si>
  <si>
    <t>https://github.com/GusSand/Anubis/blob/dced3375debfbe06362d2da03f71ea80b29fb81b/api/migrations/versions/2faa37dff9d0_add_theia_session_docker_column.py#L10</t>
  </si>
  <si>
    <t>https://github.com/GusSand/Anubis/blob/dced3375debfbe06362d2da03f71ea80b29fb81b/api/migrations/versions/2faa37dff9d0_add_theia_session_docker_column.py#L18</t>
  </si>
  <si>
    <t>https://github.com/GusSand/Anubis/blob/dced3375debfbe06362d2da03f71ea80b29fb81b/api/migrations/versions/2faa37dff9d0_add_theia_session_docker_column.py#L24</t>
  </si>
  <si>
    <t>https://github.com/GusSand/Anubis/blob/dced3375debfbe06362d2da03f71ea80b29fb81b/api/migrations/versions/2faa37dff9d0_add_theia_session_docker_column.py#L28</t>
  </si>
  <si>
    <t>https://github.com/GusSand/Anubis/blob/dced3375debfbe06362d2da03f71ea80b29fb81b/api/migrations/versions/2faa37dff9d0_add_theia_session_docker_column.py#L30</t>
  </si>
  <si>
    <t>Anubis/api/migrations/versions/3d972cfa5be9_add_ta_for_and_professor_for_tables.py</t>
  </si>
  <si>
    <t>3d972cfa5be9_add_ta_for_and_professor_for_tables.py</t>
  </si>
  <si>
    <t>https://github.com/GusSand/Anubis/blob/dced3375debfbe06362d2da03f71ea80b29fb81b/api/migrations/versions/3d972cfa5be9_add_ta_for_and_professor_for_tables.py#L1</t>
  </si>
  <si>
    <t>https://github.com/GusSand/Anubis/blob/dced3375debfbe06362d2da03f71ea80b29fb81b/api/migrations/versions/3d972cfa5be9_add_ta_for_and_professor_for_tables.py#L10</t>
  </si>
  <si>
    <t>https://github.com/GusSand/Anubis/blob/dced3375debfbe06362d2da03f71ea80b29fb81b/api/migrations/versions/3d972cfa5be9_add_ta_for_and_professor_for_tables.py#L18</t>
  </si>
  <si>
    <t>https://github.com/GusSand/Anubis/blob/dced3375debfbe06362d2da03f71ea80b29fb81b/api/migrations/versions/3d972cfa5be9_add_ta_for_and_professor_for_tables.py#L73</t>
  </si>
  <si>
    <t>https://github.com/GusSand/Anubis/blob/dced3375debfbe06362d2da03f71ea80b29fb81b/api/migrations/versions/3d972cfa5be9_add_ta_for_and_professor_for_tables.py#L77</t>
  </si>
  <si>
    <t>https://github.com/GusSand/Anubis/blob/dced3375debfbe06362d2da03f71ea80b29fb81b/api/migrations/versions/3d972cfa5be9_add_ta_for_and_professor_for_tables.py#L110</t>
  </si>
  <si>
    <t>Anubis/api/migrations/versions/c87807debbda_add_course_display_visuals_option.py</t>
  </si>
  <si>
    <t>c87807debbda_add_course_display_visuals_option.py</t>
  </si>
  <si>
    <t>https://github.com/GusSand/Anubis/blob/dced3375debfbe06362d2da03f71ea80b29fb81b/api/migrations/versions/c87807debbda_add_course_display_visuals_option.py#L1</t>
  </si>
  <si>
    <t>https://github.com/GusSand/Anubis/blob/dced3375debfbe06362d2da03f71ea80b29fb81b/api/migrations/versions/c87807debbda_add_course_display_visuals_option.py#L9</t>
  </si>
  <si>
    <t>https://github.com/GusSand/Anubis/blob/dced3375debfbe06362d2da03f71ea80b29fb81b/api/migrations/versions/c87807debbda_add_course_display_visuals_option.py#L17</t>
  </si>
  <si>
    <t>https://github.com/GusSand/Anubis/blob/dced3375debfbe06362d2da03f71ea80b29fb81b/api/migrations/versions/c87807debbda_add_course_display_visuals_option.py#L22</t>
  </si>
  <si>
    <t>https://github.com/GusSand/Anubis/blob/dced3375debfbe06362d2da03f71ea80b29fb81b/api/migrations/versions/c87807debbda_add_course_display_visuals_option.py#L26</t>
  </si>
  <si>
    <t>https://github.com/GusSand/Anubis/blob/dced3375debfbe06362d2da03f71ea80b29fb81b/api/migrations/versions/c87807debbda_add_course_display_visuals_option.py#L28</t>
  </si>
  <si>
    <t>Anubis/api/migrations/versions/0be9593348ba_init.py</t>
  </si>
  <si>
    <t>0be9593348ba_init.py</t>
  </si>
  <si>
    <t>https://github.com/GusSand/Anubis/blob/dced3375debfbe06362d2da03f71ea80b29fb81b/api/migrations/versions/0be9593348ba_init.py#L1</t>
  </si>
  <si>
    <t>https://github.com/GusSand/Anubis/blob/dced3375debfbe06362d2da03f71ea80b29fb81b/api/migrations/versions/0be9593348ba_init.py#L9</t>
  </si>
  <si>
    <t>https://github.com/GusSand/Anubis/blob/dced3375debfbe06362d2da03f71ea80b29fb81b/api/migrations/versions/0be9593348ba_init.py#L17</t>
  </si>
  <si>
    <t>https://github.com/GusSand/Anubis/blob/dced3375debfbe06362d2da03f71ea80b29fb81b/api/migrations/versions/0be9593348ba_init.py#L321</t>
  </si>
  <si>
    <t>https://github.com/GusSand/Anubis/blob/dced3375debfbe06362d2da03f71ea80b29fb81b/api/migrations/versions/0be9593348ba_init.py#L325</t>
  </si>
  <si>
    <t>https://github.com/GusSand/Anubis/blob/dced3375debfbe06362d2da03f71ea80b29fb81b/api/migrations/versions/0be9593348ba_init.py#L358</t>
  </si>
  <si>
    <t>Anubis/api/migrations/versions/31dc6a1a6759_add_autograde_tests_repo.py</t>
  </si>
  <si>
    <t>31dc6a1a6759_add_autograde_tests_repo.py</t>
  </si>
  <si>
    <t>https://github.com/GusSand/Anubis/blob/dced3375debfbe06362d2da03f71ea80b29fb81b/api/migrations/versions/31dc6a1a6759_add_autograde_tests_repo.py#L1</t>
  </si>
  <si>
    <t>https://github.com/GusSand/Anubis/blob/dced3375debfbe06362d2da03f71ea80b29fb81b/api/migrations/versions/31dc6a1a6759_add_autograde_tests_repo.py#L9</t>
  </si>
  <si>
    <t>https://github.com/GusSand/Anubis/blob/dced3375debfbe06362d2da03f71ea80b29fb81b/api/migrations/versions/31dc6a1a6759_add_autograde_tests_repo.py#L17</t>
  </si>
  <si>
    <t>https://github.com/GusSand/Anubis/blob/dced3375debfbe06362d2da03f71ea80b29fb81b/api/migrations/versions/31dc6a1a6759_add_autograde_tests_repo.py#L27</t>
  </si>
  <si>
    <t>https://github.com/GusSand/Anubis/blob/dced3375debfbe06362d2da03f71ea80b29fb81b/api/migrations/versions/31dc6a1a6759_add_autograde_tests_repo.py#L31</t>
  </si>
  <si>
    <t>https://github.com/GusSand/Anubis/blob/dced3375debfbe06362d2da03f71ea80b29fb81b/api/migrations/versions/31dc6a1a6759_add_autograde_tests_repo.py#L33</t>
  </si>
  <si>
    <t>Anubis/api/migrations/versions/c9f4c87534a5_add_lecture_notes.py</t>
  </si>
  <si>
    <t>c9f4c87534a5_add_lecture_notes.py</t>
  </si>
  <si>
    <t>https://github.com/GusSand/Anubis/blob/dced3375debfbe06362d2da03f71ea80b29fb81b/api/migrations/versions/c9f4c87534a5_add_lecture_notes.py#L1</t>
  </si>
  <si>
    <t>https://github.com/GusSand/Anubis/blob/dced3375debfbe06362d2da03f71ea80b29fb81b/api/migrations/versions/c9f4c87534a5_add_lecture_notes.py#L9</t>
  </si>
  <si>
    <t>https://github.com/GusSand/Anubis/blob/dced3375debfbe06362d2da03f71ea80b29fb81b/api/migrations/versions/c9f4c87534a5_add_lecture_notes.py#L17</t>
  </si>
  <si>
    <t>https://github.com/GusSand/Anubis/blob/dced3375debfbe06362d2da03f71ea80b29fb81b/api/migrations/versions/c9f4c87534a5_add_lecture_notes.py#L62</t>
  </si>
  <si>
    <t>https://github.com/GusSand/Anubis/blob/dced3375debfbe06362d2da03f71ea80b29fb81b/api/migrations/versions/c9f4c87534a5_add_lecture_notes.py#L66</t>
  </si>
  <si>
    <t>https://github.com/GusSand/Anubis/blob/dced3375debfbe06362d2da03f71ea80b29fb81b/api/migrations/versions/c9f4c87534a5_add_lecture_notes.py#L74</t>
  </si>
  <si>
    <t>Anubis/api/migrations/versions/7a2f58a7654f_add_forums.py</t>
  </si>
  <si>
    <t>7a2f58a7654f_add_forums.py</t>
  </si>
  <si>
    <t>https://github.com/GusSand/Anubis/blob/dced3375debfbe06362d2da03f71ea80b29fb81b/api/migrations/versions/7a2f58a7654f_add_forums.py#L1</t>
  </si>
  <si>
    <t>https://github.com/GusSand/Anubis/blob/dced3375debfbe06362d2da03f71ea80b29fb81b/api/migrations/versions/7a2f58a7654f_add_forums.py#L10</t>
  </si>
  <si>
    <t>https://github.com/GusSand/Anubis/blob/dced3375debfbe06362d2da03f71ea80b29fb81b/api/migrations/versions/7a2f58a7654f_add_forums.py#L18</t>
  </si>
  <si>
    <t>https://github.com/GusSand/Anubis/blob/dced3375debfbe06362d2da03f71ea80b29fb81b/api/migrations/versions/7a2f58a7654f_add_forums.py#L142</t>
  </si>
  <si>
    <t>https://github.com/GusSand/Anubis/blob/dced3375debfbe06362d2da03f71ea80b29fb81b/api/migrations/versions/7a2f58a7654f_add_forums.py#L146</t>
  </si>
  <si>
    <t>https://github.com/GusSand/Anubis/blob/dced3375debfbe06362d2da03f71ea80b29fb81b/api/migrations/versions/7a2f58a7654f_add_forums.py#L153</t>
  </si>
  <si>
    <t>Anubis/api/migrations/versions/8099d1e3fafb_chg_uuid_primary_keys.py</t>
  </si>
  <si>
    <t>8099d1e3fafb_chg_uuid_primary_keys.py</t>
  </si>
  <si>
    <t>https://github.com/GusSand/Anubis/blob/dced3375debfbe06362d2da03f71ea80b29fb81b/api/migrations/versions/8099d1e3fafb_chg_uuid_primary_keys.py#L1</t>
  </si>
  <si>
    <t>https://github.com/GusSand/Anubis/blob/dced3375debfbe06362d2da03f71ea80b29fb81b/api/migrations/versions/8099d1e3fafb_chg_uuid_primary_keys.py#L10</t>
  </si>
  <si>
    <t>https://github.com/GusSand/Anubis/blob/dced3375debfbe06362d2da03f71ea80b29fb81b/api/migrations/versions/8099d1e3fafb_chg_uuid_primary_keys.py#L76</t>
  </si>
  <si>
    <t>Anubis/api/migrations/versions/fff88033d4f9_add_hide_due_date.py</t>
  </si>
  <si>
    <t>fff88033d4f9_add_hide_due_date.py</t>
  </si>
  <si>
    <t>https://github.com/GusSand/Anubis/blob/dced3375debfbe06362d2da03f71ea80b29fb81b/api/migrations/versions/fff88033d4f9_add_hide_due_date.py#L1</t>
  </si>
  <si>
    <t>https://github.com/GusSand/Anubis/blob/dced3375debfbe06362d2da03f71ea80b29fb81b/api/migrations/versions/fff88033d4f9_add_hide_due_date.py#L10</t>
  </si>
  <si>
    <t>https://github.com/GusSand/Anubis/blob/dced3375debfbe06362d2da03f71ea80b29fb81b/api/migrations/versions/fff88033d4f9_add_hide_due_date.py#L18</t>
  </si>
  <si>
    <t>https://github.com/GusSand/Anubis/blob/dced3375debfbe06362d2da03f71ea80b29fb81b/api/migrations/versions/fff88033d4f9_add_hide_due_date.py#L29</t>
  </si>
  <si>
    <t>https://github.com/GusSand/Anubis/blob/dced3375debfbe06362d2da03f71ea80b29fb81b/api/migrations/versions/fff88033d4f9_add_hide_due_date.py#L33</t>
  </si>
  <si>
    <t>https://github.com/GusSand/Anubis/blob/dced3375debfbe06362d2da03f71ea80b29fb81b/api/migrations/versions/fff88033d4f9_add_hide_due_date.py#L41</t>
  </si>
  <si>
    <t>Anubis/api/migrations/versions/716e3e14891d_add_late_exceptions.py</t>
  </si>
  <si>
    <t>716e3e14891d_add_late_exceptions.py</t>
  </si>
  <si>
    <t>https://github.com/GusSand/Anubis/blob/dced3375debfbe06362d2da03f71ea80b29fb81b/api/migrations/versions/716e3e14891d_add_late_exceptions.py#L1</t>
  </si>
  <si>
    <t>https://github.com/GusSand/Anubis/blob/dced3375debfbe06362d2da03f71ea80b29fb81b/api/migrations/versions/716e3e14891d_add_late_exceptions.py#L9</t>
  </si>
  <si>
    <t>https://github.com/GusSand/Anubis/blob/dced3375debfbe06362d2da03f71ea80b29fb81b/api/migrations/versions/716e3e14891d_add_late_exceptions.py#L17</t>
  </si>
  <si>
    <t>https://github.com/GusSand/Anubis/blob/dced3375debfbe06362d2da03f71ea80b29fb81b/api/migrations/versions/716e3e14891d_add_late_exceptions.py#L37</t>
  </si>
  <si>
    <t>https://github.com/GusSand/Anubis/blob/dced3375debfbe06362d2da03f71ea80b29fb81b/api/migrations/versions/716e3e14891d_add_late_exceptions.py#L41</t>
  </si>
  <si>
    <t>https://github.com/GusSand/Anubis/blob/dced3375debfbe06362d2da03f71ea80b29fb81b/api/migrations/versions/716e3e14891d_add_late_exceptions.py#L43</t>
  </si>
  <si>
    <t>Anubis/api/migrations/versions/3327ed0f2e0f_add_sequential_response_tracking.py</t>
  </si>
  <si>
    <t>3327ed0f2e0f_add_sequential_response_tracking.py</t>
  </si>
  <si>
    <t>https://github.com/GusSand/Anubis/blob/dced3375debfbe06362d2da03f71ea80b29fb81b/api/migrations/versions/3327ed0f2e0f_add_sequential_response_tracking.py#L1</t>
  </si>
  <si>
    <t>https://github.com/GusSand/Anubis/blob/dced3375debfbe06362d2da03f71ea80b29fb81b/api/migrations/versions/3327ed0f2e0f_add_sequential_response_tracking.py#L13</t>
  </si>
  <si>
    <t>https://github.com/GusSand/Anubis/blob/dced3375debfbe06362d2da03f71ea80b29fb81b/api/migrations/versions/3327ed0f2e0f_add_sequential_response_tracking.py#L68</t>
  </si>
  <si>
    <t>https://github.com/GusSand/Anubis/blob/dced3375debfbe06362d2da03f71ea80b29fb81b/api/migrations/versions/3327ed0f2e0f_add_sequential_response_tracking.py#L92</t>
  </si>
  <si>
    <t>https://github.com/GusSand/Anubis/blob/dced3375debfbe06362d2da03f71ea80b29fb81b/api/migrations/versions/3327ed0f2e0f_add_sequential_response_tracking.py#L96</t>
  </si>
  <si>
    <t>https://github.com/GusSand/Anubis/blob/dced3375debfbe06362d2da03f71ea80b29fb81b/api/migrations/versions/3327ed0f2e0f_add_sequential_response_tracking.py#L107</t>
  </si>
  <si>
    <t>Anubis/api/migrations/versions/f201544d8948_add_playground_column.py</t>
  </si>
  <si>
    <t>f201544d8948_add_playground_column.py</t>
  </si>
  <si>
    <t>https://github.com/GusSand/Anubis/blob/dced3375debfbe06362d2da03f71ea80b29fb81b/api/migrations/versions/f201544d8948_add_playground_column.py#L1</t>
  </si>
  <si>
    <t>https://github.com/GusSand/Anubis/blob/dced3375debfbe06362d2da03f71ea80b29fb81b/api/migrations/versions/f201544d8948_add_playground_column.py#L10</t>
  </si>
  <si>
    <t>https://github.com/GusSand/Anubis/blob/dced3375debfbe06362d2da03f71ea80b29fb81b/api/migrations/versions/f201544d8948_add_playground_column.py#L18</t>
  </si>
  <si>
    <t>https://github.com/GusSand/Anubis/blob/dced3375debfbe06362d2da03f71ea80b29fb81b/api/migrations/versions/f201544d8948_add_playground_column.py#L23</t>
  </si>
  <si>
    <t>https://github.com/GusSand/Anubis/blob/dced3375debfbe06362d2da03f71ea80b29fb81b/api/migrations/versions/f201544d8948_add_playground_column.py#L27</t>
  </si>
  <si>
    <t>https://github.com/GusSand/Anubis/blob/dced3375debfbe06362d2da03f71ea80b29fb81b/api/migrations/versions/f201544d8948_add_playground_column.py#L29</t>
  </si>
  <si>
    <t>Anubis/api/migrations/versions/d5de41411043_add_assignment_email_enable.py</t>
  </si>
  <si>
    <t>d5de41411043_add_assignment_email_enable.py</t>
  </si>
  <si>
    <t>https://github.com/GusSand/Anubis/blob/dced3375debfbe06362d2da03f71ea80b29fb81b/api/migrations/versions/d5de41411043_add_assignment_email_enable.py#L1</t>
  </si>
  <si>
    <t>https://github.com/GusSand/Anubis/blob/dced3375debfbe06362d2da03f71ea80b29fb81b/api/migrations/versions/d5de41411043_add_assignment_email_enable.py#L10</t>
  </si>
  <si>
    <t>https://github.com/GusSand/Anubis/blob/dced3375debfbe06362d2da03f71ea80b29fb81b/api/migrations/versions/d5de41411043_add_assignment_email_enable.py#L18</t>
  </si>
  <si>
    <t>https://github.com/GusSand/Anubis/blob/dced3375debfbe06362d2da03f71ea80b29fb81b/api/migrations/versions/d5de41411043_add_assignment_email_enable.py#L28</t>
  </si>
  <si>
    <t>https://github.com/GusSand/Anubis/blob/dced3375debfbe06362d2da03f71ea80b29fb81b/api/migrations/versions/d5de41411043_add_assignment_email_enable.py#L32</t>
  </si>
  <si>
    <t>https://github.com/GusSand/Anubis/blob/dced3375debfbe06362d2da03f71ea80b29fb81b/api/migrations/versions/d5de41411043_add_assignment_email_enable.py#L34</t>
  </si>
  <si>
    <t>Anubis/api/migrations/versions/58bdacf47c81_del_uncompressed_blobs.py</t>
  </si>
  <si>
    <t>58bdacf47c81_del_uncompressed_blobs.py</t>
  </si>
  <si>
    <t>https://github.com/GusSand/Anubis/blob/dced3375debfbe06362d2da03f71ea80b29fb81b/api/migrations/versions/58bdacf47c81_del_uncompressed_blobs.py#L1</t>
  </si>
  <si>
    <t>https://github.com/GusSand/Anubis/blob/dced3375debfbe06362d2da03f71ea80b29fb81b/api/migrations/versions/58bdacf47c81_del_uncompressed_blobs.py#L10</t>
  </si>
  <si>
    <t>https://github.com/GusSand/Anubis/blob/dced3375debfbe06362d2da03f71ea80b29fb81b/api/migrations/versions/58bdacf47c81_del_uncompressed_blobs.py#L19</t>
  </si>
  <si>
    <t>https://github.com/GusSand/Anubis/blob/dced3375debfbe06362d2da03f71ea80b29fb81b/api/migrations/versions/58bdacf47c81_del_uncompressed_blobs.py#L24</t>
  </si>
  <si>
    <t>Anubis/api/migrations/versions/df5aa182233f_add_test_points.py</t>
  </si>
  <si>
    <t>df5aa182233f_add_test_points.py</t>
  </si>
  <si>
    <t>https://github.com/GusSand/Anubis/blob/dced3375debfbe06362d2da03f71ea80b29fb81b/api/migrations/versions/df5aa182233f_add_test_points.py#L1</t>
  </si>
  <si>
    <t>https://github.com/GusSand/Anubis/blob/dced3375debfbe06362d2da03f71ea80b29fb81b/api/migrations/versions/df5aa182233f_add_test_points.py#L9</t>
  </si>
  <si>
    <t>https://github.com/GusSand/Anubis/blob/dced3375debfbe06362d2da03f71ea80b29fb81b/api/migrations/versions/df5aa182233f_add_test_points.py#L17</t>
  </si>
  <si>
    <t>https://github.com/GusSand/Anubis/blob/dced3375debfbe06362d2da03f71ea80b29fb81b/api/migrations/versions/df5aa182233f_add_test_points.py#L23</t>
  </si>
  <si>
    <t>https://github.com/GusSand/Anubis/blob/dced3375debfbe06362d2da03f71ea80b29fb81b/api/migrations/versions/df5aa182233f_add_test_points.py#L27</t>
  </si>
  <si>
    <t>https://github.com/GusSand/Anubis/blob/dced3375debfbe06362d2da03f71ea80b29fb81b/api/migrations/versions/df5aa182233f_add_test_points.py#L29</t>
  </si>
  <si>
    <t>Anubis/api/migrations/versions/3890c28bd2cb_add_custom_join_code.py</t>
  </si>
  <si>
    <t>3890c28bd2cb_add_custom_join_code.py</t>
  </si>
  <si>
    <t>https://github.com/GusSand/Anubis/blob/dced3375debfbe06362d2da03f71ea80b29fb81b/api/migrations/versions/3890c28bd2cb_add_custom_join_code.py#L1</t>
  </si>
  <si>
    <t>https://github.com/GusSand/Anubis/blob/dced3375debfbe06362d2da03f71ea80b29fb81b/api/migrations/versions/3890c28bd2cb_add_custom_join_code.py#L9</t>
  </si>
  <si>
    <t>https://github.com/GusSand/Anubis/blob/dced3375debfbe06362d2da03f71ea80b29fb81b/api/migrations/versions/3890c28bd2cb_add_custom_join_code.py#L17</t>
  </si>
  <si>
    <t>https://github.com/GusSand/Anubis/blob/dced3375debfbe06362d2da03f71ea80b29fb81b/api/migrations/versions/3890c28bd2cb_add_custom_join_code.py#L20</t>
  </si>
  <si>
    <t>https://github.com/GusSand/Anubis/blob/dced3375debfbe06362d2da03f71ea80b29fb81b/api/migrations/versions/3890c28bd2cb_add_custom_join_code.py#L24</t>
  </si>
  <si>
    <t>https://github.com/GusSand/Anubis/blob/dced3375debfbe06362d2da03f71ea80b29fb81b/api/migrations/versions/3890c28bd2cb_add_custom_join_code.py#L26</t>
  </si>
  <si>
    <t>Anubis/api/migrations/versions/587921276e67_chg_theia_options_columns.py</t>
  </si>
  <si>
    <t>587921276e67_chg_theia_options_columns.py</t>
  </si>
  <si>
    <t>https://github.com/GusSand/Anubis/blob/dced3375debfbe06362d2da03f71ea80b29fb81b/api/migrations/versions/587921276e67_chg_theia_options_columns.py#L1</t>
  </si>
  <si>
    <t>https://github.com/GusSand/Anubis/blob/dced3375debfbe06362d2da03f71ea80b29fb81b/api/migrations/versions/587921276e67_chg_theia_options_columns.py#L10</t>
  </si>
  <si>
    <t>https://github.com/GusSand/Anubis/blob/dced3375debfbe06362d2da03f71ea80b29fb81b/api/migrations/versions/587921276e67_chg_theia_options_columns.py#L18</t>
  </si>
  <si>
    <t>https://github.com/GusSand/Anubis/blob/dced3375debfbe06362d2da03f71ea80b29fb81b/api/migrations/versions/587921276e67_chg_theia_options_columns.py#L28</t>
  </si>
  <si>
    <t>https://github.com/GusSand/Anubis/blob/dced3375debfbe06362d2da03f71ea80b29fb81b/api/migrations/versions/587921276e67_chg_theia_options_columns.py#L32</t>
  </si>
  <si>
    <t>https://github.com/GusSand/Anubis/blob/dced3375debfbe06362d2da03f71ea80b29fb81b/api/migrations/versions/587921276e67_chg_theia_options_columns.py#L46</t>
  </si>
  <si>
    <t>Anubis/api/migrations/versions/24999cac49d5_add_timestamps_to_assignment_questions.py</t>
  </si>
  <si>
    <t>24999cac49d5_add_timestamps_to_assignment_questions.py</t>
  </si>
  <si>
    <t>https://github.com/GusSand/Anubis/blob/dced3375debfbe06362d2da03f71ea80b29fb81b/api/migrations/versions/24999cac49d5_add_timestamps_to_assignment_questions.py#L1</t>
  </si>
  <si>
    <t>https://github.com/GusSand/Anubis/blob/dced3375debfbe06362d2da03f71ea80b29fb81b/api/migrations/versions/24999cac49d5_add_timestamps_to_assignment_questions.py#L9</t>
  </si>
  <si>
    <t>https://github.com/GusSand/Anubis/blob/dced3375debfbe06362d2da03f71ea80b29fb81b/api/migrations/versions/24999cac49d5_add_timestamps_to_assignment_questions.py#L17</t>
  </si>
  <si>
    <t>https://github.com/GusSand/Anubis/blob/dced3375debfbe06362d2da03f71ea80b29fb81b/api/migrations/versions/24999cac49d5_add_timestamps_to_assignment_questions.py#L26</t>
  </si>
  <si>
    <t>https://github.com/GusSand/Anubis/blob/dced3375debfbe06362d2da03f71ea80b29fb81b/api/migrations/versions/24999cac49d5_add_timestamps_to_assignment_questions.py#L30</t>
  </si>
  <si>
    <t>https://github.com/GusSand/Anubis/blob/dced3375debfbe06362d2da03f71ea80b29fb81b/api/migrations/versions/24999cac49d5_add_timestamps_to_assignment_questions.py#L33</t>
  </si>
  <si>
    <t>Anubis/api/migrations/versions/99e32b8689c9_add_beta_ui_enabled_to_course.py</t>
  </si>
  <si>
    <t>99e32b8689c9_add_beta_ui_enabled_to_course.py</t>
  </si>
  <si>
    <t>https://github.com/GusSand/Anubis/blob/dced3375debfbe06362d2da03f71ea80b29fb81b/api/migrations/versions/99e32b8689c9_add_beta_ui_enabled_to_course.py#L1</t>
  </si>
  <si>
    <t>https://github.com/GusSand/Anubis/blob/dced3375debfbe06362d2da03f71ea80b29fb81b/api/migrations/versions/99e32b8689c9_add_beta_ui_enabled_to_course.py#L10</t>
  </si>
  <si>
    <t>https://github.com/GusSand/Anubis/blob/dced3375debfbe06362d2da03f71ea80b29fb81b/api/migrations/versions/99e32b8689c9_add_beta_ui_enabled_to_course.py#L18</t>
  </si>
  <si>
    <t>https://github.com/GusSand/Anubis/blob/dced3375debfbe06362d2da03f71ea80b29fb81b/api/migrations/versions/99e32b8689c9_add_beta_ui_enabled_to_course.py#L23</t>
  </si>
  <si>
    <t>https://github.com/GusSand/Anubis/blob/dced3375debfbe06362d2da03f71ea80b29fb81b/api/migrations/versions/99e32b8689c9_add_beta_ui_enabled_to_course.py#L27</t>
  </si>
  <si>
    <t>https://github.com/GusSand/Anubis/blob/dced3375debfbe06362d2da03f71ea80b29fb81b/api/migrations/versions/99e32b8689c9_add_beta_ui_enabled_to_course.py#L29</t>
  </si>
  <si>
    <t>Anubis/api/migrations/versions/d8b8114e003a_add_hidden_to_assignment_tests.py</t>
  </si>
  <si>
    <t>d8b8114e003a_add_hidden_to_assignment_tests.py</t>
  </si>
  <si>
    <t>https://github.com/GusSand/Anubis/blob/dced3375debfbe06362d2da03f71ea80b29fb81b/api/migrations/versions/d8b8114e003a_add_hidden_to_assignment_tests.py#L1</t>
  </si>
  <si>
    <t>https://github.com/GusSand/Anubis/blob/dced3375debfbe06362d2da03f71ea80b29fb81b/api/migrations/versions/d8b8114e003a_add_hidden_to_assignment_tests.py#L9</t>
  </si>
  <si>
    <t>https://github.com/GusSand/Anubis/blob/dced3375debfbe06362d2da03f71ea80b29fb81b/api/migrations/versions/d8b8114e003a_add_hidden_to_assignment_tests.py#L17</t>
  </si>
  <si>
    <t>https://github.com/GusSand/Anubis/blob/dced3375debfbe06362d2da03f71ea80b29fb81b/api/migrations/versions/d8b8114e003a_add_hidden_to_assignment_tests.py#L22</t>
  </si>
  <si>
    <t>https://github.com/GusSand/Anubis/blob/dced3375debfbe06362d2da03f71ea80b29fb81b/api/migrations/versions/d8b8114e003a_add_hidden_to_assignment_tests.py#L26</t>
  </si>
  <si>
    <t>https://github.com/GusSand/Anubis/blob/dced3375debfbe06362d2da03f71ea80b29fb81b/api/migrations/versions/d8b8114e003a_add_hidden_to_assignment_tests.py#L28</t>
  </si>
  <si>
    <t>Anubis/api/migrations/versions/3150c9c06ea5_add_default_config_values.py</t>
  </si>
  <si>
    <t>3150c9c06ea5_add_default_config_values.py</t>
  </si>
  <si>
    <t>https://github.com/GusSand/Anubis/blob/dced3375debfbe06362d2da03f71ea80b29fb81b/api/migrations/versions/3150c9c06ea5_add_default_config_values.py#L1</t>
  </si>
  <si>
    <t>https://github.com/GusSand/Anubis/blob/dced3375debfbe06362d2da03f71ea80b29fb81b/api/migrations/versions/3150c9c06ea5_add_default_config_values.py#L9</t>
  </si>
  <si>
    <t>Anubis/api/migrations/versions/2d4e34d460e8_rm_github_classrooms.py</t>
  </si>
  <si>
    <t>2d4e34d460e8_rm_github_classrooms.py</t>
  </si>
  <si>
    <t>https://github.com/GusSand/Anubis/blob/dced3375debfbe06362d2da03f71ea80b29fb81b/api/migrations/versions/2d4e34d460e8_rm_github_classrooms.py#L1</t>
  </si>
  <si>
    <t>https://github.com/GusSand/Anubis/blob/dced3375debfbe06362d2da03f71ea80b29fb81b/api/migrations/versions/2d4e34d460e8_rm_github_classrooms.py#L10</t>
  </si>
  <si>
    <t>https://github.com/GusSand/Anubis/blob/dced3375debfbe06362d2da03f71ea80b29fb81b/api/migrations/versions/2d4e34d460e8_rm_github_classrooms.py#L18</t>
  </si>
  <si>
    <t>https://github.com/GusSand/Anubis/blob/dced3375debfbe06362d2da03f71ea80b29fb81b/api/migrations/versions/2d4e34d460e8_rm_github_classrooms.py#L31</t>
  </si>
  <si>
    <t>https://github.com/GusSand/Anubis/blob/dced3375debfbe06362d2da03f71ea80b29fb81b/api/migrations/versions/2d4e34d460e8_rm_github_classrooms.py#L35</t>
  </si>
  <si>
    <t>https://github.com/GusSand/Anubis/blob/dced3375debfbe06362d2da03f71ea80b29fb81b/api/migrations/versions/2d4e34d460e8_rm_github_classrooms.py#L56</t>
  </si>
  <si>
    <t>Anubis/api/migrations/versions/88db21968c0d_add_theiapaste_model.py</t>
  </si>
  <si>
    <t>88db21968c0d_add_theiapaste_model.py</t>
  </si>
  <si>
    <t>https://github.com/GusSand/Anubis/blob/dced3375debfbe06362d2da03f71ea80b29fb81b/api/migrations/versions/88db21968c0d_add_theiapaste_model.py#L1</t>
  </si>
  <si>
    <t>https://github.com/GusSand/Anubis/blob/dced3375debfbe06362d2da03f71ea80b29fb81b/api/migrations/versions/88db21968c0d_add_theiapaste_model.py#L10</t>
  </si>
  <si>
    <t>https://github.com/GusSand/Anubis/blob/dced3375debfbe06362d2da03f71ea80b29fb81b/api/migrations/versions/88db21968c0d_add_theiapaste_model.py#L18</t>
  </si>
  <si>
    <t>https://github.com/GusSand/Anubis/blob/dced3375debfbe06362d2da03f71ea80b29fb81b/api/migrations/versions/88db21968c0d_add_theiapaste_model.py#L57</t>
  </si>
  <si>
    <t>https://github.com/GusSand/Anubis/blob/dced3375debfbe06362d2da03f71ea80b29fb81b/api/migrations/versions/88db21968c0d_add_theiapaste_model.py#L61</t>
  </si>
  <si>
    <t>https://github.com/GusSand/Anubis/blob/dced3375debfbe06362d2da03f71ea80b29fb81b/api/migrations/versions/88db21968c0d_add_theiapaste_model.py#L68</t>
  </si>
  <si>
    <t>Anubis/api/migrations/versions/8834f834adac_add_autograde_to_theia_session.py</t>
  </si>
  <si>
    <t>8834f834adac_add_autograde_to_theia_session.py</t>
  </si>
  <si>
    <t>https://github.com/GusSand/Anubis/blob/dced3375debfbe06362d2da03f71ea80b29fb81b/api/migrations/versions/8834f834adac_add_autograde_to_theia_session.py#L1</t>
  </si>
  <si>
    <t>https://github.com/GusSand/Anubis/blob/dced3375debfbe06362d2da03f71ea80b29fb81b/api/migrations/versions/8834f834adac_add_autograde_to_theia_session.py#L10</t>
  </si>
  <si>
    <t>https://github.com/GusSand/Anubis/blob/dced3375debfbe06362d2da03f71ea80b29fb81b/api/migrations/versions/8834f834adac_add_autograde_to_theia_session.py#L18</t>
  </si>
  <si>
    <t>https://github.com/GusSand/Anubis/blob/dced3375debfbe06362d2da03f71ea80b29fb81b/api/migrations/versions/8834f834adac_add_autograde_to_theia_session.py#L25</t>
  </si>
  <si>
    <t>https://github.com/GusSand/Anubis/blob/dced3375debfbe06362d2da03f71ea80b29fb81b/api/migrations/versions/8834f834adac_add_autograde_to_theia_session.py#L29</t>
  </si>
  <si>
    <t>https://github.com/GusSand/Anubis/blob/dced3375debfbe06362d2da03f71ea80b29fb81b/api/migrations/versions/8834f834adac_add_autograde_to_theia_session.py#L31</t>
  </si>
  <si>
    <t>Anubis/api/migrations/versions/2af8f3918f87_add_github_org_url.py</t>
  </si>
  <si>
    <t>2af8f3918f87_add_github_org_url.py</t>
  </si>
  <si>
    <t>https://github.com/GusSand/Anubis/blob/dced3375debfbe06362d2da03f71ea80b29fb81b/api/migrations/versions/2af8f3918f87_add_github_org_url.py#L1</t>
  </si>
  <si>
    <t>https://github.com/GusSand/Anubis/blob/dced3375debfbe06362d2da03f71ea80b29fb81b/api/migrations/versions/2af8f3918f87_add_github_org_url.py#L10</t>
  </si>
  <si>
    <t>https://github.com/GusSand/Anubis/blob/dced3375debfbe06362d2da03f71ea80b29fb81b/api/migrations/versions/2af8f3918f87_add_github_org_url.py#L18</t>
  </si>
  <si>
    <t>https://github.com/GusSand/Anubis/blob/dced3375debfbe06362d2da03f71ea80b29fb81b/api/migrations/versions/2af8f3918f87_add_github_org_url.py#L35</t>
  </si>
  <si>
    <t>https://github.com/GusSand/Anubis/blob/dced3375debfbe06362d2da03f71ea80b29fb81b/api/migrations/versions/2af8f3918f87_add_github_org_url.py#L39</t>
  </si>
  <si>
    <t>https://github.com/GusSand/Anubis/blob/dced3375debfbe06362d2da03f71ea80b29fb81b/api/migrations/versions/2af8f3918f87_add_github_org_url.py#L53</t>
  </si>
  <si>
    <t>Anubis/api/migrations/versions/08c5273b4713_add_theia_image_table.py</t>
  </si>
  <si>
    <t>08c5273b4713_add_theia_image_table.py</t>
  </si>
  <si>
    <t>https://github.com/GusSand/Anubis/blob/dced3375debfbe06362d2da03f71ea80b29fb81b/api/migrations/versions/08c5273b4713_add_theia_image_table.py#L1</t>
  </si>
  <si>
    <t>https://github.com/GusSand/Anubis/blob/dced3375debfbe06362d2da03f71ea80b29fb81b/api/migrations/versions/08c5273b4713_add_theia_image_table.py#L12</t>
  </si>
  <si>
    <t>https://github.com/GusSand/Anubis/blob/dced3375debfbe06362d2da03f71ea80b29fb81b/api/migrations/versions/08c5273b4713_add_theia_image_table.py#L24</t>
  </si>
  <si>
    <t>https://github.com/GusSand/Anubis/blob/dced3375debfbe06362d2da03f71ea80b29fb81b/api/migrations/versions/08c5273b4713_add_theia_image_table.py#L51</t>
  </si>
  <si>
    <t>https://github.com/GusSand/Anubis/blob/dced3375debfbe06362d2da03f71ea80b29fb81b/api/migrations/versions/08c5273b4713_add_theia_image_table.py#L65</t>
  </si>
  <si>
    <t>https://github.com/GusSand/Anubis/blob/dced3375debfbe06362d2da03f71ea80b29fb81b/api/migrations/versions/08c5273b4713_add_theia_image_table.py#L79</t>
  </si>
  <si>
    <t>https://github.com/GusSand/Anubis/blob/dced3375debfbe06362d2da03f71ea80b29fb81b/api/migrations/versions/08c5273b4713_add_theia_image_table.py#L93</t>
  </si>
  <si>
    <t>https://github.com/GusSand/Anubis/blob/dced3375debfbe06362d2da03f71ea80b29fb81b/api/migrations/versions/08c5273b4713_add_theia_image_table.py#L97</t>
  </si>
  <si>
    <t>https://github.com/GusSand/Anubis/blob/dced3375debfbe06362d2da03f71ea80b29fb81b/api/migrations/versions/08c5273b4713_add_theia_image_table.py#L110</t>
  </si>
  <si>
    <t>Anubis/api/migrations/versions/452a7485f568_add_autograde_enabled_to_assignment.py</t>
  </si>
  <si>
    <t>452a7485f568_add_autograde_enabled_to_assignment.py</t>
  </si>
  <si>
    <t>https://github.com/GusSand/Anubis/blob/dced3375debfbe06362d2da03f71ea80b29fb81b/api/migrations/versions/452a7485f568_add_autograde_enabled_to_assignment.py#L1</t>
  </si>
  <si>
    <t>https://github.com/GusSand/Anubis/blob/dced3375debfbe06362d2da03f71ea80b29fb81b/api/migrations/versions/452a7485f568_add_autograde_enabled_to_assignment.py#L9</t>
  </si>
  <si>
    <t>https://github.com/GusSand/Anubis/blob/dced3375debfbe06362d2da03f71ea80b29fb81b/api/migrations/versions/452a7485f568_add_autograde_enabled_to_assignment.py#L17</t>
  </si>
  <si>
    <t>https://github.com/GusSand/Anubis/blob/dced3375debfbe06362d2da03f71ea80b29fb81b/api/migrations/versions/452a7485f568_add_autograde_enabled_to_assignment.py#L25</t>
  </si>
  <si>
    <t>https://github.com/GusSand/Anubis/blob/dced3375debfbe06362d2da03f71ea80b29fb81b/api/migrations/versions/452a7485f568_add_autograde_enabled_to_assignment.py#L29</t>
  </si>
  <si>
    <t>https://github.com/GusSand/Anubis/blob/dced3375debfbe06362d2da03f71ea80b29fb81b/api/migrations/versions/452a7485f568_add_autograde_enabled_to_assignment.py#L31</t>
  </si>
  <si>
    <t>Anubis/api/migrations/versions/265635dac5b6_add_theia_options.py</t>
  </si>
  <si>
    <t>265635dac5b6_add_theia_options.py</t>
  </si>
  <si>
    <t>https://github.com/GusSand/Anubis/blob/dced3375debfbe06362d2da03f71ea80b29fb81b/api/migrations/versions/265635dac5b6_add_theia_options.py#L1</t>
  </si>
  <si>
    <t>https://github.com/GusSand/Anubis/blob/dced3375debfbe06362d2da03f71ea80b29fb81b/api/migrations/versions/265635dac5b6_add_theia_options.py#L10</t>
  </si>
  <si>
    <t>https://github.com/GusSand/Anubis/blob/dced3375debfbe06362d2da03f71ea80b29fb81b/api/migrations/versions/265635dac5b6_add_theia_options.py#L18</t>
  </si>
  <si>
    <t>https://github.com/GusSand/Anubis/blob/dced3375debfbe06362d2da03f71ea80b29fb81b/api/migrations/versions/265635dac5b6_add_theia_options.py#L47</t>
  </si>
  <si>
    <t>https://github.com/GusSand/Anubis/blob/dced3375debfbe06362d2da03f71ea80b29fb81b/api/migrations/versions/265635dac5b6_add_theia_options.py#L51</t>
  </si>
  <si>
    <t>https://github.com/GusSand/Anubis/blob/dced3375debfbe06362d2da03f71ea80b29fb81b/api/migrations/versions/265635dac5b6_add_theia_options.py#L75</t>
  </si>
  <si>
    <t>Anubis/api/migrations/versions/074fa1ed980b_add_user_disabled_field.py</t>
  </si>
  <si>
    <t>074fa1ed980b_add_user_disabled_field.py</t>
  </si>
  <si>
    <t>https://github.com/GusSand/Anubis/blob/dced3375debfbe06362d2da03f71ea80b29fb81b/api/migrations/versions/074fa1ed980b_add_user_disabled_field.py#L1</t>
  </si>
  <si>
    <t>https://github.com/GusSand/Anubis/blob/dced3375debfbe06362d2da03f71ea80b29fb81b/api/migrations/versions/074fa1ed980b_add_user_disabled_field.py#L10</t>
  </si>
  <si>
    <t>https://github.com/GusSand/Anubis/blob/dced3375debfbe06362d2da03f71ea80b29fb81b/api/migrations/versions/074fa1ed980b_add_user_disabled_field.py#L18</t>
  </si>
  <si>
    <t>https://github.com/GusSand/Anubis/blob/dced3375debfbe06362d2da03f71ea80b29fb81b/api/migrations/versions/074fa1ed980b_add_user_disabled_field.py#L28</t>
  </si>
  <si>
    <t>https://github.com/GusSand/Anubis/blob/dced3375debfbe06362d2da03f71ea80b29fb81b/api/migrations/versions/074fa1ed980b_add_user_disabled_field.py#L32</t>
  </si>
  <si>
    <t>https://github.com/GusSand/Anubis/blob/dced3375debfbe06362d2da03f71ea80b29fb81b/api/migrations/versions/074fa1ed980b_add_user_disabled_field.py#L34</t>
  </si>
  <si>
    <t>Anubis/api/migrations/versions/51a4f35fc53e_add_course_awareness_to_static.py</t>
  </si>
  <si>
    <t>51a4f35fc53e_add_course_awareness_to_static.py</t>
  </si>
  <si>
    <t>https://github.com/GusSand/Anubis/blob/dced3375debfbe06362d2da03f71ea80b29fb81b/api/migrations/versions/51a4f35fc53e_add_course_awareness_to_static.py#L1</t>
  </si>
  <si>
    <t>https://github.com/GusSand/Anubis/blob/dced3375debfbe06362d2da03f71ea80b29fb81b/api/migrations/versions/51a4f35fc53e_add_course_awareness_to_static.py#L9</t>
  </si>
  <si>
    <t>https://github.com/GusSand/Anubis/blob/dced3375debfbe06362d2da03f71ea80b29fb81b/api/migrations/versions/51a4f35fc53e_add_course_awareness_to_static.py#L17</t>
  </si>
  <si>
    <t>https://github.com/GusSand/Anubis/blob/dced3375debfbe06362d2da03f71ea80b29fb81b/api/migrations/versions/51a4f35fc53e_add_course_awareness_to_static.py#L57</t>
  </si>
  <si>
    <t>https://github.com/GusSand/Anubis/blob/dced3375debfbe06362d2da03f71ea80b29fb81b/api/migrations/versions/51a4f35fc53e_add_course_awareness_to_static.py#L61</t>
  </si>
  <si>
    <t>https://github.com/GusSand/Anubis/blob/dced3375debfbe06362d2da03f71ea80b29fb81b/api/migrations/versions/51a4f35fc53e_add_course_awareness_to_static.py#L70</t>
  </si>
  <si>
    <t>Anubis/api/migrations/versions/65be3bf01dae_chg_replace_lecture_notes_number_with_.py</t>
  </si>
  <si>
    <t>65be3bf01dae_chg_replace_lecture_notes_number_with_.py</t>
  </si>
  <si>
    <t>https://github.com/GusSand/Anubis/blob/dced3375debfbe06362d2da03f71ea80b29fb81b/api/migrations/versions/65be3bf01dae_chg_replace_lecture_notes_number_with_.py#L1</t>
  </si>
  <si>
    <t>https://github.com/GusSand/Anubis/blob/dced3375debfbe06362d2da03f71ea80b29fb81b/api/migrations/versions/65be3bf01dae_chg_replace_lecture_notes_number_with_.py#L10</t>
  </si>
  <si>
    <t>https://github.com/GusSand/Anubis/blob/dced3375debfbe06362d2da03f71ea80b29fb81b/api/migrations/versions/65be3bf01dae_chg_replace_lecture_notes_number_with_.py#L18</t>
  </si>
  <si>
    <t>https://github.com/GusSand/Anubis/blob/dced3375debfbe06362d2da03f71ea80b29fb81b/api/migrations/versions/65be3bf01dae_chg_replace_lecture_notes_number_with_.py#L21</t>
  </si>
  <si>
    <t>https://github.com/GusSand/Anubis/blob/dced3375debfbe06362d2da03f71ea80b29fb81b/api/migrations/versions/65be3bf01dae_chg_replace_lecture_notes_number_with_.py#L25</t>
  </si>
  <si>
    <t>https://github.com/GusSand/Anubis/blob/dced3375debfbe06362d2da03f71ea80b29fb81b/api/migrations/versions/65be3bf01dae_chg_replace_lecture_notes_number_with_.py#L36</t>
  </si>
  <si>
    <t>Anubis/api/migrations/versions/5396e908cf7b_add_anubis_developer_to_user.py</t>
  </si>
  <si>
    <t>5396e908cf7b_add_anubis_developer_to_user.py</t>
  </si>
  <si>
    <t>https://github.com/GusSand/Anubis/blob/dced3375debfbe06362d2da03f71ea80b29fb81b/api/migrations/versions/5396e908cf7b_add_anubis_developer_to_user.py#L1</t>
  </si>
  <si>
    <t>https://github.com/GusSand/Anubis/blob/dced3375debfbe06362d2da03f71ea80b29fb81b/api/migrations/versions/5396e908cf7b_add_anubis_developer_to_user.py#L10</t>
  </si>
  <si>
    <t>https://github.com/GusSand/Anubis/blob/dced3375debfbe06362d2da03f71ea80b29fb81b/api/migrations/versions/5396e908cf7b_add_anubis_developer_to_user.py#L18</t>
  </si>
  <si>
    <t>https://github.com/GusSand/Anubis/blob/dced3375debfbe06362d2da03f71ea80b29fb81b/api/migrations/versions/5396e908cf7b_add_anubis_developer_to_user.py#L27</t>
  </si>
  <si>
    <t>https://github.com/GusSand/Anubis/blob/dced3375debfbe06362d2da03f71ea80b29fb81b/api/migrations/versions/5396e908cf7b_add_anubis_developer_to_user.py#L31</t>
  </si>
  <si>
    <t>https://github.com/GusSand/Anubis/blob/dced3375debfbe06362d2da03f71ea80b29fb81b/api/migrations/versions/5396e908cf7b_add_anubis_developer_to_user.py#L33</t>
  </si>
  <si>
    <t>Anubis/api/migrations/versions/2e9cae7411e6_add_admin_to_theia_session.py</t>
  </si>
  <si>
    <t>2e9cae7411e6_add_admin_to_theia_session.py</t>
  </si>
  <si>
    <t>https://github.com/GusSand/Anubis/blob/dced3375debfbe06362d2da03f71ea80b29fb81b/api/migrations/versions/2e9cae7411e6_add_admin_to_theia_session.py#L1</t>
  </si>
  <si>
    <t>https://github.com/GusSand/Anubis/blob/dced3375debfbe06362d2da03f71ea80b29fb81b/api/migrations/versions/2e9cae7411e6_add_admin_to_theia_session.py#L10</t>
  </si>
  <si>
    <t>https://github.com/GusSand/Anubis/blob/dced3375debfbe06362d2da03f71ea80b29fb81b/api/migrations/versions/2e9cae7411e6_add_admin_to_theia_session.py#L18</t>
  </si>
  <si>
    <t>https://github.com/GusSand/Anubis/blob/dced3375debfbe06362d2da03f71ea80b29fb81b/api/migrations/versions/2e9cae7411e6_add_admin_to_theia_session.py#L23</t>
  </si>
  <si>
    <t>https://github.com/GusSand/Anubis/blob/dced3375debfbe06362d2da03f71ea80b29fb81b/api/migrations/versions/2e9cae7411e6_add_admin_to_theia_session.py#L27</t>
  </si>
  <si>
    <t>https://github.com/GusSand/Anubis/blob/dced3375debfbe06362d2da03f71ea80b29fb81b/api/migrations/versions/2e9cae7411e6_add_admin_to_theia_session.py#L29</t>
  </si>
  <si>
    <t>Anubis/api/migrations/versions/145674891fee_add_assignment_repo_timestamps.py</t>
  </si>
  <si>
    <t>145674891fee_add_assignment_repo_timestamps.py</t>
  </si>
  <si>
    <t>https://github.com/GusSand/Anubis/blob/dced3375debfbe06362d2da03f71ea80b29fb81b/api/migrations/versions/145674891fee_add_assignment_repo_timestamps.py#L1</t>
  </si>
  <si>
    <t>https://github.com/GusSand/Anubis/blob/dced3375debfbe06362d2da03f71ea80b29fb81b/api/migrations/versions/145674891fee_add_assignment_repo_timestamps.py#L9</t>
  </si>
  <si>
    <t>https://github.com/GusSand/Anubis/blob/dced3375debfbe06362d2da03f71ea80b29fb81b/api/migrations/versions/145674891fee_add_assignment_repo_timestamps.py#L17</t>
  </si>
  <si>
    <t>https://github.com/GusSand/Anubis/blob/dced3375debfbe06362d2da03f71ea80b29fb81b/api/migrations/versions/145674891fee_add_assignment_repo_timestamps.py#L26</t>
  </si>
  <si>
    <t>https://github.com/GusSand/Anubis/blob/dced3375debfbe06362d2da03f71ea80b29fb81b/api/migrations/versions/145674891fee_add_assignment_repo_timestamps.py#L30</t>
  </si>
  <si>
    <t>https://github.com/GusSand/Anubis/blob/dced3375debfbe06362d2da03f71ea80b29fb81b/api/migrations/versions/145674891fee_add_assignment_repo_timestamps.py#L33</t>
  </si>
  <si>
    <t>Anubis/api/migrations/versions/11d4896fa6d1_chg_course_id_nullable_for_session.py</t>
  </si>
  <si>
    <t>11d4896fa6d1_chg_course_id_nullable_for_session.py</t>
  </si>
  <si>
    <t>https://github.com/GusSand/Anubis/blob/dced3375debfbe06362d2da03f71ea80b29fb81b/api/migrations/versions/11d4896fa6d1_chg_course_id_nullable_for_session.py#L1</t>
  </si>
  <si>
    <t>https://github.com/GusSand/Anubis/blob/dced3375debfbe06362d2da03f71ea80b29fb81b/api/migrations/versions/11d4896fa6d1_chg_course_id_nullable_for_session.py#L10</t>
  </si>
  <si>
    <t>https://github.com/GusSand/Anubis/blob/dced3375debfbe06362d2da03f71ea80b29fb81b/api/migrations/versions/11d4896fa6d1_chg_course_id_nullable_for_session.py#L18</t>
  </si>
  <si>
    <t>https://github.com/GusSand/Anubis/blob/dced3375debfbe06362d2da03f71ea80b29fb81b/api/migrations/versions/11d4896fa6d1_chg_course_id_nullable_for_session.py#L25</t>
  </si>
  <si>
    <t>https://github.com/GusSand/Anubis/blob/dced3375debfbe06362d2da03f71ea80b29fb81b/api/migrations/versions/11d4896fa6d1_chg_course_id_nullable_for_session.py#L29</t>
  </si>
  <si>
    <t>https://github.com/GusSand/Anubis/blob/dced3375debfbe06362d2da03f71ea80b29fb81b/api/migrations/versions/11d4896fa6d1_chg_course_id_nullable_for_session.py#L36</t>
  </si>
  <si>
    <t>Anubis/api/migrations/versions/023ee1a8f6cd_chg_compress_blobs.py</t>
  </si>
  <si>
    <t>023ee1a8f6cd_chg_compress_blobs.py</t>
  </si>
  <si>
    <t>https://github.com/GusSand/Anubis/blob/dced3375debfbe06362d2da03f71ea80b29fb81b/api/migrations/versions/023ee1a8f6cd_chg_compress_blobs.py#L1</t>
  </si>
  <si>
    <t>https://github.com/GusSand/Anubis/blob/dced3375debfbe06362d2da03f71ea80b29fb81b/api/migrations/versions/023ee1a8f6cd_chg_compress_blobs.py#L10</t>
  </si>
  <si>
    <t>https://github.com/GusSand/Anubis/blob/dced3375debfbe06362d2da03f71ea80b29fb81b/api/migrations/versions/023ee1a8f6cd_chg_compress_blobs.py#L18</t>
  </si>
  <si>
    <t>https://github.com/GusSand/Anubis/blob/dced3375debfbe06362d2da03f71ea80b29fb81b/api/migrations/versions/023ee1a8f6cd_chg_compress_blobs.py#L23</t>
  </si>
  <si>
    <t>https://github.com/GusSand/Anubis/blob/dced3375debfbe06362d2da03f71ea80b29fb81b/api/migrations/versions/023ee1a8f6cd_chg_compress_blobs.py#L34</t>
  </si>
  <si>
    <t>https://github.com/GusSand/Anubis/blob/dced3375debfbe06362d2da03f71ea80b29fb81b/api/migrations/versions/023ee1a8f6cd_chg_compress_blobs.py#L38</t>
  </si>
  <si>
    <t>Anubis/api/migrations/versions/592c0d556edf_rm_unused_course_column.py</t>
  </si>
  <si>
    <t>592c0d556edf_rm_unused_course_column.py</t>
  </si>
  <si>
    <t>https://github.com/GusSand/Anubis/blob/dced3375debfbe06362d2da03f71ea80b29fb81b/api/migrations/versions/592c0d556edf_rm_unused_course_column.py#L1</t>
  </si>
  <si>
    <t>https://github.com/GusSand/Anubis/blob/dced3375debfbe06362d2da03f71ea80b29fb81b/api/migrations/versions/592c0d556edf_rm_unused_course_column.py#L10</t>
  </si>
  <si>
    <t>https://github.com/GusSand/Anubis/blob/dced3375debfbe06362d2da03f71ea80b29fb81b/api/migrations/versions/592c0d556edf_rm_unused_course_column.py#L18</t>
  </si>
  <si>
    <t>https://github.com/GusSand/Anubis/blob/dced3375debfbe06362d2da03f71ea80b29fb81b/api/migrations/versions/592c0d556edf_rm_unused_course_column.py#L20</t>
  </si>
  <si>
    <t>https://github.com/GusSand/Anubis/blob/dced3375debfbe06362d2da03f71ea80b29fb81b/api/migrations/versions/592c0d556edf_rm_unused_course_column.py#L24</t>
  </si>
  <si>
    <t>https://github.com/GusSand/Anubis/blob/dced3375debfbe06362d2da03f71ea80b29fb81b/api/migrations/versions/592c0d556edf_rm_unused_course_column.py#L34</t>
  </si>
  <si>
    <t>Anubis/api/migrations/versions/400b53e79568_add_parent_id_to_comment.py</t>
  </si>
  <si>
    <t>400b53e79568_add_parent_id_to_comment.py</t>
  </si>
  <si>
    <t>https://github.com/GusSand/Anubis/blob/dced3375debfbe06362d2da03f71ea80b29fb81b/api/migrations/versions/400b53e79568_add_parent_id_to_comment.py#L1</t>
  </si>
  <si>
    <t>https://github.com/GusSand/Anubis/blob/dced3375debfbe06362d2da03f71ea80b29fb81b/api/migrations/versions/400b53e79568_add_parent_id_to_comment.py#L10</t>
  </si>
  <si>
    <t>https://github.com/GusSand/Anubis/blob/dced3375debfbe06362d2da03f71ea80b29fb81b/api/migrations/versions/400b53e79568_add_parent_id_to_comment.py#L18</t>
  </si>
  <si>
    <t>https://github.com/GusSand/Anubis/blob/dced3375debfbe06362d2da03f71ea80b29fb81b/api/migrations/versions/400b53e79568_add_parent_id_to_comment.py#L24</t>
  </si>
  <si>
    <t>https://github.com/GusSand/Anubis/blob/dced3375debfbe06362d2da03f71ea80b29fb81b/api/migrations/versions/400b53e79568_add_parent_id_to_comment.py#L28</t>
  </si>
  <si>
    <t>https://github.com/GusSand/Anubis/blob/dced3375debfbe06362d2da03f71ea80b29fb81b/api/migrations/versions/400b53e79568_add_parent_id_to_comment.py#L34</t>
  </si>
  <si>
    <t>Anubis/api/migrations/versions/2b1fe6792b7a_add_submission_id_to_theia_session.py</t>
  </si>
  <si>
    <t>2b1fe6792b7a_add_submission_id_to_theia_session.py</t>
  </si>
  <si>
    <t>https://github.com/GusSand/Anubis/blob/dced3375debfbe06362d2da03f71ea80b29fb81b/api/migrations/versions/2b1fe6792b7a_add_submission_id_to_theia_session.py#L1</t>
  </si>
  <si>
    <t>https://github.com/GusSand/Anubis/blob/dced3375debfbe06362d2da03f71ea80b29fb81b/api/migrations/versions/2b1fe6792b7a_add_submission_id_to_theia_session.py#L10</t>
  </si>
  <si>
    <t>https://github.com/GusSand/Anubis/blob/dced3375debfbe06362d2da03f71ea80b29fb81b/api/migrations/versions/2b1fe6792b7a_add_submission_id_to_theia_session.py#L18</t>
  </si>
  <si>
    <t>https://github.com/GusSand/Anubis/blob/dced3375debfbe06362d2da03f71ea80b29fb81b/api/migrations/versions/2b1fe6792b7a_add_submission_id_to_theia_session.py#L35</t>
  </si>
  <si>
    <t>https://github.com/GusSand/Anubis/blob/dced3375debfbe06362d2da03f71ea80b29fb81b/api/migrations/versions/2b1fe6792b7a_add_submission_id_to_theia_session.py#L39</t>
  </si>
  <si>
    <t>https://github.com/GusSand/Anubis/blob/dced3375debfbe06362d2da03f71ea80b29fb81b/api/migrations/versions/2b1fe6792b7a_add_submission_id_to_theia_session.py#L42</t>
  </si>
  <si>
    <t>Anubis/api/migrations/versions/47ffcba2ffc1_add_pipeline_log.py</t>
  </si>
  <si>
    <t>47ffcba2ffc1_add_pipeline_log.py</t>
  </si>
  <si>
    <t>https://github.com/GusSand/Anubis/blob/dced3375debfbe06362d2da03f71ea80b29fb81b/api/migrations/versions/47ffcba2ffc1_add_pipeline_log.py#L1</t>
  </si>
  <si>
    <t>https://github.com/GusSand/Anubis/blob/dced3375debfbe06362d2da03f71ea80b29fb81b/api/migrations/versions/47ffcba2ffc1_add_pipeline_log.py#L10</t>
  </si>
  <si>
    <t>https://github.com/GusSand/Anubis/blob/dced3375debfbe06362d2da03f71ea80b29fb81b/api/migrations/versions/47ffcba2ffc1_add_pipeline_log.py#L18</t>
  </si>
  <si>
    <t>https://github.com/GusSand/Anubis/blob/dced3375debfbe06362d2da03f71ea80b29fb81b/api/migrations/versions/47ffcba2ffc1_add_pipeline_log.py#L27</t>
  </si>
  <si>
    <t>https://github.com/GusSand/Anubis/blob/dced3375debfbe06362d2da03f71ea80b29fb81b/api/migrations/versions/47ffcba2ffc1_add_pipeline_log.py#L31</t>
  </si>
  <si>
    <t>https://github.com/GusSand/Anubis/blob/dced3375debfbe06362d2da03f71ea80b29fb81b/api/migrations/versions/47ffcba2ffc1_add_pipeline_log.py#L33</t>
  </si>
  <si>
    <t>Anubis/api/migrations/versions/b99d63327de0_chg_text_type_for_all_user_generated_.py</t>
  </si>
  <si>
    <t>b99d63327de0_chg_text_type_for_all_user_generated_.py</t>
  </si>
  <si>
    <t>https://github.com/GusSand/Anubis/blob/dced3375debfbe06362d2da03f71ea80b29fb81b/api/migrations/versions/b99d63327de0_chg_text_type_for_all_user_generated_.py#L1</t>
  </si>
  <si>
    <t>https://github.com/GusSand/Anubis/blob/dced3375debfbe06362d2da03f71ea80b29fb81b/api/migrations/versions/b99d63327de0_chg_text_type_for_all_user_generated_.py#L9</t>
  </si>
  <si>
    <t>https://github.com/GusSand/Anubis/blob/dced3375debfbe06362d2da03f71ea80b29fb81b/api/migrations/versions/b99d63327de0_chg_text_type_for_all_user_generated_.py#L17</t>
  </si>
  <si>
    <t>https://github.com/GusSand/Anubis/blob/dced3375debfbe06362d2da03f71ea80b29fb81b/api/migrations/versions/b99d63327de0_chg_text_type_for_all_user_generated_.py#L21</t>
  </si>
  <si>
    <t>https://github.com/GusSand/Anubis/blob/dced3375debfbe06362d2da03f71ea80b29fb81b/api/migrations/versions/b99d63327de0_chg_text_type_for_all_user_generated_.py#L28</t>
  </si>
  <si>
    <t>https://github.com/GusSand/Anubis/blob/dced3375debfbe06362d2da03f71ea80b29fb81b/api/migrations/versions/b99d63327de0_chg_text_type_for_all_user_generated_.py#L34</t>
  </si>
  <si>
    <t>https://github.com/GusSand/Anubis/blob/dced3375debfbe06362d2da03f71ea80b29fb81b/api/migrations/versions/b99d63327de0_chg_text_type_for_all_user_generated_.py#L38</t>
  </si>
  <si>
    <t>https://github.com/GusSand/Anubis/blob/dced3375debfbe06362d2da03f71ea80b29fb81b/api/migrations/versions/b99d63327de0_chg_text_type_for_all_user_generated_.py#L42</t>
  </si>
  <si>
    <t>https://github.com/GusSand/Anubis/blob/dced3375debfbe06362d2da03f71ea80b29fb81b/api/migrations/versions/b99d63327de0_chg_text_type_for_all_user_generated_.py#L45</t>
  </si>
  <si>
    <t>https://github.com/GusSand/Anubis/blob/dced3375debfbe06362d2da03f71ea80b29fb81b/api/migrations/versions/b99d63327de0_chg_text_type_for_all_user_generated_.py#L51</t>
  </si>
  <si>
    <t>https://github.com/GusSand/Anubis/blob/dced3375debfbe06362d2da03f71ea80b29fb81b/api/migrations/versions/b99d63327de0_chg_text_type_for_all_user_generated_.py#L55</t>
  </si>
  <si>
    <t>https://github.com/GusSand/Anubis/blob/dced3375debfbe06362d2da03f71ea80b29fb81b/api/migrations/versions/b99d63327de0_chg_text_type_for_all_user_generated_.py#L62</t>
  </si>
  <si>
    <t>https://github.com/GusSand/Anubis/blob/dced3375debfbe06362d2da03f71ea80b29fb81b/api/migrations/versions/b99d63327de0_chg_text_type_for_all_user_generated_.py#L68</t>
  </si>
  <si>
    <t>https://github.com/GusSand/Anubis/blob/dced3375debfbe06362d2da03f71ea80b29fb81b/api/migrations/versions/b99d63327de0_chg_text_type_for_all_user_generated_.py#L72</t>
  </si>
  <si>
    <t>https://github.com/GusSand/Anubis/blob/dced3375debfbe06362d2da03f71ea80b29fb81b/api/migrations/versions/b99d63327de0_chg_text_type_for_all_user_generated_.py#L76</t>
  </si>
  <si>
    <t>https://github.com/GusSand/Anubis/blob/dced3375debfbe06362d2da03f71ea80b29fb81b/api/migrations/versions/b99d63327de0_chg_text_type_for_all_user_generated_.py#L79</t>
  </si>
  <si>
    <t>Anubis/api/migrations/versions/7ffbd4403838_add_icon_title_and_descrition_to_image.py</t>
  </si>
  <si>
    <t>7ffbd4403838_add_icon_title_and_descrition_to_image.py</t>
  </si>
  <si>
    <t>https://github.com/GusSand/Anubis/blob/dced3375debfbe06362d2da03f71ea80b29fb81b/api/migrations/versions/7ffbd4403838_add_icon_title_and_descrition_to_image.py#L1</t>
  </si>
  <si>
    <t>https://github.com/GusSand/Anubis/blob/dced3375debfbe06362d2da03f71ea80b29fb81b/api/migrations/versions/7ffbd4403838_add_icon_title_and_descrition_to_image.py#L10</t>
  </si>
  <si>
    <t>https://github.com/GusSand/Anubis/blob/dced3375debfbe06362d2da03f71ea80b29fb81b/api/migrations/versions/7ffbd4403838_add_icon_title_and_descrition_to_image.py#L18</t>
  </si>
  <si>
    <t>https://github.com/GusSand/Anubis/blob/dced3375debfbe06362d2da03f71ea80b29fb81b/api/migrations/versions/7ffbd4403838_add_icon_title_and_descrition_to_image.py#L33</t>
  </si>
  <si>
    <t>https://github.com/GusSand/Anubis/blob/dced3375debfbe06362d2da03f71ea80b29fb81b/api/migrations/versions/7ffbd4403838_add_icon_title_and_descrition_to_image.py#L37</t>
  </si>
  <si>
    <t>https://github.com/GusSand/Anubis/blob/dced3375debfbe06362d2da03f71ea80b29fb81b/api/migrations/versions/7ffbd4403838_add_icon_title_and_descrition_to_image.py#L52</t>
  </si>
  <si>
    <t>Anubis/api/migrations/versions/3ed4da84667e_add_accept_late_to_assignments.py</t>
  </si>
  <si>
    <t>3ed4da84667e_add_accept_late_to_assignments.py</t>
  </si>
  <si>
    <t>https://github.com/GusSand/Anubis/blob/dced3375debfbe06362d2da03f71ea80b29fb81b/api/migrations/versions/3ed4da84667e_add_accept_late_to_assignments.py#L1</t>
  </si>
  <si>
    <t>https://github.com/GusSand/Anubis/blob/dced3375debfbe06362d2da03f71ea80b29fb81b/api/migrations/versions/3ed4da84667e_add_accept_late_to_assignments.py#L9</t>
  </si>
  <si>
    <t>https://github.com/GusSand/Anubis/blob/dced3375debfbe06362d2da03f71ea80b29fb81b/api/migrations/versions/3ed4da84667e_add_accept_late_to_assignments.py#L17</t>
  </si>
  <si>
    <t>https://github.com/GusSand/Anubis/blob/dced3375debfbe06362d2da03f71ea80b29fb81b/api/migrations/versions/3ed4da84667e_add_accept_late_to_assignments.py#L22</t>
  </si>
  <si>
    <t>https://github.com/GusSand/Anubis/blob/dced3375debfbe06362d2da03f71ea80b29fb81b/api/migrations/versions/3ed4da84667e_add_accept_late_to_assignments.py#L26</t>
  </si>
  <si>
    <t>https://github.com/GusSand/Anubis/blob/dced3375debfbe06362d2da03f71ea80b29fb81b/api/migrations/versions/3ed4da84667e_add_accept_late_to_assignments.py#L28</t>
  </si>
  <si>
    <t>Anubis/api/migrations/versions/6e59d5c2d34b_chg_rename_user_id_to_owner_id.py</t>
  </si>
  <si>
    <t>6e59d5c2d34b_chg_rename_user_id_to_owner_id.py</t>
  </si>
  <si>
    <t>https://github.com/GusSand/Anubis/blob/dced3375debfbe06362d2da03f71ea80b29fb81b/api/migrations/versions/6e59d5c2d34b_chg_rename_user_id_to_owner_id.py#L1</t>
  </si>
  <si>
    <t>https://github.com/GusSand/Anubis/blob/dced3375debfbe06362d2da03f71ea80b29fb81b/api/migrations/versions/6e59d5c2d34b_chg_rename_user_id_to_owner_id.py#L8</t>
  </si>
  <si>
    <t>https://github.com/GusSand/Anubis/blob/dced3375debfbe06362d2da03f71ea80b29fb81b/api/migrations/versions/6e59d5c2d34b_chg_rename_user_id_to_owner_id.py#L16</t>
  </si>
  <si>
    <t>https://github.com/GusSand/Anubis/blob/dced3375debfbe06362d2da03f71ea80b29fb81b/api/migrations/versions/6e59d5c2d34b_chg_rename_user_id_to_owner_id.py#L23</t>
  </si>
  <si>
    <t>https://github.com/GusSand/Anubis/blob/dced3375debfbe06362d2da03f71ea80b29fb81b/api/migrations/versions/6e59d5c2d34b_chg_rename_user_id_to_owner_id.py#L27</t>
  </si>
  <si>
    <t>https://github.com/GusSand/Anubis/blob/dced3375debfbe06362d2da03f71ea80b29fb81b/api/migrations/versions/6e59d5c2d34b_chg_rename_user_id_to_owner_id.py#L34</t>
  </si>
  <si>
    <t>Anubis/api/migrations/versions/18b5fce3df50_add_shared_to_repo.py</t>
  </si>
  <si>
    <t>18b5fce3df50_add_shared_to_repo.py</t>
  </si>
  <si>
    <t>https://github.com/GusSand/Anubis/blob/dced3375debfbe06362d2da03f71ea80b29fb81b/api/migrations/versions/18b5fce3df50_add_shared_to_repo.py#L1</t>
  </si>
  <si>
    <t>https://github.com/GusSand/Anubis/blob/dced3375debfbe06362d2da03f71ea80b29fb81b/api/migrations/versions/18b5fce3df50_add_shared_to_repo.py#L10</t>
  </si>
  <si>
    <t>https://github.com/GusSand/Anubis/blob/dced3375debfbe06362d2da03f71ea80b29fb81b/api/migrations/versions/18b5fce3df50_add_shared_to_repo.py#L18</t>
  </si>
  <si>
    <t>https://github.com/GusSand/Anubis/blob/dced3375debfbe06362d2da03f71ea80b29fb81b/api/migrations/versions/18b5fce3df50_add_shared_to_repo.py#L23</t>
  </si>
  <si>
    <t>https://github.com/GusSand/Anubis/blob/dced3375debfbe06362d2da03f71ea80b29fb81b/api/migrations/versions/18b5fce3df50_add_shared_to_repo.py#L27</t>
  </si>
  <si>
    <t>https://github.com/GusSand/Anubis/blob/dced3375debfbe06362d2da03f71ea80b29fb81b/api/migrations/versions/18b5fce3df50_add_shared_to_repo.py#L29</t>
  </si>
  <si>
    <t>Anubis/api/migrations/versions/49d73a536492_chg_rename_professor_to_professor_for_.py</t>
  </si>
  <si>
    <t>49d73a536492_chg_rename_professor_to_professor_for_.py</t>
  </si>
  <si>
    <t>https://github.com/GusSand/Anubis/blob/dced3375debfbe06362d2da03f71ea80b29fb81b/api/migrations/versions/49d73a536492_chg_rename_professor_to_professor_for_.py#L1</t>
  </si>
  <si>
    <t>https://github.com/GusSand/Anubis/blob/dced3375debfbe06362d2da03f71ea80b29fb81b/api/migrations/versions/49d73a536492_chg_rename_professor_to_professor_for_.py#L9</t>
  </si>
  <si>
    <t>Anubis/api/migrations/versions/5ea160112b7e_rm_theia_session_privileged.py</t>
  </si>
  <si>
    <t>5ea160112b7e_rm_theia_session_privileged.py</t>
  </si>
  <si>
    <t>https://github.com/GusSand/Anubis/blob/dced3375debfbe06362d2da03f71ea80b29fb81b/api/migrations/versions/5ea160112b7e_rm_theia_session_privileged.py#L1</t>
  </si>
  <si>
    <t>https://github.com/GusSand/Anubis/blob/dced3375debfbe06362d2da03f71ea80b29fb81b/api/migrations/versions/5ea160112b7e_rm_theia_session_privileged.py#L10</t>
  </si>
  <si>
    <t>https://github.com/GusSand/Anubis/blob/dced3375debfbe06362d2da03f71ea80b29fb81b/api/migrations/versions/5ea160112b7e_rm_theia_session_privileged.py#L18</t>
  </si>
  <si>
    <t>https://github.com/GusSand/Anubis/blob/dced3375debfbe06362d2da03f71ea80b29fb81b/api/migrations/versions/5ea160112b7e_rm_theia_session_privileged.py#L20</t>
  </si>
  <si>
    <t>https://github.com/GusSand/Anubis/blob/dced3375debfbe06362d2da03f71ea80b29fb81b/api/migrations/versions/5ea160112b7e_rm_theia_session_privileged.py#L24</t>
  </si>
  <si>
    <t>https://github.com/GusSand/Anubis/blob/dced3375debfbe06362d2da03f71ea80b29fb81b/api/migrations/versions/5ea160112b7e_rm_theia_session_privileged.py#L34</t>
  </si>
  <si>
    <t>Anubis/api/migrations/versions/2f5a27ffe4ea_chg_repo_url_optional.py</t>
  </si>
  <si>
    <t>2f5a27ffe4ea_chg_repo_url_optional.py</t>
  </si>
  <si>
    <t>https://github.com/GusSand/Anubis/blob/dced3375debfbe06362d2da03f71ea80b29fb81b/api/migrations/versions/2f5a27ffe4ea_chg_repo_url_optional.py#L1</t>
  </si>
  <si>
    <t>https://github.com/GusSand/Anubis/blob/dced3375debfbe06362d2da03f71ea80b29fb81b/api/migrations/versions/2f5a27ffe4ea_chg_repo_url_optional.py#L10</t>
  </si>
  <si>
    <t>https://github.com/GusSand/Anubis/blob/dced3375debfbe06362d2da03f71ea80b29fb81b/api/migrations/versions/2f5a27ffe4ea_chg_repo_url_optional.py#L18</t>
  </si>
  <si>
    <t>https://github.com/GusSand/Anubis/blob/dced3375debfbe06362d2da03f71ea80b29fb81b/api/migrations/versions/2f5a27ffe4ea_chg_repo_url_optional.py#L25</t>
  </si>
  <si>
    <t>https://github.com/GusSand/Anubis/blob/dced3375debfbe06362d2da03f71ea80b29fb81b/api/migrations/versions/2f5a27ffe4ea_chg_repo_url_optional.py#L29</t>
  </si>
  <si>
    <t>https://github.com/GusSand/Anubis/blob/dced3375debfbe06362d2da03f71ea80b29fb81b/api/migrations/versions/2f5a27ffe4ea_chg_repo_url_optional.py#L36</t>
  </si>
  <si>
    <t>Anubis/api/migrations/versions/ba7750bc4d14_add_github_repo_required_to_assignment.py</t>
  </si>
  <si>
    <t>ba7750bc4d14_add_github_repo_required_to_assignment.py</t>
  </si>
  <si>
    <t>https://github.com/GusSand/Anubis/blob/dced3375debfbe06362d2da03f71ea80b29fb81b/api/migrations/versions/ba7750bc4d14_add_github_repo_required_to_assignment.py#L1</t>
  </si>
  <si>
    <t>https://github.com/GusSand/Anubis/blob/dced3375debfbe06362d2da03f71ea80b29fb81b/api/migrations/versions/ba7750bc4d14_add_github_repo_required_to_assignment.py#L10</t>
  </si>
  <si>
    <t>https://github.com/GusSand/Anubis/blob/dced3375debfbe06362d2da03f71ea80b29fb81b/api/migrations/versions/ba7750bc4d14_add_github_repo_required_to_assignment.py#L18</t>
  </si>
  <si>
    <t>https://github.com/GusSand/Anubis/blob/dced3375debfbe06362d2da03f71ea80b29fb81b/api/migrations/versions/ba7750bc4d14_add_github_repo_required_to_assignment.py#L26</t>
  </si>
  <si>
    <t>https://github.com/GusSand/Anubis/blob/dced3375debfbe06362d2da03f71ea80b29fb81b/api/migrations/versions/ba7750bc4d14_add_github_repo_required_to_assignment.py#L30</t>
  </si>
  <si>
    <t>https://github.com/GusSand/Anubis/blob/dced3375debfbe06362d2da03f71ea80b29fb81b/api/migrations/versions/ba7750bc4d14_add_github_repo_required_to_assignment.py#L32</t>
  </si>
  <si>
    <t>Anubis/api/migrations/versions/bdc6f7395c95_add_id_index.py</t>
  </si>
  <si>
    <t>bdc6f7395c95_add_id_index.py</t>
  </si>
  <si>
    <t>https://github.com/GusSand/Anubis/blob/dced3375debfbe06362d2da03f71ea80b29fb81b/api/migrations/versions/bdc6f7395c95_add_id_index.py#L1</t>
  </si>
  <si>
    <t>https://github.com/GusSand/Anubis/blob/dced3375debfbe06362d2da03f71ea80b29fb81b/api/migrations/versions/bdc6f7395c95_add_id_index.py#L10</t>
  </si>
  <si>
    <t>https://github.com/GusSand/Anubis/blob/dced3375debfbe06362d2da03f71ea80b29fb81b/api/migrations/versions/bdc6f7395c95_add_id_index.py#L18</t>
  </si>
  <si>
    <t>https://github.com/GusSand/Anubis/blob/dced3375debfbe06362d2da03f71ea80b29fb81b/api/migrations/versions/bdc6f7395c95_add_id_index.py#L99</t>
  </si>
  <si>
    <t>https://github.com/GusSand/Anubis/blob/dced3375debfbe06362d2da03f71ea80b29fb81b/api/migrations/versions/bdc6f7395c95_add_id_index.py#L103</t>
  </si>
  <si>
    <t>https://github.com/GusSand/Anubis/blob/dced3375debfbe06362d2da03f71ea80b29fb81b/api/migrations/versions/bdc6f7395c95_add_id_index.py#L142</t>
  </si>
  <si>
    <t>Anubis/api/migrations/versions/28971042fc9c_chg_assignment_repo_netid_tracking.py</t>
  </si>
  <si>
    <t>28971042fc9c_chg_assignment_repo_netid_tracking.py</t>
  </si>
  <si>
    <t>https://github.com/GusSand/Anubis/blob/dced3375debfbe06362d2da03f71ea80b29fb81b/api/migrations/versions/28971042fc9c_chg_assignment_repo_netid_tracking.py#L1</t>
  </si>
  <si>
    <t>https://github.com/GusSand/Anubis/blob/dced3375debfbe06362d2da03f71ea80b29fb81b/api/migrations/versions/28971042fc9c_chg_assignment_repo_netid_tracking.py#L10</t>
  </si>
  <si>
    <t>https://github.com/GusSand/Anubis/blob/dced3375debfbe06362d2da03f71ea80b29fb81b/api/migrations/versions/28971042fc9c_chg_assignment_repo_netid_tracking.py#L18</t>
  </si>
  <si>
    <t>https://github.com/GusSand/Anubis/blob/dced3375debfbe06362d2da03f71ea80b29fb81b/api/migrations/versions/28971042fc9c_chg_assignment_repo_netid_tracking.py#L29</t>
  </si>
  <si>
    <t>https://github.com/GusSand/Anubis/blob/dced3375debfbe06362d2da03f71ea80b29fb81b/api/migrations/versions/28971042fc9c_chg_assignment_repo_netid_tracking.py#L52</t>
  </si>
  <si>
    <t>https://github.com/GusSand/Anubis/blob/dced3375debfbe06362d2da03f71ea80b29fb81b/api/migrations/versions/28971042fc9c_chg_assignment_repo_netid_tracking.py#L56</t>
  </si>
  <si>
    <t>https://github.com/GusSand/Anubis/blob/dced3375debfbe06362d2da03f71ea80b29fb81b/api/migrations/versions/28971042fc9c_chg_assignment_repo_netid_tracking.py#L62</t>
  </si>
  <si>
    <t>Anubis/api/migrations/versions/86296424818b_chg_assignment_repo_non_unique_repo_url.py</t>
  </si>
  <si>
    <t>86296424818b_chg_assignment_repo_non_unique_repo_url.py</t>
  </si>
  <si>
    <t>https://github.com/GusSand/Anubis/blob/dced3375debfbe06362d2da03f71ea80b29fb81b/api/migrations/versions/86296424818b_chg_assignment_repo_non_unique_repo_url.py#L1</t>
  </si>
  <si>
    <t>https://github.com/GusSand/Anubis/blob/dced3375debfbe06362d2da03f71ea80b29fb81b/api/migrations/versions/86296424818b_chg_assignment_repo_non_unique_repo_url.py#L9</t>
  </si>
  <si>
    <t>https://github.com/GusSand/Anubis/blob/dced3375debfbe06362d2da03f71ea80b29fb81b/api/migrations/versions/86296424818b_chg_assignment_repo_non_unique_repo_url.py#L17</t>
  </si>
  <si>
    <t>https://github.com/GusSand/Anubis/blob/dced3375debfbe06362d2da03f71ea80b29fb81b/api/migrations/versions/86296424818b_chg_assignment_repo_non_unique_repo_url.py#L19</t>
  </si>
  <si>
    <t>https://github.com/GusSand/Anubis/blob/dced3375debfbe06362d2da03f71ea80b29fb81b/api/migrations/versions/86296424818b_chg_assignment_repo_non_unique_repo_url.py#L23</t>
  </si>
  <si>
    <t>https://github.com/GusSand/Anubis/blob/dced3375debfbe06362d2da03f71ea80b29fb81b/api/migrations/versions/86296424818b_chg_assignment_repo_non_unique_repo_url.py#L25</t>
  </si>
  <si>
    <t>Anubis/api/migrations/versions/2324a3537ff3_fix_index_issues.py</t>
  </si>
  <si>
    <t>2324a3537ff3_fix_index_issues.py</t>
  </si>
  <si>
    <t>https://github.com/GusSand/Anubis/blob/dced3375debfbe06362d2da03f71ea80b29fb81b/api/migrations/versions/2324a3537ff3_fix_index_issues.py#L1</t>
  </si>
  <si>
    <t>https://github.com/GusSand/Anubis/blob/dced3375debfbe06362d2da03f71ea80b29fb81b/api/migrations/versions/2324a3537ff3_fix_index_issues.py#L8</t>
  </si>
  <si>
    <t>https://github.com/GusSand/Anubis/blob/dced3375debfbe06362d2da03f71ea80b29fb81b/api/migrations/versions/2324a3537ff3_fix_index_issues.py#L16</t>
  </si>
  <si>
    <t>https://github.com/GusSand/Anubis/blob/dced3375debfbe06362d2da03f71ea80b29fb81b/api/migrations/versions/2324a3537ff3_fix_index_issues.py#L46</t>
  </si>
  <si>
    <t>https://github.com/GusSand/Anubis/blob/dced3375debfbe06362d2da03f71ea80b29fb81b/api/migrations/versions/2324a3537ff3_fix_index_issues.py#L50</t>
  </si>
  <si>
    <t>https://github.com/GusSand/Anubis/blob/dced3375debfbe06362d2da03f71ea80b29fb81b/api/migrations/versions/2324a3537ff3_fix_index_issues.py#L55</t>
  </si>
  <si>
    <t>Anubis/api/migrations/versions/1a6dbe1012b5_add_theia_persistent_storage_to_course_.py</t>
  </si>
  <si>
    <t>1a6dbe1012b5_add_theia_persistent_storage_to_course_.py</t>
  </si>
  <si>
    <t>https://github.com/GusSand/Anubis/blob/dced3375debfbe06362d2da03f71ea80b29fb81b/api/migrations/versions/1a6dbe1012b5_add_theia_persistent_storage_to_course_.py#L1</t>
  </si>
  <si>
    <t>https://github.com/GusSand/Anubis/blob/dced3375debfbe06362d2da03f71ea80b29fb81b/api/migrations/versions/1a6dbe1012b5_add_theia_persistent_storage_to_course_.py#L10</t>
  </si>
  <si>
    <t>https://github.com/GusSand/Anubis/blob/dced3375debfbe06362d2da03f71ea80b29fb81b/api/migrations/versions/1a6dbe1012b5_add_theia_persistent_storage_to_course_.py#L18</t>
  </si>
  <si>
    <t>https://github.com/GusSand/Anubis/blob/dced3375debfbe06362d2da03f71ea80b29fb81b/api/migrations/versions/1a6dbe1012b5_add_theia_persistent_storage_to_course_.py#L36</t>
  </si>
  <si>
    <t>https://github.com/GusSand/Anubis/blob/dced3375debfbe06362d2da03f71ea80b29fb81b/api/migrations/versions/1a6dbe1012b5_add_theia_persistent_storage_to_course_.py#L40</t>
  </si>
  <si>
    <t>https://github.com/GusSand/Anubis/blob/dced3375debfbe06362d2da03f71ea80b29fb81b/api/migrations/versions/1a6dbe1012b5_add_theia_persistent_storage_to_course_.py#L44</t>
  </si>
  <si>
    <t>Anubis/api/migrations/versions/8c17dcffa2be_add_webtop_column.py</t>
  </si>
  <si>
    <t>8c17dcffa2be_add_webtop_column.py</t>
  </si>
  <si>
    <t>https://github.com/GusSand/Anubis/blob/dced3375debfbe06362d2da03f71ea80b29fb81b/api/migrations/versions/8c17dcffa2be_add_webtop_column.py#L1</t>
  </si>
  <si>
    <t>https://github.com/GusSand/Anubis/blob/dced3375debfbe06362d2da03f71ea80b29fb81b/api/migrations/versions/8c17dcffa2be_add_webtop_column.py#L10</t>
  </si>
  <si>
    <t>https://github.com/GusSand/Anubis/blob/dced3375debfbe06362d2da03f71ea80b29fb81b/api/migrations/versions/8c17dcffa2be_add_webtop_column.py#L18</t>
  </si>
  <si>
    <t>https://github.com/GusSand/Anubis/blob/dced3375debfbe06362d2da03f71ea80b29fb81b/api/migrations/versions/8c17dcffa2be_add_webtop_column.py#L24</t>
  </si>
  <si>
    <t>https://github.com/GusSand/Anubis/blob/dced3375debfbe06362d2da03f71ea80b29fb81b/api/migrations/versions/8c17dcffa2be_add_webtop_column.py#L28</t>
  </si>
  <si>
    <t>https://github.com/GusSand/Anubis/blob/dced3375debfbe06362d2da03f71ea80b29fb81b/api/migrations/versions/8c17dcffa2be_add_webtop_column.py#L30</t>
  </si>
  <si>
    <t>Anubis/api/migrations/versions/a622f56b9050_add_accepted_column.py</t>
  </si>
  <si>
    <t>a622f56b9050_add_accepted_column.py</t>
  </si>
  <si>
    <t>https://github.com/GusSand/Anubis/blob/dced3375debfbe06362d2da03f71ea80b29fb81b/api/migrations/versions/a622f56b9050_add_accepted_column.py#L1</t>
  </si>
  <si>
    <t>https://github.com/GusSand/Anubis/blob/dced3375debfbe06362d2da03f71ea80b29fb81b/api/migrations/versions/a622f56b9050_add_accepted_column.py#L10</t>
  </si>
  <si>
    <t>https://github.com/GusSand/Anubis/blob/dced3375debfbe06362d2da03f71ea80b29fb81b/api/migrations/versions/a622f56b9050_add_accepted_column.py#L18</t>
  </si>
  <si>
    <t>https://github.com/GusSand/Anubis/blob/dced3375debfbe06362d2da03f71ea80b29fb81b/api/migrations/versions/a622f56b9050_add_accepted_column.py#L35</t>
  </si>
  <si>
    <t>https://github.com/GusSand/Anubis/blob/dced3375debfbe06362d2da03f71ea80b29fb81b/api/migrations/versions/a622f56b9050_add_accepted_column.py#L39</t>
  </si>
  <si>
    <t>https://github.com/GusSand/Anubis/blob/dced3375debfbe06362d2da03f71ea80b29fb81b/api/migrations/versions/a622f56b9050_add_accepted_column.py#L56</t>
  </si>
  <si>
    <t>Anubis/api/migrations/versions/bf3ae1de1d12_chg_rename_sequence_to_pool.py</t>
  </si>
  <si>
    <t>bf3ae1de1d12_chg_rename_sequence_to_pool.py</t>
  </si>
  <si>
    <t>https://github.com/GusSand/Anubis/blob/dced3375debfbe06362d2da03f71ea80b29fb81b/api/migrations/versions/bf3ae1de1d12_chg_rename_sequence_to_pool.py#L1</t>
  </si>
  <si>
    <t>https://github.com/GusSand/Anubis/blob/dced3375debfbe06362d2da03f71ea80b29fb81b/api/migrations/versions/bf3ae1de1d12_chg_rename_sequence_to_pool.py#L9</t>
  </si>
  <si>
    <t>https://github.com/GusSand/Anubis/blob/dced3375debfbe06362d2da03f71ea80b29fb81b/api/migrations/versions/bf3ae1de1d12_chg_rename_sequence_to_pool.py#L17</t>
  </si>
  <si>
    <t>https://github.com/GusSand/Anubis/blob/dced3375debfbe06362d2da03f71ea80b29fb81b/api/migrations/versions/bf3ae1de1d12_chg_rename_sequence_to_pool.py#L19</t>
  </si>
  <si>
    <t>https://github.com/GusSand/Anubis/blob/dced3375debfbe06362d2da03f71ea80b29fb81b/api/migrations/versions/bf3ae1de1d12_chg_rename_sequence_to_pool.py#L23</t>
  </si>
  <si>
    <t>https://github.com/GusSand/Anubis/blob/dced3375debfbe06362d2da03f71ea80b29fb81b/api/migrations/versions/bf3ae1de1d12_chg_rename_sequence_to_pool.py#L25</t>
  </si>
  <si>
    <t>Anubis/api/migrations/versions/a242e0e21f3e_chg_unique_repo_url.py</t>
  </si>
  <si>
    <t>a242e0e21f3e_chg_unique_repo_url.py</t>
  </si>
  <si>
    <t>https://github.com/GusSand/Anubis/blob/dced3375debfbe06362d2da03f71ea80b29fb81b/api/migrations/versions/a242e0e21f3e_chg_unique_repo_url.py#L1</t>
  </si>
  <si>
    <t>https://github.com/GusSand/Anubis/blob/dced3375debfbe06362d2da03f71ea80b29fb81b/api/migrations/versions/a242e0e21f3e_chg_unique_repo_url.py#L10</t>
  </si>
  <si>
    <t>https://github.com/GusSand/Anubis/blob/dced3375debfbe06362d2da03f71ea80b29fb81b/api/migrations/versions/a242e0e21f3e_chg_unique_repo_url.py#L18</t>
  </si>
  <si>
    <t>https://github.com/GusSand/Anubis/blob/dced3375debfbe06362d2da03f71ea80b29fb81b/api/migrations/versions/a242e0e21f3e_chg_unique_repo_url.py#L21</t>
  </si>
  <si>
    <t>https://github.com/GusSand/Anubis/blob/dced3375debfbe06362d2da03f71ea80b29fb81b/api/migrations/versions/a242e0e21f3e_chg_unique_repo_url.py#L25</t>
  </si>
  <si>
    <t>https://github.com/GusSand/Anubis/blob/dced3375debfbe06362d2da03f71ea80b29fb81b/api/migrations/versions/a242e0e21f3e_chg_unique_repo_url.py#L28</t>
  </si>
  <si>
    <t>Anubis/api/migrations/versions/c8cb0e5a0950_add_theia_session_k8s_requested_boolean.py</t>
  </si>
  <si>
    <t>c8cb0e5a0950_add_theia_session_k8s_requested_boolean.py</t>
  </si>
  <si>
    <t>https://github.com/GusSand/Anubis/blob/dced3375debfbe06362d2da03f71ea80b29fb81b/api/migrations/versions/c8cb0e5a0950_add_theia_session_k8s_requested_boolean.py#L1</t>
  </si>
  <si>
    <t>https://github.com/GusSand/Anubis/blob/dced3375debfbe06362d2da03f71ea80b29fb81b/api/migrations/versions/c8cb0e5a0950_add_theia_session_k8s_requested_boolean.py#L10</t>
  </si>
  <si>
    <t>https://github.com/GusSand/Anubis/blob/dced3375debfbe06362d2da03f71ea80b29fb81b/api/migrations/versions/c8cb0e5a0950_add_theia_session_k8s_requested_boolean.py#L18</t>
  </si>
  <si>
    <t>https://github.com/GusSand/Anubis/blob/dced3375debfbe06362d2da03f71ea80b29fb81b/api/migrations/versions/c8cb0e5a0950_add_theia_session_k8s_requested_boolean.py#L28</t>
  </si>
  <si>
    <t>https://github.com/GusSand/Anubis/blob/dced3375debfbe06362d2da03f71ea80b29fb81b/api/migrations/versions/c8cb0e5a0950_add_theia_session_k8s_requested_boolean.py#L32</t>
  </si>
  <si>
    <t>https://github.com/GusSand/Anubis/blob/dced3375debfbe06362d2da03f71ea80b29fb81b/api/migrations/versions/c8cb0e5a0950_add_theia_session_k8s_requested_boolean.py#L38</t>
  </si>
  <si>
    <t>Anubis/api/migrations/versions/83eae1b04c47_chg_run_blob_compressions.py</t>
  </si>
  <si>
    <t>83eae1b04c47_chg_run_blob_compressions.py</t>
  </si>
  <si>
    <t>https://github.com/GusSand/Anubis/blob/dced3375debfbe06362d2da03f71ea80b29fb81b/api/migrations/versions/83eae1b04c47_chg_run_blob_compressions.py#L1</t>
  </si>
  <si>
    <t>https://github.com/GusSand/Anubis/blob/dced3375debfbe06362d2da03f71ea80b29fb81b/api/migrations/versions/83eae1b04c47_chg_run_blob_compressions.py#L11</t>
  </si>
  <si>
    <t>https://github.com/GusSand/Anubis/blob/dced3375debfbe06362d2da03f71ea80b29fb81b/api/migrations/versions/83eae1b04c47_chg_run_blob_compressions.py#L60</t>
  </si>
  <si>
    <t>https://github.com/GusSand/Anubis/blob/dced3375debfbe06362d2da03f71ea80b29fb81b/api/migrations/versions/83eae1b04c47_chg_run_blob_compressions.py#L67</t>
  </si>
  <si>
    <t>Anubis/api/migrations/versions/7bce3314f2d8_chg_assignment_test_output_types.py</t>
  </si>
  <si>
    <t>7bce3314f2d8_chg_assignment_test_output_types.py</t>
  </si>
  <si>
    <t>https://github.com/GusSand/Anubis/blob/dced3375debfbe06362d2da03f71ea80b29fb81b/api/migrations/versions/7bce3314f2d8_chg_assignment_test_output_types.py#L1</t>
  </si>
  <si>
    <t>https://github.com/GusSand/Anubis/blob/dced3375debfbe06362d2da03f71ea80b29fb81b/api/migrations/versions/7bce3314f2d8_chg_assignment_test_output_types.py#L10</t>
  </si>
  <si>
    <t>https://github.com/GusSand/Anubis/blob/dced3375debfbe06362d2da03f71ea80b29fb81b/api/migrations/versions/7bce3314f2d8_chg_assignment_test_output_types.py#L18</t>
  </si>
  <si>
    <t>https://github.com/GusSand/Anubis/blob/dced3375debfbe06362d2da03f71ea80b29fb81b/api/migrations/versions/7bce3314f2d8_chg_assignment_test_output_types.py#L32</t>
  </si>
  <si>
    <t>https://github.com/GusSand/Anubis/blob/dced3375debfbe06362d2da03f71ea80b29fb81b/api/migrations/versions/7bce3314f2d8_chg_assignment_test_output_types.py#L36</t>
  </si>
  <si>
    <t>https://github.com/GusSand/Anubis/blob/dced3375debfbe06362d2da03f71ea80b29fb81b/api/migrations/versions/7bce3314f2d8_chg_assignment_test_output_types.py#L43</t>
  </si>
  <si>
    <t>Anubis/api/migrations/versions/70bf8c2bf6a4_chg_resize_id_columns.py</t>
  </si>
  <si>
    <t>70bf8c2bf6a4_chg_resize_id_columns.py</t>
  </si>
  <si>
    <t>https://github.com/GusSand/Anubis/blob/dced3375debfbe06362d2da03f71ea80b29fb81b/api/migrations/versions/70bf8c2bf6a4_chg_resize_id_columns.py#L1</t>
  </si>
  <si>
    <t>https://github.com/GusSand/Anubis/blob/dced3375debfbe06362d2da03f71ea80b29fb81b/api/migrations/versions/70bf8c2bf6a4_chg_resize_id_columns.py#L10</t>
  </si>
  <si>
    <t>https://github.com/GusSand/Anubis/blob/dced3375debfbe06362d2da03f71ea80b29fb81b/api/migrations/versions/70bf8c2bf6a4_chg_resize_id_columns.py#L65</t>
  </si>
  <si>
    <t>Anubis/api/anubis/env.py</t>
  </si>
  <si>
    <t>https://github.com/GusSand/Anubis/blob/dced3375debfbe06362d2da03f71ea80b29fb81b/api/anubis/env.py#L4</t>
  </si>
  <si>
    <t>https://github.com/GusSand/Anubis/blob/dced3375debfbe06362d2da03f71ea80b29fb81b/api/anubis/env.py#L14</t>
  </si>
  <si>
    <t>https://github.com/GusSand/Anubis/blob/dced3375debfbe06362d2da03f71ea80b29fb81b/api/anubis/env.py#L24</t>
  </si>
  <si>
    <t>https://github.com/GusSand/Anubis/blob/dced3375debfbe06362d2da03f71ea80b29fb81b/api/anubis/env.py#L29</t>
  </si>
  <si>
    <t>https://github.com/GusSand/Anubis/blob/dced3375debfbe06362d2da03f71ea80b29fb81b/api/anubis/env.py#L33</t>
  </si>
  <si>
    <t>https://github.com/GusSand/Anubis/blob/dced3375debfbe06362d2da03f71ea80b29fb81b/api/anubis/env.py#L37</t>
  </si>
  <si>
    <t>https://github.com/GusSand/Anubis/blob/dced3375debfbe06362d2da03f71ea80b29fb81b/api/anubis/env.py#L40</t>
  </si>
  <si>
    <t>https://github.com/GusSand/Anubis/blob/dced3375debfbe06362d2da03f71ea80b29fb81b/api/anubis/env.py#L44</t>
  </si>
  <si>
    <t>https://github.com/GusSand/Anubis/blob/dced3375debfbe06362d2da03f71ea80b29fb81b/api/anubis/env.py#L48</t>
  </si>
  <si>
    <t>https://github.com/GusSand/Anubis/blob/dced3375debfbe06362d2da03f71ea80b29fb81b/api/anubis/env.py#L51</t>
  </si>
  <si>
    <t>Anubis/api/anubis/app.py</t>
  </si>
  <si>
    <t>https://github.com/GusSand/Anubis/blob/dced3375debfbe06362d2da03f71ea80b29fb81b/api/anubis/app.py#L3</t>
  </si>
  <si>
    <t>https://github.com/GusSand/Anubis/blob/dced3375debfbe06362d2da03f71ea80b29fb81b/api/anubis/app.py#L16</t>
  </si>
  <si>
    <t>https://github.com/GusSand/Anubis/blob/dced3375debfbe06362d2da03f71ea80b29fb81b/api/anubis/app.py#L29</t>
  </si>
  <si>
    <t>https://github.com/GusSand/Anubis/blob/dced3375debfbe06362d2da03f71ea80b29fb81b/api/anubis/app.py#L39</t>
  </si>
  <si>
    <t>https://github.com/GusSand/Anubis/blob/dced3375debfbe06362d2da03f71ea80b29fb81b/api/anubis/app.py#L44</t>
  </si>
  <si>
    <t>https://github.com/GusSand/Anubis/blob/dced3375debfbe06362d2da03f71ea80b29fb81b/api/anubis/app.py#L48</t>
  </si>
  <si>
    <t>https://github.com/GusSand/Anubis/blob/dced3375debfbe06362d2da03f71ea80b29fb81b/api/anubis/app.py#L64</t>
  </si>
  <si>
    <t>https://github.com/GusSand/Anubis/blob/dced3375debfbe06362d2da03f71ea80b29fb81b/api/anubis/app.py#L75</t>
  </si>
  <si>
    <t>https://github.com/GusSand/Anubis/blob/dced3375debfbe06362d2da03f71ea80b29fb81b/api/anubis/app.py#L79</t>
  </si>
  <si>
    <t>https://github.com/GusSand/Anubis/blob/dced3375debfbe06362d2da03f71ea80b29fb81b/api/anubis/app.py#L82</t>
  </si>
  <si>
    <t>Anubis/api/anubis/ide/initialize.py</t>
  </si>
  <si>
    <t>initialize.py</t>
  </si>
  <si>
    <t>https://github.com/GusSand/Anubis/blob/dced3375debfbe06362d2da03f71ea80b29fb81b/api/anubis/ide/initialize.py#L9</t>
  </si>
  <si>
    <t>https://github.com/GusSand/Anubis/blob/dced3375debfbe06362d2da03f71ea80b29fb81b/api/anubis/ide/initialize.py#L27</t>
  </si>
  <si>
    <t>https://github.com/GusSand/Anubis/blob/dced3375debfbe06362d2da03f71ea80b29fb81b/api/anubis/ide/initialize.py#L31</t>
  </si>
  <si>
    <t>https://github.com/GusSand/Anubis/blob/dced3375debfbe06362d2da03f71ea80b29fb81b/api/anubis/ide/initialize.py#L39</t>
  </si>
  <si>
    <t>https://github.com/GusSand/Anubis/blob/dced3375debfbe06362d2da03f71ea80b29fb81b/api/anubis/ide/initialize.py#L42</t>
  </si>
  <si>
    <t>https://github.com/GusSand/Anubis/blob/dced3375debfbe06362d2da03f71ea80b29fb81b/api/anubis/ide/initialize.py#L53</t>
  </si>
  <si>
    <t>https://github.com/GusSand/Anubis/blob/dced3375debfbe06362d2da03f71ea80b29fb81b/api/anubis/ide/initialize.py#L58</t>
  </si>
  <si>
    <t>https://github.com/GusSand/Anubis/blob/dced3375debfbe06362d2da03f71ea80b29fb81b/api/anubis/ide/initialize.py#L62</t>
  </si>
  <si>
    <t>https://github.com/GusSand/Anubis/blob/dced3375debfbe06362d2da03f71ea80b29fb81b/api/anubis/ide/initialize.py#L67</t>
  </si>
  <si>
    <t>https://github.com/GusSand/Anubis/blob/dced3375debfbe06362d2da03f71ea80b29fb81b/api/anubis/ide/initialize.py#L69</t>
  </si>
  <si>
    <t>https://github.com/GusSand/Anubis/blob/dced3375debfbe06362d2da03f71ea80b29fb81b/api/anubis/ide/initialize.py#L76</t>
  </si>
  <si>
    <t>https://github.com/GusSand/Anubis/blob/dced3375debfbe06362d2da03f71ea80b29fb81b/api/anubis/ide/initialize.py#L82</t>
  </si>
  <si>
    <t>https://github.com/GusSand/Anubis/blob/dced3375debfbe06362d2da03f71ea80b29fb81b/api/anubis/ide/initialize.py#L86</t>
  </si>
  <si>
    <t>https://github.com/GusSand/Anubis/blob/dced3375debfbe06362d2da03f71ea80b29fb81b/api/anubis/ide/initialize.py#L89</t>
  </si>
  <si>
    <t>https://github.com/GusSand/Anubis/blob/dced3375debfbe06362d2da03f71ea80b29fb81b/api/anubis/ide/initialize.py#L91</t>
  </si>
  <si>
    <t>https://github.com/GusSand/Anubis/blob/dced3375debfbe06362d2da03f71ea80b29fb81b/api/anubis/ide/initialize.py#L93</t>
  </si>
  <si>
    <t>https://github.com/GusSand/Anubis/blob/dced3375debfbe06362d2da03f71ea80b29fb81b/api/anubis/ide/initialize.py#L98</t>
  </si>
  <si>
    <t>https://github.com/GusSand/Anubis/blob/dced3375debfbe06362d2da03f71ea80b29fb81b/api/anubis/ide/initialize.py#L103</t>
  </si>
  <si>
    <t>https://github.com/GusSand/Anubis/blob/dced3375debfbe06362d2da03f71ea80b29fb81b/api/anubis/ide/initialize.py#L109</t>
  </si>
  <si>
    <t>https://github.com/GusSand/Anubis/blob/dced3375debfbe06362d2da03f71ea80b29fb81b/api/anubis/ide/initialize.py#L112</t>
  </si>
  <si>
    <t>https://github.com/GusSand/Anubis/blob/dced3375debfbe06362d2da03f71ea80b29fb81b/api/anubis/ide/initialize.py#L118</t>
  </si>
  <si>
    <t>https://github.com/GusSand/Anubis/blob/dced3375debfbe06362d2da03f71ea80b29fb81b/api/anubis/ide/initialize.py#L120</t>
  </si>
  <si>
    <t>https://github.com/GusSand/Anubis/blob/dced3375debfbe06362d2da03f71ea80b29fb81b/api/anubis/ide/initialize.py#L132</t>
  </si>
  <si>
    <t>https://github.com/GusSand/Anubis/blob/dced3375debfbe06362d2da03f71ea80b29fb81b/api/anubis/ide/initialize.py#L139</t>
  </si>
  <si>
    <t>https://github.com/GusSand/Anubis/blob/dced3375debfbe06362d2da03f71ea80b29fb81b/api/anubis/ide/initialize.py#L144</t>
  </si>
  <si>
    <t>https://github.com/GusSand/Anubis/blob/dced3375debfbe06362d2da03f71ea80b29fb81b/api/anubis/ide/initialize.py#L146</t>
  </si>
  <si>
    <t>https://github.com/GusSand/Anubis/blob/dced3375debfbe06362d2da03f71ea80b29fb81b/api/anubis/ide/initialize.py#L157</t>
  </si>
  <si>
    <t>https://github.com/GusSand/Anubis/blob/dced3375debfbe06362d2da03f71ea80b29fb81b/api/anubis/ide/initialize.py#L166</t>
  </si>
  <si>
    <t>https://github.com/GusSand/Anubis/blob/dced3375debfbe06362d2da03f71ea80b29fb81b/api/anubis/ide/initialize.py#L169</t>
  </si>
  <si>
    <t>Anubis/api/anubis/ide/redirect.py</t>
  </si>
  <si>
    <t>redirect.py</t>
  </si>
  <si>
    <t>https://github.com/GusSand/Anubis/blob/dced3375debfbe06362d2da03f71ea80b29fb81b/api/anubis/ide/redirect.py#L6</t>
  </si>
  <si>
    <t>https://github.com/GusSand/Anubis/blob/dced3375debfbe06362d2da03f71ea80b29fb81b/api/anubis/ide/redirect.py#L19</t>
  </si>
  <si>
    <t>Anubis/api/anubis/ide/reap.py</t>
  </si>
  <si>
    <t>reap.py</t>
  </si>
  <si>
    <t>https://github.com/GusSand/Anubis/blob/dced3375debfbe06362d2da03f71ea80b29fb81b/api/anubis/ide/reap.py#L5</t>
  </si>
  <si>
    <t>Anubis/api/anubis/ide/conditions.py</t>
  </si>
  <si>
    <t>conditions.py</t>
  </si>
  <si>
    <t>https://github.com/GusSand/Anubis/blob/dced3375debfbe06362d2da03f71ea80b29fb81b/api/anubis/ide/conditions.py#L4</t>
  </si>
  <si>
    <t>https://github.com/GusSand/Anubis/blob/dced3375debfbe06362d2da03f71ea80b29fb81b/api/anubis/ide/conditions.py#L7</t>
  </si>
  <si>
    <t>Anubis/api/anubis/ide/poll.py</t>
  </si>
  <si>
    <t>poll.py</t>
  </si>
  <si>
    <t>https://github.com/GusSand/Anubis/blob/dced3375debfbe06362d2da03f71ea80b29fb81b/api/anubis/ide/poll.py#L6</t>
  </si>
  <si>
    <t>https://github.com/GusSand/Anubis/blob/dced3375debfbe06362d2da03f71ea80b29fb81b/api/anubis/ide/poll.py#L30</t>
  </si>
  <si>
    <t>https://github.com/GusSand/Anubis/blob/dced3375debfbe06362d2da03f71ea80b29fb81b/api/anubis/ide/poll.py#L43</t>
  </si>
  <si>
    <t>https://github.com/GusSand/Anubis/blob/dced3375debfbe06362d2da03f71ea80b29fb81b/api/anubis/ide/poll.py#L49</t>
  </si>
  <si>
    <t>https://github.com/GusSand/Anubis/blob/dced3375debfbe06362d2da03f71ea80b29fb81b/api/anubis/ide/poll.py#L53</t>
  </si>
  <si>
    <t>Anubis/api/anubis/ide/get.py</t>
  </si>
  <si>
    <t>get.py</t>
  </si>
  <si>
    <t>https://github.com/GusSand/Anubis/blob/dced3375debfbe06362d2da03f71ea80b29fb81b/api/anubis/ide/get.py#L26</t>
  </si>
  <si>
    <t>Anubis/api/anubis/lms/regrade.py</t>
  </si>
  <si>
    <t>regrade.py</t>
  </si>
  <si>
    <t>https://github.com/GusSand/Anubis/blob/dced3375debfbe06362d2da03f71ea80b29fb81b/api/anubis/lms/regrade.py#L28</t>
  </si>
  <si>
    <t>https://github.com/GusSand/Anubis/blob/dced3375debfbe06362d2da03f71ea80b29fb81b/api/anubis/lms/regrade.py#L31</t>
  </si>
  <si>
    <t>https://github.com/GusSand/Anubis/blob/dced3375debfbe06362d2da03f71ea80b29fb81b/api/anubis/lms/regrade.py#L35</t>
  </si>
  <si>
    <t>https://github.com/GusSand/Anubis/blob/dced3375debfbe06362d2da03f71ea80b29fb81b/api/anubis/lms/regrade.py#L39</t>
  </si>
  <si>
    <t>https://github.com/GusSand/Anubis/blob/dced3375debfbe06362d2da03f71ea80b29fb81b/api/anubis/lms/regrade.py#L43</t>
  </si>
  <si>
    <t>https://github.com/GusSand/Anubis/blob/dced3375debfbe06362d2da03f71ea80b29fb81b/api/anubis/lms/regrade.py#L47</t>
  </si>
  <si>
    <t>https://github.com/GusSand/Anubis/blob/dced3375debfbe06362d2da03f71ea80b29fb81b/api/anubis/lms/regrade.py#L54</t>
  </si>
  <si>
    <t>https://github.com/GusSand/Anubis/blob/dced3375debfbe06362d2da03f71ea80b29fb81b/api/anubis/lms/regrade.py#L60</t>
  </si>
  <si>
    <t>Anubis/api/anubis/lms/theia.py</t>
  </si>
  <si>
    <t>theia.py</t>
  </si>
  <si>
    <t>https://github.com/GusSand/Anubis/blob/dced3375debfbe06362d2da03f71ea80b29fb81b/api/anubis/lms/theia.py#L8</t>
  </si>
  <si>
    <t>Anubis/api/anubis/lms/webhook.py</t>
  </si>
  <si>
    <t>webhook.py</t>
  </si>
  <si>
    <t>https://github.com/GusSand/Anubis/blob/dced3375debfbe06362d2da03f71ea80b29fb81b/api/anubis/lms/webhook.py#L5</t>
  </si>
  <si>
    <t>https://github.com/GusSand/Anubis/blob/dced3375debfbe06362d2da03f71ea80b29fb81b/api/anubis/lms/webhook.py#L12</t>
  </si>
  <si>
    <t>https://github.com/GusSand/Anubis/blob/dced3375debfbe06362d2da03f71ea80b29fb81b/api/anubis/lms/webhook.py#L31</t>
  </si>
  <si>
    <t>https://github.com/GusSand/Anubis/blob/dced3375debfbe06362d2da03f71ea80b29fb81b/api/anubis/lms/webhook.py#L56</t>
  </si>
  <si>
    <t>https://github.com/GusSand/Anubis/blob/dced3375debfbe06362d2da03f71ea80b29fb81b/api/anubis/lms/webhook.py#L68</t>
  </si>
  <si>
    <t>https://github.com/GusSand/Anubis/blob/dced3375debfbe06362d2da03f71ea80b29fb81b/api/anubis/lms/webhook.py#L76</t>
  </si>
  <si>
    <t>https://github.com/GusSand/Anubis/blob/dced3375debfbe06362d2da03f71ea80b29fb81b/api/anubis/lms/webhook.py#L81</t>
  </si>
  <si>
    <t>https://github.com/GusSand/Anubis/blob/dced3375debfbe06362d2da03f71ea80b29fb81b/api/anubis/lms/webhook.py#L95</t>
  </si>
  <si>
    <t>Anubis/api/anubis/lms/questions.py</t>
  </si>
  <si>
    <t>questions.py</t>
  </si>
  <si>
    <t>https://github.com/GusSand/Anubis/blob/dced3375debfbe06362d2da03f71ea80b29fb81b/api/anubis/lms/questions.py#L25</t>
  </si>
  <si>
    <t>https://github.com/GusSand/Anubis/blob/dced3375debfbe06362d2da03f71ea80b29fb81b/api/anubis/lms/questions.py#L39</t>
  </si>
  <si>
    <t>https://github.com/GusSand/Anubis/blob/dced3375debfbe06362d2da03f71ea80b29fb81b/api/anubis/lms/questions.py#L42</t>
  </si>
  <si>
    <t>https://github.com/GusSand/Anubis/blob/dced3375debfbe06362d2da03f71ea80b29fb81b/api/anubis/lms/questions.py#L51</t>
  </si>
  <si>
    <t>https://github.com/GusSand/Anubis/blob/dced3375debfbe06362d2da03f71ea80b29fb81b/api/anubis/lms/questions.py#L61</t>
  </si>
  <si>
    <t>https://github.com/GusSand/Anubis/blob/dced3375debfbe06362d2da03f71ea80b29fb81b/api/anubis/lms/questions.py#L66</t>
  </si>
  <si>
    <t>https://github.com/GusSand/Anubis/blob/dced3375debfbe06362d2da03f71ea80b29fb81b/api/anubis/lms/questions.py#L69</t>
  </si>
  <si>
    <t>https://github.com/GusSand/Anubis/blob/dced3375debfbe06362d2da03f71ea80b29fb81b/api/anubis/lms/questions.py#L74</t>
  </si>
  <si>
    <t>https://github.com/GusSand/Anubis/blob/dced3375debfbe06362d2da03f71ea80b29fb81b/api/anubis/lms/questions.py#L77</t>
  </si>
  <si>
    <t>https://github.com/GusSand/Anubis/blob/dced3375debfbe06362d2da03f71ea80b29fb81b/api/anubis/lms/questions.py#L80</t>
  </si>
  <si>
    <t>https://github.com/GusSand/Anubis/blob/dced3375debfbe06362d2da03f71ea80b29fb81b/api/anubis/lms/questions.py#L86</t>
  </si>
  <si>
    <t>https://github.com/GusSand/Anubis/blob/dced3375debfbe06362d2da03f71ea80b29fb81b/api/anubis/lms/questions.py#L96</t>
  </si>
  <si>
    <t>https://github.com/GusSand/Anubis/blob/dced3375debfbe06362d2da03f71ea80b29fb81b/api/anubis/lms/questions.py#L99</t>
  </si>
  <si>
    <t>https://github.com/GusSand/Anubis/blob/dced3375debfbe06362d2da03f71ea80b29fb81b/api/anubis/lms/questions.py#L102</t>
  </si>
  <si>
    <t>https://github.com/GusSand/Anubis/blob/dced3375debfbe06362d2da03f71ea80b29fb81b/api/anubis/lms/questions.py#L105</t>
  </si>
  <si>
    <t>https://github.com/GusSand/Anubis/blob/dced3375debfbe06362d2da03f71ea80b29fb81b/api/anubis/lms/questions.py#L111</t>
  </si>
  <si>
    <t>https://github.com/GusSand/Anubis/blob/dced3375debfbe06362d2da03f71ea80b29fb81b/api/anubis/lms/questions.py#L120</t>
  </si>
  <si>
    <t>https://github.com/GusSand/Anubis/blob/dced3375debfbe06362d2da03f71ea80b29fb81b/api/anubis/lms/questions.py#L123</t>
  </si>
  <si>
    <t>https://github.com/GusSand/Anubis/blob/dced3375debfbe06362d2da03f71ea80b29fb81b/api/anubis/lms/questions.py#L130</t>
  </si>
  <si>
    <t>https://github.com/GusSand/Anubis/blob/dced3375debfbe06362d2da03f71ea80b29fb81b/api/anubis/lms/questions.py#L135</t>
  </si>
  <si>
    <t>https://github.com/GusSand/Anubis/blob/dced3375debfbe06362d2da03f71ea80b29fb81b/api/anubis/lms/questions.py#L138</t>
  </si>
  <si>
    <t>https://github.com/GusSand/Anubis/blob/dced3375debfbe06362d2da03f71ea80b29fb81b/api/anubis/lms/questions.py#L147</t>
  </si>
  <si>
    <t>https://github.com/GusSand/Anubis/blob/dced3375debfbe06362d2da03f71ea80b29fb81b/api/anubis/lms/questions.py#L150</t>
  </si>
  <si>
    <t>https://github.com/GusSand/Anubis/blob/dced3375debfbe06362d2da03f71ea80b29fb81b/api/anubis/lms/questions.py#L157</t>
  </si>
  <si>
    <t>https://github.com/GusSand/Anubis/blob/dced3375debfbe06362d2da03f71ea80b29fb81b/api/anubis/lms/questions.py#L187</t>
  </si>
  <si>
    <t>https://github.com/GusSand/Anubis/blob/dced3375debfbe06362d2da03f71ea80b29fb81b/api/anubis/lms/questions.py#L192</t>
  </si>
  <si>
    <t>https://github.com/GusSand/Anubis/blob/dced3375debfbe06362d2da03f71ea80b29fb81b/api/anubis/lms/questions.py#L204</t>
  </si>
  <si>
    <t>https://github.com/GusSand/Anubis/blob/dced3375debfbe06362d2da03f71ea80b29fb81b/api/anubis/lms/questions.py#L211</t>
  </si>
  <si>
    <t>https://github.com/GusSand/Anubis/blob/dced3375debfbe06362d2da03f71ea80b29fb81b/api/anubis/lms/questions.py#L215</t>
  </si>
  <si>
    <t>https://github.com/GusSand/Anubis/blob/dced3375debfbe06362d2da03f71ea80b29fb81b/api/anubis/lms/questions.py#L225</t>
  </si>
  <si>
    <t>https://github.com/GusSand/Anubis/blob/dced3375debfbe06362d2da03f71ea80b29fb81b/api/anubis/lms/questions.py#L232</t>
  </si>
  <si>
    <t>https://github.com/GusSand/Anubis/blob/dced3375debfbe06362d2da03f71ea80b29fb81b/api/anubis/lms/questions.py#L248</t>
  </si>
  <si>
    <t>https://github.com/GusSand/Anubis/blob/dced3375debfbe06362d2da03f71ea80b29fb81b/api/anubis/lms/questions.py#L251</t>
  </si>
  <si>
    <t>https://github.com/GusSand/Anubis/blob/dced3375debfbe06362d2da03f71ea80b29fb81b/api/anubis/lms/questions.py#L254</t>
  </si>
  <si>
    <t>https://github.com/GusSand/Anubis/blob/dced3375debfbe06362d2da03f71ea80b29fb81b/api/anubis/lms/questions.py#L257</t>
  </si>
  <si>
    <t>https://github.com/GusSand/Anubis/blob/dced3375debfbe06362d2da03f71ea80b29fb81b/api/anubis/lms/questions.py#L269</t>
  </si>
  <si>
    <t>https://github.com/GusSand/Anubis/blob/dced3375debfbe06362d2da03f71ea80b29fb81b/api/anubis/lms/questions.py#L282</t>
  </si>
  <si>
    <t>https://github.com/GusSand/Anubis/blob/dced3375debfbe06362d2da03f71ea80b29fb81b/api/anubis/lms/questions.py#L299</t>
  </si>
  <si>
    <t>https://github.com/GusSand/Anubis/blob/dced3375debfbe06362d2da03f71ea80b29fb81b/api/anubis/lms/questions.py#L305</t>
  </si>
  <si>
    <t>https://github.com/GusSand/Anubis/blob/dced3375debfbe06362d2da03f71ea80b29fb81b/api/anubis/lms/questions.py#L309</t>
  </si>
  <si>
    <t>https://github.com/GusSand/Anubis/blob/dced3375debfbe06362d2da03f71ea80b29fb81b/api/anubis/lms/questions.py#L324</t>
  </si>
  <si>
    <t>https://github.com/GusSand/Anubis/blob/dced3375debfbe06362d2da03f71ea80b29fb81b/api/anubis/lms/questions.py#L331</t>
  </si>
  <si>
    <t>https://github.com/GusSand/Anubis/blob/dced3375debfbe06362d2da03f71ea80b29fb81b/api/anubis/lms/questions.py#L334</t>
  </si>
  <si>
    <t>https://github.com/GusSand/Anubis/blob/dced3375debfbe06362d2da03f71ea80b29fb81b/api/anubis/lms/questions.py#L338</t>
  </si>
  <si>
    <t>https://github.com/GusSand/Anubis/blob/dced3375debfbe06362d2da03f71ea80b29fb81b/api/anubis/lms/questions.py#L343</t>
  </si>
  <si>
    <t>https://github.com/GusSand/Anubis/blob/dced3375debfbe06362d2da03f71ea80b29fb81b/api/anubis/lms/questions.py#L346</t>
  </si>
  <si>
    <t>https://github.com/GusSand/Anubis/blob/dced3375debfbe06362d2da03f71ea80b29fb81b/api/anubis/lms/questions.py#L349</t>
  </si>
  <si>
    <t>https://github.com/GusSand/Anubis/blob/dced3375debfbe06362d2da03f71ea80b29fb81b/api/anubis/lms/questions.py#L352</t>
  </si>
  <si>
    <t>https://github.com/GusSand/Anubis/blob/dced3375debfbe06362d2da03f71ea80b29fb81b/api/anubis/lms/questions.py#L355</t>
  </si>
  <si>
    <t>https://github.com/GusSand/Anubis/blob/dced3375debfbe06362d2da03f71ea80b29fb81b/api/anubis/lms/questions.py#L358</t>
  </si>
  <si>
    <t>https://github.com/GusSand/Anubis/blob/dced3375debfbe06362d2da03f71ea80b29fb81b/api/anubis/lms/questions.py#L361</t>
  </si>
  <si>
    <t>https://github.com/GusSand/Anubis/blob/dced3375debfbe06362d2da03f71ea80b29fb81b/api/anubis/lms/questions.py#L363</t>
  </si>
  <si>
    <t>https://github.com/GusSand/Anubis/blob/dced3375debfbe06362d2da03f71ea80b29fb81b/api/anubis/lms/questions.py#L371</t>
  </si>
  <si>
    <t>https://github.com/GusSand/Anubis/blob/dced3375debfbe06362d2da03f71ea80b29fb81b/api/anubis/lms/questions.py#L376</t>
  </si>
  <si>
    <t>https://github.com/GusSand/Anubis/blob/dced3375debfbe06362d2da03f71ea80b29fb81b/api/anubis/lms/questions.py#L379</t>
  </si>
  <si>
    <t>https://github.com/GusSand/Anubis/blob/dced3375debfbe06362d2da03f71ea80b29fb81b/api/anubis/lms/questions.py#L382</t>
  </si>
  <si>
    <t>https://github.com/GusSand/Anubis/blob/dced3375debfbe06362d2da03f71ea80b29fb81b/api/anubis/lms/questions.py#L385</t>
  </si>
  <si>
    <t>https://github.com/GusSand/Anubis/blob/dced3375debfbe06362d2da03f71ea80b29fb81b/api/anubis/lms/questions.py#L388</t>
  </si>
  <si>
    <t>https://github.com/GusSand/Anubis/blob/dced3375debfbe06362d2da03f71ea80b29fb81b/api/anubis/lms/questions.py#L394</t>
  </si>
  <si>
    <t>https://github.com/GusSand/Anubis/blob/dced3375debfbe06362d2da03f71ea80b29fb81b/api/anubis/lms/questions.py#L400</t>
  </si>
  <si>
    <t>https://github.com/GusSand/Anubis/blob/dced3375debfbe06362d2da03f71ea80b29fb81b/api/anubis/lms/questions.py#L404</t>
  </si>
  <si>
    <t>https://github.com/GusSand/Anubis/blob/dced3375debfbe06362d2da03f71ea80b29fb81b/api/anubis/lms/questions.py#L408</t>
  </si>
  <si>
    <t>https://github.com/GusSand/Anubis/blob/dced3375debfbe06362d2da03f71ea80b29fb81b/api/anubis/lms/questions.py#L415</t>
  </si>
  <si>
    <t>https://github.com/GusSand/Anubis/blob/dced3375debfbe06362d2da03f71ea80b29fb81b/api/anubis/lms/questions.py#L426</t>
  </si>
  <si>
    <t>https://github.com/GusSand/Anubis/blob/dced3375debfbe06362d2da03f71ea80b29fb81b/api/anubis/lms/questions.py#L432</t>
  </si>
  <si>
    <t>https://github.com/GusSand/Anubis/blob/dced3375debfbe06362d2da03f71ea80b29fb81b/api/anubis/lms/questions.py#L440</t>
  </si>
  <si>
    <t>https://github.com/GusSand/Anubis/blob/dced3375debfbe06362d2da03f71ea80b29fb81b/api/anubis/lms/questions.py#L443</t>
  </si>
  <si>
    <t>https://github.com/GusSand/Anubis/blob/dced3375debfbe06362d2da03f71ea80b29fb81b/api/anubis/lms/questions.py#L450</t>
  </si>
  <si>
    <t>https://github.com/GusSand/Anubis/blob/dced3375debfbe06362d2da03f71ea80b29fb81b/api/anubis/lms/questions.py#L462</t>
  </si>
  <si>
    <t>https://github.com/GusSand/Anubis/blob/dced3375debfbe06362d2da03f71ea80b29fb81b/api/anubis/lms/questions.py#L466</t>
  </si>
  <si>
    <t>https://github.com/GusSand/Anubis/blob/dced3375debfbe06362d2da03f71ea80b29fb81b/api/anubis/lms/questions.py#L471</t>
  </si>
  <si>
    <t>https://github.com/GusSand/Anubis/blob/dced3375debfbe06362d2da03f71ea80b29fb81b/api/anubis/lms/questions.py#L475</t>
  </si>
  <si>
    <t>https://github.com/GusSand/Anubis/blob/dced3375debfbe06362d2da03f71ea80b29fb81b/api/anubis/lms/questions.py#L478</t>
  </si>
  <si>
    <t>https://github.com/GusSand/Anubis/blob/dced3375debfbe06362d2da03f71ea80b29fb81b/api/anubis/lms/questions.py#L481</t>
  </si>
  <si>
    <t>https://github.com/GusSand/Anubis/blob/dced3375debfbe06362d2da03f71ea80b29fb81b/api/anubis/lms/questions.py#L484</t>
  </si>
  <si>
    <t>https://github.com/GusSand/Anubis/blob/dced3375debfbe06362d2da03f71ea80b29fb81b/api/anubis/lms/questions.py#L490</t>
  </si>
  <si>
    <t>https://github.com/GusSand/Anubis/blob/dced3375debfbe06362d2da03f71ea80b29fb81b/api/anubis/lms/questions.py#L493</t>
  </si>
  <si>
    <t>https://github.com/GusSand/Anubis/blob/dced3375debfbe06362d2da03f71ea80b29fb81b/api/anubis/lms/questions.py#L496</t>
  </si>
  <si>
    <t>https://github.com/GusSand/Anubis/blob/dced3375debfbe06362d2da03f71ea80b29fb81b/api/anubis/lms/questions.py#L502</t>
  </si>
  <si>
    <t>https://github.com/GusSand/Anubis/blob/dced3375debfbe06362d2da03f71ea80b29fb81b/api/anubis/lms/questions.py#L505</t>
  </si>
  <si>
    <t>https://github.com/GusSand/Anubis/blob/dced3375debfbe06362d2da03f71ea80b29fb81b/api/anubis/lms/questions.py#L508</t>
  </si>
  <si>
    <t>https://github.com/GusSand/Anubis/blob/dced3375debfbe06362d2da03f71ea80b29fb81b/api/anubis/lms/questions.py#L520</t>
  </si>
  <si>
    <t>https://github.com/GusSand/Anubis/blob/dced3375debfbe06362d2da03f71ea80b29fb81b/api/anubis/lms/questions.py#L523</t>
  </si>
  <si>
    <t>https://github.com/GusSand/Anubis/blob/dced3375debfbe06362d2da03f71ea80b29fb81b/api/anubis/lms/questions.py#L526</t>
  </si>
  <si>
    <t>https://github.com/GusSand/Anubis/blob/dced3375debfbe06362d2da03f71ea80b29fb81b/api/anubis/lms/questions.py#L531</t>
  </si>
  <si>
    <t>https://github.com/GusSand/Anubis/blob/dced3375debfbe06362d2da03f71ea80b29fb81b/api/anubis/lms/questions.py#L541</t>
  </si>
  <si>
    <t>https://github.com/GusSand/Anubis/blob/dced3375debfbe06362d2da03f71ea80b29fb81b/api/anubis/lms/questions.py#L544</t>
  </si>
  <si>
    <t>https://github.com/GusSand/Anubis/blob/dced3375debfbe06362d2da03f71ea80b29fb81b/api/anubis/lms/questions.py#L552</t>
  </si>
  <si>
    <t>https://github.com/GusSand/Anubis/blob/dced3375debfbe06362d2da03f71ea80b29fb81b/api/anubis/lms/questions.py#L554</t>
  </si>
  <si>
    <t>Anubis/api/anubis/lms/lectures.py</t>
  </si>
  <si>
    <t>lectures.py</t>
  </si>
  <si>
    <t>https://github.com/GusSand/Anubis/blob/dced3375debfbe06362d2da03f71ea80b29fb81b/api/anubis/lms/lectures.py#L7</t>
  </si>
  <si>
    <t>https://github.com/GusSand/Anubis/blob/dced3375debfbe06362d2da03f71ea80b29fb81b/api/anubis/lms/lectures.py#L10</t>
  </si>
  <si>
    <t>https://github.com/GusSand/Anubis/blob/dced3375debfbe06362d2da03f71ea80b29fb81b/api/anubis/lms/lectures.py#L14</t>
  </si>
  <si>
    <t>https://github.com/GusSand/Anubis/blob/dced3375debfbe06362d2da03f71ea80b29fb81b/api/anubis/lms/lectures.py#L17</t>
  </si>
  <si>
    <t>https://github.com/GusSand/Anubis/blob/dced3375debfbe06362d2da03f71ea80b29fb81b/api/anubis/lms/lectures.py#L28</t>
  </si>
  <si>
    <t>Anubis/api/anubis/lms/assignments.py</t>
  </si>
  <si>
    <t>assignments.py</t>
  </si>
  <si>
    <t>https://github.com/GusSand/Anubis/blob/dced3375debfbe06362d2da03f71ea80b29fb81b/api/anubis/lms/assignments.py#L51</t>
  </si>
  <si>
    <t>https://github.com/GusSand/Anubis/blob/dced3375debfbe06362d2da03f71ea80b29fb81b/api/anubis/lms/assignments.py#L62</t>
  </si>
  <si>
    <t>https://github.com/GusSand/Anubis/blob/dced3375debfbe06362d2da03f71ea80b29fb81b/api/anubis/lms/assignments.py#L66</t>
  </si>
  <si>
    <t>https://github.com/GusSand/Anubis/blob/dced3375debfbe06362d2da03f71ea80b29fb81b/api/anubis/lms/assignments.py#L71</t>
  </si>
  <si>
    <t>https://github.com/GusSand/Anubis/blob/dced3375debfbe06362d2da03f71ea80b29fb81b/api/anubis/lms/assignments.py#L76</t>
  </si>
  <si>
    <t>https://github.com/GusSand/Anubis/blob/dced3375debfbe06362d2da03f71ea80b29fb81b/api/anubis/lms/assignments.py#L82</t>
  </si>
  <si>
    <t>https://github.com/GusSand/Anubis/blob/dced3375debfbe06362d2da03f71ea80b29fb81b/api/anubis/lms/assignments.py#L86</t>
  </si>
  <si>
    <t>https://github.com/GusSand/Anubis/blob/dced3375debfbe06362d2da03f71ea80b29fb81b/api/anubis/lms/assignments.py#L104</t>
  </si>
  <si>
    <t>https://github.com/GusSand/Anubis/blob/dced3375debfbe06362d2da03f71ea80b29fb81b/api/anubis/lms/assignments.py#L108</t>
  </si>
  <si>
    <t>https://github.com/GusSand/Anubis/blob/dced3375debfbe06362d2da03f71ea80b29fb81b/api/anubis/lms/assignments.py#L119</t>
  </si>
  <si>
    <t>https://github.com/GusSand/Anubis/blob/dced3375debfbe06362d2da03f71ea80b29fb81b/api/anubis/lms/assignments.py#L128</t>
  </si>
  <si>
    <t>https://github.com/GusSand/Anubis/blob/dced3375debfbe06362d2da03f71ea80b29fb81b/api/anubis/lms/assignments.py#L137</t>
  </si>
  <si>
    <t>https://github.com/GusSand/Anubis/blob/dced3375debfbe06362d2da03f71ea80b29fb81b/api/anubis/lms/assignments.py#L145</t>
  </si>
  <si>
    <t>https://github.com/GusSand/Anubis/blob/dced3375debfbe06362d2da03f71ea80b29fb81b/api/anubis/lms/assignments.py#L151</t>
  </si>
  <si>
    <t>https://github.com/GusSand/Anubis/blob/dced3375debfbe06362d2da03f71ea80b29fb81b/api/anubis/lms/assignments.py#L158</t>
  </si>
  <si>
    <t>https://github.com/GusSand/Anubis/blob/dced3375debfbe06362d2da03f71ea80b29fb81b/api/anubis/lms/assignments.py#L165</t>
  </si>
  <si>
    <t>https://github.com/GusSand/Anubis/blob/dced3375debfbe06362d2da03f71ea80b29fb81b/api/anubis/lms/assignments.py#L168</t>
  </si>
  <si>
    <t>https://github.com/GusSand/Anubis/blob/dced3375debfbe06362d2da03f71ea80b29fb81b/api/anubis/lms/assignments.py#L180</t>
  </si>
  <si>
    <t>https://github.com/GusSand/Anubis/blob/dced3375debfbe06362d2da03f71ea80b29fb81b/api/anubis/lms/assignments.py#L188</t>
  </si>
  <si>
    <t>https://github.com/GusSand/Anubis/blob/dced3375debfbe06362d2da03f71ea80b29fb81b/api/anubis/lms/assignments.py#L200</t>
  </si>
  <si>
    <t>https://github.com/GusSand/Anubis/blob/dced3375debfbe06362d2da03f71ea80b29fb81b/api/anubis/lms/assignments.py#L213</t>
  </si>
  <si>
    <t>https://github.com/GusSand/Anubis/blob/dced3375debfbe06362d2da03f71ea80b29fb81b/api/anubis/lms/assignments.py#L227</t>
  </si>
  <si>
    <t>https://github.com/GusSand/Anubis/blob/dced3375debfbe06362d2da03f71ea80b29fb81b/api/anubis/lms/assignments.py#L233</t>
  </si>
  <si>
    <t>https://github.com/GusSand/Anubis/blob/dced3375debfbe06362d2da03f71ea80b29fb81b/api/anubis/lms/assignments.py#L240</t>
  </si>
  <si>
    <t>https://github.com/GusSand/Anubis/blob/dced3375debfbe06362d2da03f71ea80b29fb81b/api/anubis/lms/assignments.py#L246</t>
  </si>
  <si>
    <t>https://github.com/GusSand/Anubis/blob/dced3375debfbe06362d2da03f71ea80b29fb81b/api/anubis/lms/assignments.py#L252</t>
  </si>
  <si>
    <t>https://github.com/GusSand/Anubis/blob/dced3375debfbe06362d2da03f71ea80b29fb81b/api/anubis/lms/assignments.py#L258</t>
  </si>
  <si>
    <t>https://github.com/GusSand/Anubis/blob/dced3375debfbe06362d2da03f71ea80b29fb81b/api/anubis/lms/assignments.py#L268</t>
  </si>
  <si>
    <t>https://github.com/GusSand/Anubis/blob/dced3375debfbe06362d2da03f71ea80b29fb81b/api/anubis/lms/assignments.py#L276</t>
  </si>
  <si>
    <t>https://github.com/GusSand/Anubis/blob/dced3375debfbe06362d2da03f71ea80b29fb81b/api/anubis/lms/assignments.py#L286</t>
  </si>
  <si>
    <t>https://github.com/GusSand/Anubis/blob/dced3375debfbe06362d2da03f71ea80b29fb81b/api/anubis/lms/assignments.py#L295</t>
  </si>
  <si>
    <t>https://github.com/GusSand/Anubis/blob/dced3375debfbe06362d2da03f71ea80b29fb81b/api/anubis/lms/assignments.py#L310</t>
  </si>
  <si>
    <t>https://github.com/GusSand/Anubis/blob/dced3375debfbe06362d2da03f71ea80b29fb81b/api/anubis/lms/assignments.py#L312</t>
  </si>
  <si>
    <t>https://github.com/GusSand/Anubis/blob/dced3375debfbe06362d2da03f71ea80b29fb81b/api/anubis/lms/assignments.py#L332</t>
  </si>
  <si>
    <t>https://github.com/GusSand/Anubis/blob/dced3375debfbe06362d2da03f71ea80b29fb81b/api/anubis/lms/assignments.py#L361</t>
  </si>
  <si>
    <t>https://github.com/GusSand/Anubis/blob/dced3375debfbe06362d2da03f71ea80b29fb81b/api/anubis/lms/assignments.py#L382</t>
  </si>
  <si>
    <t>https://github.com/GusSand/Anubis/blob/dced3375debfbe06362d2da03f71ea80b29fb81b/api/anubis/lms/assignments.py#L408</t>
  </si>
  <si>
    <t>https://github.com/GusSand/Anubis/blob/dced3375debfbe06362d2da03f71ea80b29fb81b/api/anubis/lms/assignments.py#L418</t>
  </si>
  <si>
    <t>https://github.com/GusSand/Anubis/blob/dced3375debfbe06362d2da03f71ea80b29fb81b/api/anubis/lms/assignments.py#L421</t>
  </si>
  <si>
    <t>https://github.com/GusSand/Anubis/blob/dced3375debfbe06362d2da03f71ea80b29fb81b/api/anubis/lms/assignments.py#L424</t>
  </si>
  <si>
    <t>https://github.com/GusSand/Anubis/blob/dced3375debfbe06362d2da03f71ea80b29fb81b/api/anubis/lms/assignments.py#L431</t>
  </si>
  <si>
    <t>https://github.com/GusSand/Anubis/blob/dced3375debfbe06362d2da03f71ea80b29fb81b/api/anubis/lms/assignments.py#L437</t>
  </si>
  <si>
    <t>https://github.com/GusSand/Anubis/blob/dced3375debfbe06362d2da03f71ea80b29fb81b/api/anubis/lms/assignments.py#L440</t>
  </si>
  <si>
    <t>https://github.com/GusSand/Anubis/blob/dced3375debfbe06362d2da03f71ea80b29fb81b/api/anubis/lms/assignments.py#L443</t>
  </si>
  <si>
    <t>https://github.com/GusSand/Anubis/blob/dced3375debfbe06362d2da03f71ea80b29fb81b/api/anubis/lms/assignments.py#L449</t>
  </si>
  <si>
    <t>https://github.com/GusSand/Anubis/blob/dced3375debfbe06362d2da03f71ea80b29fb81b/api/anubis/lms/assignments.py#L452</t>
  </si>
  <si>
    <t>https://github.com/GusSand/Anubis/blob/dced3375debfbe06362d2da03f71ea80b29fb81b/api/anubis/lms/assignments.py#L464</t>
  </si>
  <si>
    <t>https://github.com/GusSand/Anubis/blob/dced3375debfbe06362d2da03f71ea80b29fb81b/api/anubis/lms/assignments.py#L480</t>
  </si>
  <si>
    <t>https://github.com/GusSand/Anubis/blob/dced3375debfbe06362d2da03f71ea80b29fb81b/api/anubis/lms/assignments.py#L483</t>
  </si>
  <si>
    <t>https://github.com/GusSand/Anubis/blob/dced3375debfbe06362d2da03f71ea80b29fb81b/api/anubis/lms/assignments.py#L494</t>
  </si>
  <si>
    <t>https://github.com/GusSand/Anubis/blob/dced3375debfbe06362d2da03f71ea80b29fb81b/api/anubis/lms/assignments.py#L497</t>
  </si>
  <si>
    <t>https://github.com/GusSand/Anubis/blob/dced3375debfbe06362d2da03f71ea80b29fb81b/api/anubis/lms/assignments.py#L500</t>
  </si>
  <si>
    <t>https://github.com/GusSand/Anubis/blob/dced3375debfbe06362d2da03f71ea80b29fb81b/api/anubis/lms/assignments.py#L504</t>
  </si>
  <si>
    <t>https://github.com/GusSand/Anubis/blob/dced3375debfbe06362d2da03f71ea80b29fb81b/api/anubis/lms/assignments.py#L521</t>
  </si>
  <si>
    <t>https://github.com/GusSand/Anubis/blob/dced3375debfbe06362d2da03f71ea80b29fb81b/api/anubis/lms/assignments.py#L528</t>
  </si>
  <si>
    <t>https://github.com/GusSand/Anubis/blob/dced3375debfbe06362d2da03f71ea80b29fb81b/api/anubis/lms/assignments.py#L533</t>
  </si>
  <si>
    <t>https://github.com/GusSand/Anubis/blob/dced3375debfbe06362d2da03f71ea80b29fb81b/api/anubis/lms/assignments.py#L537</t>
  </si>
  <si>
    <t>https://github.com/GusSand/Anubis/blob/dced3375debfbe06362d2da03f71ea80b29fb81b/api/anubis/lms/assignments.py#L540</t>
  </si>
  <si>
    <t>https://github.com/GusSand/Anubis/blob/dced3375debfbe06362d2da03f71ea80b29fb81b/api/anubis/lms/assignments.py#L545</t>
  </si>
  <si>
    <t>Anubis/api/anubis/lms/courses.py</t>
  </si>
  <si>
    <t>courses.py</t>
  </si>
  <si>
    <t>https://github.com/GusSand/Anubis/blob/dced3375debfbe06362d2da03f71ea80b29fb81b/api/anubis/lms/courses.py#L36</t>
  </si>
  <si>
    <t>https://github.com/GusSand/Anubis/blob/dced3375debfbe06362d2da03f71ea80b29fb81b/api/anubis/lms/courses.py#L58</t>
  </si>
  <si>
    <t>https://github.com/GusSand/Anubis/blob/dced3375debfbe06362d2da03f71ea80b29fb81b/api/anubis/lms/courses.py#L65</t>
  </si>
  <si>
    <t>https://github.com/GusSand/Anubis/blob/dced3375debfbe06362d2da03f71ea80b29fb81b/api/anubis/lms/courses.py#L68</t>
  </si>
  <si>
    <t>https://github.com/GusSand/Anubis/blob/dced3375debfbe06362d2da03f71ea80b29fb81b/api/anubis/lms/courses.py#L72</t>
  </si>
  <si>
    <t>https://github.com/GusSand/Anubis/blob/dced3375debfbe06362d2da03f71ea80b29fb81b/api/anubis/lms/courses.py#L78</t>
  </si>
  <si>
    <t>https://github.com/GusSand/Anubis/blob/dced3375debfbe06362d2da03f71ea80b29fb81b/api/anubis/lms/courses.py#L83</t>
  </si>
  <si>
    <t>https://github.com/GusSand/Anubis/blob/dced3375debfbe06362d2da03f71ea80b29fb81b/api/anubis/lms/courses.py#L86</t>
  </si>
  <si>
    <t>https://github.com/GusSand/Anubis/blob/dced3375debfbe06362d2da03f71ea80b29fb81b/api/anubis/lms/courses.py#L90</t>
  </si>
  <si>
    <t>https://github.com/GusSand/Anubis/blob/dced3375debfbe06362d2da03f71ea80b29fb81b/api/anubis/lms/courses.py#L97</t>
  </si>
  <si>
    <t>https://github.com/GusSand/Anubis/blob/dced3375debfbe06362d2da03f71ea80b29fb81b/api/anubis/lms/courses.py#L102</t>
  </si>
  <si>
    <t>https://github.com/GusSand/Anubis/blob/dced3375debfbe06362d2da03f71ea80b29fb81b/api/anubis/lms/courses.py#L105</t>
  </si>
  <si>
    <t>https://github.com/GusSand/Anubis/blob/dced3375debfbe06362d2da03f71ea80b29fb81b/api/anubis/lms/courses.py#L110</t>
  </si>
  <si>
    <t>https://github.com/GusSand/Anubis/blob/dced3375debfbe06362d2da03f71ea80b29fb81b/api/anubis/lms/courses.py#L115</t>
  </si>
  <si>
    <t>https://github.com/GusSand/Anubis/blob/dced3375debfbe06362d2da03f71ea80b29fb81b/api/anubis/lms/courses.py#L120</t>
  </si>
  <si>
    <t>https://github.com/GusSand/Anubis/blob/dced3375debfbe06362d2da03f71ea80b29fb81b/api/anubis/lms/courses.py#L130</t>
  </si>
  <si>
    <t>https://github.com/GusSand/Anubis/blob/dced3375debfbe06362d2da03f71ea80b29fb81b/api/anubis/lms/courses.py#L136</t>
  </si>
  <si>
    <t>https://github.com/GusSand/Anubis/blob/dced3375debfbe06362d2da03f71ea80b29fb81b/api/anubis/lms/courses.py#L140</t>
  </si>
  <si>
    <t>https://github.com/GusSand/Anubis/blob/dced3375debfbe06362d2da03f71ea80b29fb81b/api/anubis/lms/courses.py#L146</t>
  </si>
  <si>
    <t>https://github.com/GusSand/Anubis/blob/dced3375debfbe06362d2da03f71ea80b29fb81b/api/anubis/lms/courses.py#L151</t>
  </si>
  <si>
    <t>https://github.com/GusSand/Anubis/blob/dced3375debfbe06362d2da03f71ea80b29fb81b/api/anubis/lms/courses.py#L161</t>
  </si>
  <si>
    <t>https://github.com/GusSand/Anubis/blob/dced3375debfbe06362d2da03f71ea80b29fb81b/api/anubis/lms/courses.py#L167</t>
  </si>
  <si>
    <t>https://github.com/GusSand/Anubis/blob/dced3375debfbe06362d2da03f71ea80b29fb81b/api/anubis/lms/courses.py#L171</t>
  </si>
  <si>
    <t>https://github.com/GusSand/Anubis/blob/dced3375debfbe06362d2da03f71ea80b29fb81b/api/anubis/lms/courses.py#L180</t>
  </si>
  <si>
    <t>https://github.com/GusSand/Anubis/blob/dced3375debfbe06362d2da03f71ea80b29fb81b/api/anubis/lms/courses.py#L193</t>
  </si>
  <si>
    <t>https://github.com/GusSand/Anubis/blob/dced3375debfbe06362d2da03f71ea80b29fb81b/api/anubis/lms/courses.py#L210</t>
  </si>
  <si>
    <t>https://github.com/GusSand/Anubis/blob/dced3375debfbe06362d2da03f71ea80b29fb81b/api/anubis/lms/courses.py#L227</t>
  </si>
  <si>
    <t>https://github.com/GusSand/Anubis/blob/dced3375debfbe06362d2da03f71ea80b29fb81b/api/anubis/lms/courses.py#L236</t>
  </si>
  <si>
    <t>https://github.com/GusSand/Anubis/blob/dced3375debfbe06362d2da03f71ea80b29fb81b/api/anubis/lms/courses.py#L241</t>
  </si>
  <si>
    <t>https://github.com/GusSand/Anubis/blob/dced3375debfbe06362d2da03f71ea80b29fb81b/api/anubis/lms/courses.py#L244</t>
  </si>
  <si>
    <t>https://github.com/GusSand/Anubis/blob/dced3375debfbe06362d2da03f71ea80b29fb81b/api/anubis/lms/courses.py#L247</t>
  </si>
  <si>
    <t>https://github.com/GusSand/Anubis/blob/dced3375debfbe06362d2da03f71ea80b29fb81b/api/anubis/lms/courses.py#L258</t>
  </si>
  <si>
    <t>https://github.com/GusSand/Anubis/blob/dced3375debfbe06362d2da03f71ea80b29fb81b/api/anubis/lms/courses.py#L262</t>
  </si>
  <si>
    <t>https://github.com/GusSand/Anubis/blob/dced3375debfbe06362d2da03f71ea80b29fb81b/api/anubis/lms/courses.py#L265</t>
  </si>
  <si>
    <t>https://github.com/GusSand/Anubis/blob/dced3375debfbe06362d2da03f71ea80b29fb81b/api/anubis/lms/courses.py#L269</t>
  </si>
  <si>
    <t>https://github.com/GusSand/Anubis/blob/dced3375debfbe06362d2da03f71ea80b29fb81b/api/anubis/lms/courses.py#L273</t>
  </si>
  <si>
    <t>https://github.com/GusSand/Anubis/blob/dced3375debfbe06362d2da03f71ea80b29fb81b/api/anubis/lms/courses.py#L287</t>
  </si>
  <si>
    <t>https://github.com/GusSand/Anubis/blob/dced3375debfbe06362d2da03f71ea80b29fb81b/api/anubis/lms/courses.py#L299</t>
  </si>
  <si>
    <t>https://github.com/GusSand/Anubis/blob/dced3375debfbe06362d2da03f71ea80b29fb81b/api/anubis/lms/courses.py#L305</t>
  </si>
  <si>
    <t>https://github.com/GusSand/Anubis/blob/dced3375debfbe06362d2da03f71ea80b29fb81b/api/anubis/lms/courses.py#L311</t>
  </si>
  <si>
    <t>https://github.com/GusSand/Anubis/blob/dced3375debfbe06362d2da03f71ea80b29fb81b/api/anubis/lms/courses.py#L317</t>
  </si>
  <si>
    <t>https://github.com/GusSand/Anubis/blob/dced3375debfbe06362d2da03f71ea80b29fb81b/api/anubis/lms/courses.py#L324</t>
  </si>
  <si>
    <t>https://github.com/GusSand/Anubis/blob/dced3375debfbe06362d2da03f71ea80b29fb81b/api/anubis/lms/courses.py#L327</t>
  </si>
  <si>
    <t>https://github.com/GusSand/Anubis/blob/dced3375debfbe06362d2da03f71ea80b29fb81b/api/anubis/lms/courses.py#L334</t>
  </si>
  <si>
    <t>https://github.com/GusSand/Anubis/blob/dced3375debfbe06362d2da03f71ea80b29fb81b/api/anubis/lms/courses.py#L341</t>
  </si>
  <si>
    <t>https://github.com/GusSand/Anubis/blob/dced3375debfbe06362d2da03f71ea80b29fb81b/api/anubis/lms/courses.py#L344</t>
  </si>
  <si>
    <t>https://github.com/GusSand/Anubis/blob/dced3375debfbe06362d2da03f71ea80b29fb81b/api/anubis/lms/courses.py#L347</t>
  </si>
  <si>
    <t>https://github.com/GusSand/Anubis/blob/dced3375debfbe06362d2da03f71ea80b29fb81b/api/anubis/lms/courses.py#L350</t>
  </si>
  <si>
    <t>https://github.com/GusSand/Anubis/blob/dced3375debfbe06362d2da03f71ea80b29fb81b/api/anubis/lms/courses.py#L356</t>
  </si>
  <si>
    <t>https://github.com/GusSand/Anubis/blob/dced3375debfbe06362d2da03f71ea80b29fb81b/api/anubis/lms/courses.py#L362</t>
  </si>
  <si>
    <t>https://github.com/GusSand/Anubis/blob/dced3375debfbe06362d2da03f71ea80b29fb81b/api/anubis/lms/courses.py#L370</t>
  </si>
  <si>
    <t>https://github.com/GusSand/Anubis/blob/dced3375debfbe06362d2da03f71ea80b29fb81b/api/anubis/lms/courses.py#L373</t>
  </si>
  <si>
    <t>https://github.com/GusSand/Anubis/blob/dced3375debfbe06362d2da03f71ea80b29fb81b/api/anubis/lms/courses.py#L376</t>
  </si>
  <si>
    <t>https://github.com/GusSand/Anubis/blob/dced3375debfbe06362d2da03f71ea80b29fb81b/api/anubis/lms/courses.py#L380</t>
  </si>
  <si>
    <t>https://github.com/GusSand/Anubis/blob/dced3375debfbe06362d2da03f71ea80b29fb81b/api/anubis/lms/courses.py#L385</t>
  </si>
  <si>
    <t>https://github.com/GusSand/Anubis/blob/dced3375debfbe06362d2da03f71ea80b29fb81b/api/anubis/lms/courses.py#L394</t>
  </si>
  <si>
    <t>https://github.com/GusSand/Anubis/blob/dced3375debfbe06362d2da03f71ea80b29fb81b/api/anubis/lms/courses.py#L409</t>
  </si>
  <si>
    <t>https://github.com/GusSand/Anubis/blob/dced3375debfbe06362d2da03f71ea80b29fb81b/api/anubis/lms/courses.py#L417</t>
  </si>
  <si>
    <t>https://github.com/GusSand/Anubis/blob/dced3375debfbe06362d2da03f71ea80b29fb81b/api/anubis/lms/courses.py#L419</t>
  </si>
  <si>
    <t>https://github.com/GusSand/Anubis/blob/dced3375debfbe06362d2da03f71ea80b29fb81b/api/anubis/lms/courses.py#L422</t>
  </si>
  <si>
    <t>https://github.com/GusSand/Anubis/blob/dced3375debfbe06362d2da03f71ea80b29fb81b/api/anubis/lms/courses.py#L425</t>
  </si>
  <si>
    <t>https://github.com/GusSand/Anubis/blob/dced3375debfbe06362d2da03f71ea80b29fb81b/api/anubis/lms/courses.py#L427</t>
  </si>
  <si>
    <t>https://github.com/GusSand/Anubis/blob/dced3375debfbe06362d2da03f71ea80b29fb81b/api/anubis/lms/courses.py#L436</t>
  </si>
  <si>
    <t>https://github.com/GusSand/Anubis/blob/dced3375debfbe06362d2da03f71ea80b29fb81b/api/anubis/lms/courses.py#L441</t>
  </si>
  <si>
    <t>https://github.com/GusSand/Anubis/blob/dced3375debfbe06362d2da03f71ea80b29fb81b/api/anubis/lms/courses.py#L445</t>
  </si>
  <si>
    <t>https://github.com/GusSand/Anubis/blob/dced3375debfbe06362d2da03f71ea80b29fb81b/api/anubis/lms/courses.py#L450</t>
  </si>
  <si>
    <t>https://github.com/GusSand/Anubis/blob/dced3375debfbe06362d2da03f71ea80b29fb81b/api/anubis/lms/courses.py#L457</t>
  </si>
  <si>
    <t>https://github.com/GusSand/Anubis/blob/dced3375debfbe06362d2da03f71ea80b29fb81b/api/anubis/lms/courses.py#L464</t>
  </si>
  <si>
    <t>https://github.com/GusSand/Anubis/blob/dced3375debfbe06362d2da03f71ea80b29fb81b/api/anubis/lms/courses.py#L471</t>
  </si>
  <si>
    <t>https://github.com/GusSand/Anubis/blob/dced3375debfbe06362d2da03f71ea80b29fb81b/api/anubis/lms/courses.py#L473</t>
  </si>
  <si>
    <t>https://github.com/GusSand/Anubis/blob/dced3375debfbe06362d2da03f71ea80b29fb81b/api/anubis/lms/courses.py#L489</t>
  </si>
  <si>
    <t>https://github.com/GusSand/Anubis/blob/dced3375debfbe06362d2da03f71ea80b29fb81b/api/anubis/lms/courses.py#L499</t>
  </si>
  <si>
    <t>https://github.com/GusSand/Anubis/blob/dced3375debfbe06362d2da03f71ea80b29fb81b/api/anubis/lms/courses.py#L502</t>
  </si>
  <si>
    <t>https://github.com/GusSand/Anubis/blob/dced3375debfbe06362d2da03f71ea80b29fb81b/api/anubis/lms/courses.py#L505</t>
  </si>
  <si>
    <t>https://github.com/GusSand/Anubis/blob/dced3375debfbe06362d2da03f71ea80b29fb81b/api/anubis/lms/courses.py#L513</t>
  </si>
  <si>
    <t>https://github.com/GusSand/Anubis/blob/dced3375debfbe06362d2da03f71ea80b29fb81b/api/anubis/lms/courses.py#L518</t>
  </si>
  <si>
    <t>https://github.com/GusSand/Anubis/blob/dced3375debfbe06362d2da03f71ea80b29fb81b/api/anubis/lms/courses.py#L533</t>
  </si>
  <si>
    <t>https://github.com/GusSand/Anubis/blob/dced3375debfbe06362d2da03f71ea80b29fb81b/api/anubis/lms/courses.py#L537</t>
  </si>
  <si>
    <t>https://github.com/GusSand/Anubis/blob/dced3375debfbe06362d2da03f71ea80b29fb81b/api/anubis/lms/courses.py#L541</t>
  </si>
  <si>
    <t>https://github.com/GusSand/Anubis/blob/dced3375debfbe06362d2da03f71ea80b29fb81b/api/anubis/lms/courses.py#L550</t>
  </si>
  <si>
    <t>https://github.com/GusSand/Anubis/blob/dced3375debfbe06362d2da03f71ea80b29fb81b/api/anubis/lms/courses.py#L559</t>
  </si>
  <si>
    <t>https://github.com/GusSand/Anubis/blob/dced3375debfbe06362d2da03f71ea80b29fb81b/api/anubis/lms/courses.py#L562</t>
  </si>
  <si>
    <t>https://github.com/GusSand/Anubis/blob/dced3375debfbe06362d2da03f71ea80b29fb81b/api/anubis/lms/courses.py#L566</t>
  </si>
  <si>
    <t>https://github.com/GusSand/Anubis/blob/dced3375debfbe06362d2da03f71ea80b29fb81b/api/anubis/lms/courses.py#L571</t>
  </si>
  <si>
    <t>https://github.com/GusSand/Anubis/blob/dced3375debfbe06362d2da03f71ea80b29fb81b/api/anubis/lms/courses.py#L576</t>
  </si>
  <si>
    <t>https://github.com/GusSand/Anubis/blob/dced3375debfbe06362d2da03f71ea80b29fb81b/api/anubis/lms/courses.py#L580</t>
  </si>
  <si>
    <t>https://github.com/GusSand/Anubis/blob/dced3375debfbe06362d2da03f71ea80b29fb81b/api/anubis/lms/courses.py#L583</t>
  </si>
  <si>
    <t>https://github.com/GusSand/Anubis/blob/dced3375debfbe06362d2da03f71ea80b29fb81b/api/anubis/lms/courses.py#L585</t>
  </si>
  <si>
    <t>https://github.com/GusSand/Anubis/blob/dced3375debfbe06362d2da03f71ea80b29fb81b/api/anubis/lms/courses.py#L588</t>
  </si>
  <si>
    <t>https://github.com/GusSand/Anubis/blob/dced3375debfbe06362d2da03f71ea80b29fb81b/api/anubis/lms/courses.py#L591</t>
  </si>
  <si>
    <t>https://github.com/GusSand/Anubis/blob/dced3375debfbe06362d2da03f71ea80b29fb81b/api/anubis/lms/courses.py#L594</t>
  </si>
  <si>
    <t>https://github.com/GusSand/Anubis/blob/dced3375debfbe06362d2da03f71ea80b29fb81b/api/anubis/lms/courses.py#L599</t>
  </si>
  <si>
    <t>https://github.com/GusSand/Anubis/blob/dced3375debfbe06362d2da03f71ea80b29fb81b/api/anubis/lms/courses.py#L613</t>
  </si>
  <si>
    <t>https://github.com/GusSand/Anubis/blob/dced3375debfbe06362d2da03f71ea80b29fb81b/api/anubis/lms/courses.py#L626</t>
  </si>
  <si>
    <t>https://github.com/GusSand/Anubis/blob/dced3375debfbe06362d2da03f71ea80b29fb81b/api/anubis/lms/courses.py#L639</t>
  </si>
  <si>
    <t>https://github.com/GusSand/Anubis/blob/dced3375debfbe06362d2da03f71ea80b29fb81b/api/anubis/lms/courses.py#L650</t>
  </si>
  <si>
    <t>https://github.com/GusSand/Anubis/blob/dced3375debfbe06362d2da03f71ea80b29fb81b/api/anubis/lms/courses.py#L658</t>
  </si>
  <si>
    <t>https://github.com/GusSand/Anubis/blob/dced3375debfbe06362d2da03f71ea80b29fb81b/api/anubis/lms/courses.py#L661</t>
  </si>
  <si>
    <t>https://github.com/GusSand/Anubis/blob/dced3375debfbe06362d2da03f71ea80b29fb81b/api/anubis/lms/courses.py#L668</t>
  </si>
  <si>
    <t>https://github.com/GusSand/Anubis/blob/dced3375debfbe06362d2da03f71ea80b29fb81b/api/anubis/lms/courses.py#L677</t>
  </si>
  <si>
    <t>https://github.com/GusSand/Anubis/blob/dced3375debfbe06362d2da03f71ea80b29fb81b/api/anubis/lms/courses.py#L680</t>
  </si>
  <si>
    <t>https://github.com/GusSand/Anubis/blob/dced3375debfbe06362d2da03f71ea80b29fb81b/api/anubis/lms/courses.py#L686</t>
  </si>
  <si>
    <t>https://github.com/GusSand/Anubis/blob/dced3375debfbe06362d2da03f71ea80b29fb81b/api/anubis/lms/courses.py#L689</t>
  </si>
  <si>
    <t>https://github.com/GusSand/Anubis/blob/dced3375debfbe06362d2da03f71ea80b29fb81b/api/anubis/lms/courses.py#L692</t>
  </si>
  <si>
    <t>https://github.com/GusSand/Anubis/blob/dced3375debfbe06362d2da03f71ea80b29fb81b/api/anubis/lms/courses.py#L695</t>
  </si>
  <si>
    <t>https://github.com/GusSand/Anubis/blob/dced3375debfbe06362d2da03f71ea80b29fb81b/api/anubis/lms/courses.py#L700</t>
  </si>
  <si>
    <t>https://github.com/GusSand/Anubis/blob/dced3375debfbe06362d2da03f71ea80b29fb81b/api/anubis/lms/courses.py#L703</t>
  </si>
  <si>
    <t>https://github.com/GusSand/Anubis/blob/dced3375debfbe06362d2da03f71ea80b29fb81b/api/anubis/lms/courses.py#L708</t>
  </si>
  <si>
    <t>Anubis/api/anubis/lms/submissions.py</t>
  </si>
  <si>
    <t>submissions.py</t>
  </si>
  <si>
    <t>https://github.com/GusSand/Anubis/blob/dced3375debfbe06362d2da03f71ea80b29fb81b/api/anubis/lms/submissions.py#L22</t>
  </si>
  <si>
    <t>https://github.com/GusSand/Anubis/blob/dced3375debfbe06362d2da03f71ea80b29fb81b/api/anubis/lms/submissions.py#L28</t>
  </si>
  <si>
    <t>https://github.com/GusSand/Anubis/blob/dced3375debfbe06362d2da03f71ea80b29fb81b/api/anubis/lms/submissions.py#L31</t>
  </si>
  <si>
    <t>https://github.com/GusSand/Anubis/blob/dced3375debfbe06362d2da03f71ea80b29fb81b/api/anubis/lms/submissions.py#L35</t>
  </si>
  <si>
    <t>https://github.com/GusSand/Anubis/blob/dced3375debfbe06362d2da03f71ea80b29fb81b/api/anubis/lms/submissions.py#L40</t>
  </si>
  <si>
    <t>https://github.com/GusSand/Anubis/blob/dced3375debfbe06362d2da03f71ea80b29fb81b/api/anubis/lms/submissions.py#L49</t>
  </si>
  <si>
    <t>https://github.com/GusSand/Anubis/blob/dced3375debfbe06362d2da03f71ea80b29fb81b/api/anubis/lms/submissions.py#L51</t>
  </si>
  <si>
    <t>https://github.com/GusSand/Anubis/blob/dced3375debfbe06362d2da03f71ea80b29fb81b/api/anubis/lms/submissions.py#L56</t>
  </si>
  <si>
    <t>https://github.com/GusSand/Anubis/blob/dced3375debfbe06362d2da03f71ea80b29fb81b/api/anubis/lms/submissions.py#L60</t>
  </si>
  <si>
    <t>https://github.com/GusSand/Anubis/blob/dced3375debfbe06362d2da03f71ea80b29fb81b/api/anubis/lms/submissions.py#L65</t>
  </si>
  <si>
    <t>https://github.com/GusSand/Anubis/blob/dced3375debfbe06362d2da03f71ea80b29fb81b/api/anubis/lms/submissions.py#L71</t>
  </si>
  <si>
    <t>https://github.com/GusSand/Anubis/blob/dced3375debfbe06362d2da03f71ea80b29fb81b/api/anubis/lms/submissions.py#L74</t>
  </si>
  <si>
    <t>https://github.com/GusSand/Anubis/blob/dced3375debfbe06362d2da03f71ea80b29fb81b/api/anubis/lms/submissions.py#L88</t>
  </si>
  <si>
    <t>https://github.com/GusSand/Anubis/blob/dced3375debfbe06362d2da03f71ea80b29fb81b/api/anubis/lms/submissions.py#L100</t>
  </si>
  <si>
    <t>https://github.com/GusSand/Anubis/blob/dced3375debfbe06362d2da03f71ea80b29fb81b/api/anubis/lms/submissions.py#L103</t>
  </si>
  <si>
    <t>https://github.com/GusSand/Anubis/blob/dced3375debfbe06362d2da03f71ea80b29fb81b/api/anubis/lms/submissions.py#L107</t>
  </si>
  <si>
    <t>https://github.com/GusSand/Anubis/blob/dced3375debfbe06362d2da03f71ea80b29fb81b/api/anubis/lms/submissions.py#L138</t>
  </si>
  <si>
    <t>https://github.com/GusSand/Anubis/blob/dced3375debfbe06362d2da03f71ea80b29fb81b/api/anubis/lms/submissions.py#L148</t>
  </si>
  <si>
    <t>https://github.com/GusSand/Anubis/blob/dced3375debfbe06362d2da03f71ea80b29fb81b/api/anubis/lms/submissions.py#L151</t>
  </si>
  <si>
    <t>https://github.com/GusSand/Anubis/blob/dced3375debfbe06362d2da03f71ea80b29fb81b/api/anubis/lms/submissions.py#L157</t>
  </si>
  <si>
    <t>https://github.com/GusSand/Anubis/blob/dced3375debfbe06362d2da03f71ea80b29fb81b/api/anubis/lms/submissions.py#L163</t>
  </si>
  <si>
    <t>https://github.com/GusSand/Anubis/blob/dced3375debfbe06362d2da03f71ea80b29fb81b/api/anubis/lms/submissions.py#L168</t>
  </si>
  <si>
    <t>https://github.com/GusSand/Anubis/blob/dced3375debfbe06362d2da03f71ea80b29fb81b/api/anubis/lms/submissions.py#L172</t>
  </si>
  <si>
    <t>https://github.com/GusSand/Anubis/blob/dced3375debfbe06362d2da03f71ea80b29fb81b/api/anubis/lms/submissions.py#L177</t>
  </si>
  <si>
    <t>https://github.com/GusSand/Anubis/blob/dced3375debfbe06362d2da03f71ea80b29fb81b/api/anubis/lms/submissions.py#L186</t>
  </si>
  <si>
    <t>https://github.com/GusSand/Anubis/blob/dced3375debfbe06362d2da03f71ea80b29fb81b/api/anubis/lms/submissions.py#L195</t>
  </si>
  <si>
    <t>https://github.com/GusSand/Anubis/blob/dced3375debfbe06362d2da03f71ea80b29fb81b/api/anubis/lms/submissions.py#L200</t>
  </si>
  <si>
    <t>https://github.com/GusSand/Anubis/blob/dced3375debfbe06362d2da03f71ea80b29fb81b/api/anubis/lms/submissions.py#L208</t>
  </si>
  <si>
    <t>https://github.com/GusSand/Anubis/blob/dced3375debfbe06362d2da03f71ea80b29fb81b/api/anubis/lms/submissions.py#L217</t>
  </si>
  <si>
    <t>https://github.com/GusSand/Anubis/blob/dced3375debfbe06362d2da03f71ea80b29fb81b/api/anubis/lms/submissions.py#L224</t>
  </si>
  <si>
    <t>https://github.com/GusSand/Anubis/blob/dced3375debfbe06362d2da03f71ea80b29fb81b/api/anubis/lms/submissions.py#L227</t>
  </si>
  <si>
    <t>https://github.com/GusSand/Anubis/blob/dced3375debfbe06362d2da03f71ea80b29fb81b/api/anubis/lms/submissions.py#L246</t>
  </si>
  <si>
    <t>Anubis/api/anubis/lms/students.py</t>
  </si>
  <si>
    <t>students.py</t>
  </si>
  <si>
    <t>https://github.com/GusSand/Anubis/blob/dced3375debfbe06362d2da03f71ea80b29fb81b/api/anubis/lms/students.py#L6</t>
  </si>
  <si>
    <t>https://github.com/GusSand/Anubis/blob/dced3375debfbe06362d2da03f71ea80b29fb81b/api/anubis/lms/students.py#L16</t>
  </si>
  <si>
    <t>https://github.com/GusSand/Anubis/blob/dced3375debfbe06362d2da03f71ea80b29fb81b/api/anubis/lms/students.py#L22</t>
  </si>
  <si>
    <t>https://github.com/GusSand/Anubis/blob/dced3375debfbe06362d2da03f71ea80b29fb81b/api/anubis/lms/students.py#L28</t>
  </si>
  <si>
    <t>https://github.com/GusSand/Anubis/blob/dced3375debfbe06362d2da03f71ea80b29fb81b/api/anubis/lms/students.py#L42</t>
  </si>
  <si>
    <t>https://github.com/GusSand/Anubis/blob/dced3375debfbe06362d2da03f71ea80b29fb81b/api/anubis/lms/students.py#L45</t>
  </si>
  <si>
    <t>https://github.com/GusSand/Anubis/blob/dced3375debfbe06362d2da03f71ea80b29fb81b/api/anubis/lms/students.py#L60</t>
  </si>
  <si>
    <t>Anubis/api/anubis/lms/autograde.py</t>
  </si>
  <si>
    <t>autograde.py</t>
  </si>
  <si>
    <t>https://github.com/GusSand/Anubis/blob/dced3375debfbe06362d2da03f71ea80b29fb81b/api/anubis/lms/autograde.py#L20</t>
  </si>
  <si>
    <t>https://github.com/GusSand/Anubis/blob/dced3375debfbe06362d2da03f71ea80b29fb81b/api/anubis/lms/autograde.py#L34</t>
  </si>
  <si>
    <t>https://github.com/GusSand/Anubis/blob/dced3375debfbe06362d2da03f71ea80b29fb81b/api/anubis/lms/autograde.py#L37</t>
  </si>
  <si>
    <t>https://github.com/GusSand/Anubis/blob/dced3375debfbe06362d2da03f71ea80b29fb81b/api/anubis/lms/autograde.py#L41</t>
  </si>
  <si>
    <t>https://github.com/GusSand/Anubis/blob/dced3375debfbe06362d2da03f71ea80b29fb81b/api/anubis/lms/autograde.py#L44</t>
  </si>
  <si>
    <t>https://github.com/GusSand/Anubis/blob/dced3375debfbe06362d2da03f71ea80b29fb81b/api/anubis/lms/autograde.py#L48</t>
  </si>
  <si>
    <t>https://github.com/GusSand/Anubis/blob/dced3375debfbe06362d2da03f71ea80b29fb81b/api/anubis/lms/autograde.py#L53</t>
  </si>
  <si>
    <t>https://github.com/GusSand/Anubis/blob/dced3375debfbe06362d2da03f71ea80b29fb81b/api/anubis/lms/autograde.py#L68</t>
  </si>
  <si>
    <t>https://github.com/GusSand/Anubis/blob/dced3375debfbe06362d2da03f71ea80b29fb81b/api/anubis/lms/autograde.py#L71</t>
  </si>
  <si>
    <t>https://github.com/GusSand/Anubis/blob/dced3375debfbe06362d2da03f71ea80b29fb81b/api/anubis/lms/autograde.py#L77</t>
  </si>
  <si>
    <t>https://github.com/GusSand/Anubis/blob/dced3375debfbe06362d2da03f71ea80b29fb81b/api/anubis/lms/autograde.py#L82</t>
  </si>
  <si>
    <t>https://github.com/GusSand/Anubis/blob/dced3375debfbe06362d2da03f71ea80b29fb81b/api/anubis/lms/autograde.py#L89</t>
  </si>
  <si>
    <t>https://github.com/GusSand/Anubis/blob/dced3375debfbe06362d2da03f71ea80b29fb81b/api/anubis/lms/autograde.py#L105</t>
  </si>
  <si>
    <t>https://github.com/GusSand/Anubis/blob/dced3375debfbe06362d2da03f71ea80b29fb81b/api/anubis/lms/autograde.py#L149</t>
  </si>
  <si>
    <t>https://github.com/GusSand/Anubis/blob/dced3375debfbe06362d2da03f71ea80b29fb81b/api/anubis/lms/autograde.py#L165</t>
  </si>
  <si>
    <t>https://github.com/GusSand/Anubis/blob/dced3375debfbe06362d2da03f71ea80b29fb81b/api/anubis/lms/autograde.py#L168</t>
  </si>
  <si>
    <t>https://github.com/GusSand/Anubis/blob/dced3375debfbe06362d2da03f71ea80b29fb81b/api/anubis/lms/autograde.py#L175</t>
  </si>
  <si>
    <t>https://github.com/GusSand/Anubis/blob/dced3375debfbe06362d2da03f71ea80b29fb81b/api/anubis/lms/autograde.py#L180</t>
  </si>
  <si>
    <t>https://github.com/GusSand/Anubis/blob/dced3375debfbe06362d2da03f71ea80b29fb81b/api/anubis/lms/autograde.py#L182</t>
  </si>
  <si>
    <t>https://github.com/GusSand/Anubis/blob/dced3375debfbe06362d2da03f71ea80b29fb81b/api/anubis/lms/autograde.py#L185</t>
  </si>
  <si>
    <t>Anubis/api/anubis/k8s/pipeline/create.py</t>
  </si>
  <si>
    <t>create.py</t>
  </si>
  <si>
    <t>https://github.com/GusSand/Anubis/blob/dced3375debfbe06362d2da03f71ea80b29fb81b/api/anubis/k8s/pipeline/create.py#L12</t>
  </si>
  <si>
    <t>https://github.com/GusSand/Anubis/blob/dced3375debfbe06362d2da03f71ea80b29fb81b/api/anubis/k8s/pipeline/create.py#L21</t>
  </si>
  <si>
    <t>https://github.com/GusSand/Anubis/blob/dced3375debfbe06362d2da03f71ea80b29fb81b/api/anubis/k8s/pipeline/create.py#L29</t>
  </si>
  <si>
    <t>https://github.com/GusSand/Anubis/blob/dced3375debfbe06362d2da03f71ea80b29fb81b/api/anubis/k8s/pipeline/create.py#L32</t>
  </si>
  <si>
    <t>https://github.com/GusSand/Anubis/blob/dced3375debfbe06362d2da03f71ea80b29fb81b/api/anubis/k8s/pipeline/create.py#L35</t>
  </si>
  <si>
    <t>https://github.com/GusSand/Anubis/blob/dced3375debfbe06362d2da03f71ea80b29fb81b/api/anubis/k8s/pipeline/create.py#L46</t>
  </si>
  <si>
    <t>https://github.com/GusSand/Anubis/blob/dced3375debfbe06362d2da03f71ea80b29fb81b/api/anubis/k8s/pipeline/create.py#L49</t>
  </si>
  <si>
    <t>https://github.com/GusSand/Anubis/blob/dced3375debfbe06362d2da03f71ea80b29fb81b/api/anubis/k8s/pipeline/create.py#L59</t>
  </si>
  <si>
    <t>https://github.com/GusSand/Anubis/blob/dced3375debfbe06362d2da03f71ea80b29fb81b/api/anubis/k8s/pipeline/create.py#L68</t>
  </si>
  <si>
    <t>https://github.com/GusSand/Anubis/blob/dced3375debfbe06362d2da03f71ea80b29fb81b/api/anubis/k8s/pipeline/create.py#L71</t>
  </si>
  <si>
    <t>https://github.com/GusSand/Anubis/blob/dced3375debfbe06362d2da03f71ea80b29fb81b/api/anubis/k8s/pipeline/create.py#L74</t>
  </si>
  <si>
    <t>https://github.com/GusSand/Anubis/blob/dced3375debfbe06362d2da03f71ea80b29fb81b/api/anubis/k8s/pipeline/create.py#L80</t>
  </si>
  <si>
    <t>https://github.com/GusSand/Anubis/blob/dced3375debfbe06362d2da03f71ea80b29fb81b/api/anubis/k8s/pipeline/create.py#L87</t>
  </si>
  <si>
    <t>https://github.com/GusSand/Anubis/blob/dced3375debfbe06362d2da03f71ea80b29fb81b/api/anubis/k8s/pipeline/create.py#L93</t>
  </si>
  <si>
    <t>https://github.com/GusSand/Anubis/blob/dced3375debfbe06362d2da03f71ea80b29fb81b/api/anubis/k8s/pipeline/create.py#L98</t>
  </si>
  <si>
    <t>https://github.com/GusSand/Anubis/blob/dced3375debfbe06362d2da03f71ea80b29fb81b/api/anubis/k8s/pipeline/create.py#L103</t>
  </si>
  <si>
    <t>https://github.com/GusSand/Anubis/blob/dced3375debfbe06362d2da03f71ea80b29fb81b/api/anubis/k8s/pipeline/create.py#L122</t>
  </si>
  <si>
    <t>https://github.com/GusSand/Anubis/blob/dced3375debfbe06362d2da03f71ea80b29fb81b/api/anubis/k8s/pipeline/create.py#L124</t>
  </si>
  <si>
    <t>https://github.com/GusSand/Anubis/blob/dced3375debfbe06362d2da03f71ea80b29fb81b/api/anubis/k8s/pipeline/create.py#L130</t>
  </si>
  <si>
    <t>https://github.com/GusSand/Anubis/blob/dced3375debfbe06362d2da03f71ea80b29fb81b/api/anubis/k8s/pipeline/create.py#L143</t>
  </si>
  <si>
    <t>https://github.com/GusSand/Anubis/blob/dced3375debfbe06362d2da03f71ea80b29fb81b/api/anubis/k8s/pipeline/create.py#L145</t>
  </si>
  <si>
    <t>https://github.com/GusSand/Anubis/blob/dced3375debfbe06362d2da03f71ea80b29fb81b/api/anubis/k8s/pipeline/create.py#L147</t>
  </si>
  <si>
    <t>https://github.com/GusSand/Anubis/blob/dced3375debfbe06362d2da03f71ea80b29fb81b/api/anubis/k8s/pipeline/create.py#L152</t>
  </si>
  <si>
    <t>https://github.com/GusSand/Anubis/blob/dced3375debfbe06362d2da03f71ea80b29fb81b/api/anubis/k8s/pipeline/create.py#L155</t>
  </si>
  <si>
    <t>Anubis/api/anubis/k8s/pipeline/reap.py</t>
  </si>
  <si>
    <t>https://github.com/GusSand/Anubis/blob/dced3375debfbe06362d2da03f71ea80b29fb81b/api/anubis/k8s/pipeline/reap.py#L13</t>
  </si>
  <si>
    <t>https://github.com/GusSand/Anubis/blob/dced3375debfbe06362d2da03f71ea80b29fb81b/api/anubis/k8s/pipeline/reap.py#L18</t>
  </si>
  <si>
    <t>https://github.com/GusSand/Anubis/blob/dced3375debfbe06362d2da03f71ea80b29fb81b/api/anubis/k8s/pipeline/reap.py#L25</t>
  </si>
  <si>
    <t>https://github.com/GusSand/Anubis/blob/dced3375debfbe06362d2da03f71ea80b29fb81b/api/anubis/k8s/pipeline/reap.py#L59</t>
  </si>
  <si>
    <t>https://github.com/GusSand/Anubis/blob/dced3375debfbe06362d2da03f71ea80b29fb81b/api/anubis/k8s/pipeline/reap.py#L66</t>
  </si>
  <si>
    <t>https://github.com/GusSand/Anubis/blob/dced3375debfbe06362d2da03f71ea80b29fb81b/api/anubis/k8s/pipeline/reap.py#L74</t>
  </si>
  <si>
    <t>https://github.com/GusSand/Anubis/blob/dced3375debfbe06362d2da03f71ea80b29fb81b/api/anubis/k8s/pipeline/reap.py#L77</t>
  </si>
  <si>
    <t>https://github.com/GusSand/Anubis/blob/dced3375debfbe06362d2da03f71ea80b29fb81b/api/anubis/k8s/pipeline/reap.py#L80</t>
  </si>
  <si>
    <t>https://github.com/GusSand/Anubis/blob/dced3375debfbe06362d2da03f71ea80b29fb81b/api/anubis/k8s/pipeline/reap.py#L83</t>
  </si>
  <si>
    <t>https://github.com/GusSand/Anubis/blob/dced3375debfbe06362d2da03f71ea80b29fb81b/api/anubis/k8s/pipeline/reap.py#L87</t>
  </si>
  <si>
    <t>https://github.com/GusSand/Anubis/blob/dced3375debfbe06362d2da03f71ea80b29fb81b/api/anubis/k8s/pipeline/reap.py#L92</t>
  </si>
  <si>
    <t>https://github.com/GusSand/Anubis/blob/dced3375debfbe06362d2da03f71ea80b29fb81b/api/anubis/k8s/pipeline/reap.py#L95</t>
  </si>
  <si>
    <t>https://github.com/GusSand/Anubis/blob/dced3375debfbe06362d2da03f71ea80b29fb81b/api/anubis/k8s/pipeline/reap.py#L100</t>
  </si>
  <si>
    <t>https://github.com/GusSand/Anubis/blob/dced3375debfbe06362d2da03f71ea80b29fb81b/api/anubis/k8s/pipeline/reap.py#L103</t>
  </si>
  <si>
    <t>https://github.com/GusSand/Anubis/blob/dced3375debfbe06362d2da03f71ea80b29fb81b/api/anubis/k8s/pipeline/reap.py#L111</t>
  </si>
  <si>
    <t>https://github.com/GusSand/Anubis/blob/dced3375debfbe06362d2da03f71ea80b29fb81b/api/anubis/k8s/pipeline/reap.py#L114</t>
  </si>
  <si>
    <t>https://github.com/GusSand/Anubis/blob/dced3375debfbe06362d2da03f71ea80b29fb81b/api/anubis/k8s/pipeline/reap.py#L117</t>
  </si>
  <si>
    <t>https://github.com/GusSand/Anubis/blob/dced3375debfbe06362d2da03f71ea80b29fb81b/api/anubis/k8s/pipeline/reap.py#L120</t>
  </si>
  <si>
    <t>https://github.com/GusSand/Anubis/blob/dced3375debfbe06362d2da03f71ea80b29fb81b/api/anubis/k8s/pipeline/reap.py#L124</t>
  </si>
  <si>
    <t>Anubis/api/anubis/k8s/pipeline/get.py</t>
  </si>
  <si>
    <t>https://github.com/GusSand/Anubis/blob/dced3375debfbe06362d2da03f71ea80b29fb81b/api/anubis/k8s/pipeline/get.py#L5</t>
  </si>
  <si>
    <t>Anubis/api/anubis/k8s/google/__init__.py</t>
  </si>
  <si>
    <t>__init__.py</t>
  </si>
  <si>
    <t>https://github.com/GusSand/Anubis/blob/dced3375debfbe06362d2da03f71ea80b29fb81b/api/anubis/k8s/google/__init__.py#L9</t>
  </si>
  <si>
    <t>https://github.com/GusSand/Anubis/blob/dced3375debfbe06362d2da03f71ea80b29fb81b/api/anubis/k8s/google/__init__.py#L22</t>
  </si>
  <si>
    <t>https://github.com/GusSand/Anubis/blob/dced3375debfbe06362d2da03f71ea80b29fb81b/api/anubis/k8s/google/__init__.py#L30</t>
  </si>
  <si>
    <t>Anubis/api/anubis/k8s/theia/update.py</t>
  </si>
  <si>
    <t>update.py</t>
  </si>
  <si>
    <t>https://github.com/GusSand/Anubis/blob/dced3375debfbe06362d2da03f71ea80b29fb81b/api/anubis/k8s/theia/update.py#L11</t>
  </si>
  <si>
    <t>https://github.com/GusSand/Anubis/blob/dced3375debfbe06362d2da03f71ea80b29fb81b/api/anubis/k8s/theia/update.py#L19</t>
  </si>
  <si>
    <t>https://github.com/GusSand/Anubis/blob/dced3375debfbe06362d2da03f71ea80b29fb81b/api/anubis/k8s/theia/update.py#L21</t>
  </si>
  <si>
    <t>https://github.com/GusSand/Anubis/blob/dced3375debfbe06362d2da03f71ea80b29fb81b/api/anubis/k8s/theia/update.py#L24</t>
  </si>
  <si>
    <t>https://github.com/GusSand/Anubis/blob/dced3375debfbe06362d2da03f71ea80b29fb81b/api/anubis/k8s/theia/update.py#L27</t>
  </si>
  <si>
    <t>https://github.com/GusSand/Anubis/blob/dced3375debfbe06362d2da03f71ea80b29fb81b/api/anubis/k8s/theia/update.py#L31</t>
  </si>
  <si>
    <t>https://github.com/GusSand/Anubis/blob/dced3375debfbe06362d2da03f71ea80b29fb81b/api/anubis/k8s/theia/update.py#L35</t>
  </si>
  <si>
    <t>https://github.com/GusSand/Anubis/blob/dced3375debfbe06362d2da03f71ea80b29fb81b/api/anubis/k8s/theia/update.py#L40</t>
  </si>
  <si>
    <t>https://github.com/GusSand/Anubis/blob/dced3375debfbe06362d2da03f71ea80b29fb81b/api/anubis/k8s/theia/update.py#L49</t>
  </si>
  <si>
    <t>https://github.com/GusSand/Anubis/blob/dced3375debfbe06362d2da03f71ea80b29fb81b/api/anubis/k8s/theia/update.py#L52</t>
  </si>
  <si>
    <t>https://github.com/GusSand/Anubis/blob/dced3375debfbe06362d2da03f71ea80b29fb81b/api/anubis/k8s/theia/update.py#L57</t>
  </si>
  <si>
    <t>https://github.com/GusSand/Anubis/blob/dced3375debfbe06362d2da03f71ea80b29fb81b/api/anubis/k8s/theia/update.py#L60</t>
  </si>
  <si>
    <t>https://github.com/GusSand/Anubis/blob/dced3375debfbe06362d2da03f71ea80b29fb81b/api/anubis/k8s/theia/update.py#L65</t>
  </si>
  <si>
    <t>https://github.com/GusSand/Anubis/blob/dced3375debfbe06362d2da03f71ea80b29fb81b/api/anubis/k8s/theia/update.py#L68</t>
  </si>
  <si>
    <t>https://github.com/GusSand/Anubis/blob/dced3375debfbe06362d2da03f71ea80b29fb81b/api/anubis/k8s/theia/update.py#L72</t>
  </si>
  <si>
    <t>https://github.com/GusSand/Anubis/blob/dced3375debfbe06362d2da03f71ea80b29fb81b/api/anubis/k8s/theia/update.py#L82</t>
  </si>
  <si>
    <t>https://github.com/GusSand/Anubis/blob/dced3375debfbe06362d2da03f71ea80b29fb81b/api/anubis/k8s/theia/update.py#L89</t>
  </si>
  <si>
    <t>https://github.com/GusSand/Anubis/blob/dced3375debfbe06362d2da03f71ea80b29fb81b/api/anubis/k8s/theia/update.py#L93</t>
  </si>
  <si>
    <t>https://github.com/GusSand/Anubis/blob/dced3375debfbe06362d2da03f71ea80b29fb81b/api/anubis/k8s/theia/update.py#L96</t>
  </si>
  <si>
    <t>https://github.com/GusSand/Anubis/blob/dced3375debfbe06362d2da03f71ea80b29fb81b/api/anubis/k8s/theia/update.py#L99</t>
  </si>
  <si>
    <t>https://github.com/GusSand/Anubis/blob/dced3375debfbe06362d2da03f71ea80b29fb81b/api/anubis/k8s/theia/update.py#L102</t>
  </si>
  <si>
    <t>https://github.com/GusSand/Anubis/blob/dced3375debfbe06362d2da03f71ea80b29fb81b/api/anubis/k8s/theia/update.py#L107</t>
  </si>
  <si>
    <t>https://github.com/GusSand/Anubis/blob/dced3375debfbe06362d2da03f71ea80b29fb81b/api/anubis/k8s/theia/update.py#L111</t>
  </si>
  <si>
    <t>https://github.com/GusSand/Anubis/blob/dced3375debfbe06362d2da03f71ea80b29fb81b/api/anubis/k8s/theia/update.py#L117</t>
  </si>
  <si>
    <t>https://github.com/GusSand/Anubis/blob/dced3375debfbe06362d2da03f71ea80b29fb81b/api/anubis/k8s/theia/update.py#L122</t>
  </si>
  <si>
    <t>https://github.com/GusSand/Anubis/blob/dced3375debfbe06362d2da03f71ea80b29fb81b/api/anubis/k8s/theia/update.py#L128</t>
  </si>
  <si>
    <t>https://github.com/GusSand/Anubis/blob/dced3375debfbe06362d2da03f71ea80b29fb81b/api/anubis/k8s/theia/update.py#L133</t>
  </si>
  <si>
    <t>https://github.com/GusSand/Anubis/blob/dced3375debfbe06362d2da03f71ea80b29fb81b/api/anubis/k8s/theia/update.py#L137</t>
  </si>
  <si>
    <t>https://github.com/GusSand/Anubis/blob/dced3375debfbe06362d2da03f71ea80b29fb81b/api/anubis/k8s/theia/update.py#L142</t>
  </si>
  <si>
    <t>https://github.com/GusSand/Anubis/blob/dced3375debfbe06362d2da03f71ea80b29fb81b/api/anubis/k8s/theia/update.py#L145</t>
  </si>
  <si>
    <t>https://github.com/GusSand/Anubis/blob/dced3375debfbe06362d2da03f71ea80b29fb81b/api/anubis/k8s/theia/update.py#L149</t>
  </si>
  <si>
    <t>https://github.com/GusSand/Anubis/blob/dced3375debfbe06362d2da03f71ea80b29fb81b/api/anubis/k8s/theia/update.py#L159</t>
  </si>
  <si>
    <t>Anubis/api/anubis/k8s/theia/create.py</t>
  </si>
  <si>
    <t>https://github.com/GusSand/Anubis/blob/dced3375debfbe06362d2da03f71ea80b29fb81b/api/anubis/k8s/theia/create.py#L17</t>
  </si>
  <si>
    <t>https://github.com/GusSand/Anubis/blob/dced3375debfbe06362d2da03f71ea80b29fb81b/api/anubis/k8s/theia/create.py#L28</t>
  </si>
  <si>
    <t>https://github.com/GusSand/Anubis/blob/dced3375debfbe06362d2da03f71ea80b29fb81b/api/anubis/k8s/theia/create.py#L31</t>
  </si>
  <si>
    <t>https://github.com/GusSand/Anubis/blob/dced3375debfbe06362d2da03f71ea80b29fb81b/api/anubis/k8s/theia/create.py#L34</t>
  </si>
  <si>
    <t>https://github.com/GusSand/Anubis/blob/dced3375debfbe06362d2da03f71ea80b29fb81b/api/anubis/k8s/theia/create.py#L37</t>
  </si>
  <si>
    <t>https://github.com/GusSand/Anubis/blob/dced3375debfbe06362d2da03f71ea80b29fb81b/api/anubis/k8s/theia/create.py#L40</t>
  </si>
  <si>
    <t>https://github.com/GusSand/Anubis/blob/dced3375debfbe06362d2da03f71ea80b29fb81b/api/anubis/k8s/theia/create.py#L45</t>
  </si>
  <si>
    <t>https://github.com/GusSand/Anubis/blob/dced3375debfbe06362d2da03f71ea80b29fb81b/api/anubis/k8s/theia/create.py#L51</t>
  </si>
  <si>
    <t>https://github.com/GusSand/Anubis/blob/dced3375debfbe06362d2da03f71ea80b29fb81b/api/anubis/k8s/theia/create.py#L69</t>
  </si>
  <si>
    <t>https://github.com/GusSand/Anubis/blob/dced3375debfbe06362d2da03f71ea80b29fb81b/api/anubis/k8s/theia/create.py#L77</t>
  </si>
  <si>
    <t>https://github.com/GusSand/Anubis/blob/dced3375debfbe06362d2da03f71ea80b29fb81b/api/anubis/k8s/theia/create.py#L81</t>
  </si>
  <si>
    <t>https://github.com/GusSand/Anubis/blob/dced3375debfbe06362d2da03f71ea80b29fb81b/api/anubis/k8s/theia/create.py#L85</t>
  </si>
  <si>
    <t>https://github.com/GusSand/Anubis/blob/dced3375debfbe06362d2da03f71ea80b29fb81b/api/anubis/k8s/theia/create.py#L91</t>
  </si>
  <si>
    <t>https://github.com/GusSand/Anubis/blob/dced3375debfbe06362d2da03f71ea80b29fb81b/api/anubis/k8s/theia/create.py#L95</t>
  </si>
  <si>
    <t>https://github.com/GusSand/Anubis/blob/dced3375debfbe06362d2da03f71ea80b29fb81b/api/anubis/k8s/theia/create.py#L97</t>
  </si>
  <si>
    <t>https://github.com/GusSand/Anubis/blob/dced3375debfbe06362d2da03f71ea80b29fb81b/api/anubis/k8s/theia/create.py#L102</t>
  </si>
  <si>
    <t>https://github.com/GusSand/Anubis/blob/dced3375debfbe06362d2da03f71ea80b29fb81b/api/anubis/k8s/theia/create.py#L105</t>
  </si>
  <si>
    <t>https://github.com/GusSand/Anubis/blob/dced3375debfbe06362d2da03f71ea80b29fb81b/api/anubis/k8s/theia/create.py#L110</t>
  </si>
  <si>
    <t>https://github.com/GusSand/Anubis/blob/dced3375debfbe06362d2da03f71ea80b29fb81b/api/anubis/k8s/theia/create.py#L112</t>
  </si>
  <si>
    <t>https://github.com/GusSand/Anubis/blob/dced3375debfbe06362d2da03f71ea80b29fb81b/api/anubis/k8s/theia/create.py#L117</t>
  </si>
  <si>
    <t>https://github.com/GusSand/Anubis/blob/dced3375debfbe06362d2da03f71ea80b29fb81b/api/anubis/k8s/theia/create.py#L119</t>
  </si>
  <si>
    <t>https://github.com/GusSand/Anubis/blob/dced3375debfbe06362d2da03f71ea80b29fb81b/api/anubis/k8s/theia/create.py#L124</t>
  </si>
  <si>
    <t>https://github.com/GusSand/Anubis/blob/dced3375debfbe06362d2da03f71ea80b29fb81b/api/anubis/k8s/theia/create.py#L129</t>
  </si>
  <si>
    <t>https://github.com/GusSand/Anubis/blob/dced3375debfbe06362d2da03f71ea80b29fb81b/api/anubis/k8s/theia/create.py#L133</t>
  </si>
  <si>
    <t>https://github.com/GusSand/Anubis/blob/dced3375debfbe06362d2da03f71ea80b29fb81b/api/anubis/k8s/theia/create.py#L135</t>
  </si>
  <si>
    <t>https://github.com/GusSand/Anubis/blob/dced3375debfbe06362d2da03f71ea80b29fb81b/api/anubis/k8s/theia/create.py#L139</t>
  </si>
  <si>
    <t>https://github.com/GusSand/Anubis/blob/dced3375debfbe06362d2da03f71ea80b29fb81b/api/anubis/k8s/theia/create.py#L142</t>
  </si>
  <si>
    <t>https://github.com/GusSand/Anubis/blob/dced3375debfbe06362d2da03f71ea80b29fb81b/api/anubis/k8s/theia/create.py#L146</t>
  </si>
  <si>
    <t>https://github.com/GusSand/Anubis/blob/dced3375debfbe06362d2da03f71ea80b29fb81b/api/anubis/k8s/theia/create.py#L148</t>
  </si>
  <si>
    <t>https://github.com/GusSand/Anubis/blob/dced3375debfbe06362d2da03f71ea80b29fb81b/api/anubis/k8s/theia/create.py#L151</t>
  </si>
  <si>
    <t>https://github.com/GusSand/Anubis/blob/dced3375debfbe06362d2da03f71ea80b29fb81b/api/anubis/k8s/theia/create.py#L161</t>
  </si>
  <si>
    <t>https://github.com/GusSand/Anubis/blob/dced3375debfbe06362d2da03f71ea80b29fb81b/api/anubis/k8s/theia/create.py#L167</t>
  </si>
  <si>
    <t>https://github.com/GusSand/Anubis/blob/dced3375debfbe06362d2da03f71ea80b29fb81b/api/anubis/k8s/theia/create.py#L170</t>
  </si>
  <si>
    <t>https://github.com/GusSand/Anubis/blob/dced3375debfbe06362d2da03f71ea80b29fb81b/api/anubis/k8s/theia/create.py#L172</t>
  </si>
  <si>
    <t>https://github.com/GusSand/Anubis/blob/dced3375debfbe06362d2da03f71ea80b29fb81b/api/anubis/k8s/theia/create.py#L183</t>
  </si>
  <si>
    <t>https://github.com/GusSand/Anubis/blob/dced3375debfbe06362d2da03f71ea80b29fb81b/api/anubis/k8s/theia/create.py#L185</t>
  </si>
  <si>
    <t>https://github.com/GusSand/Anubis/blob/dced3375debfbe06362d2da03f71ea80b29fb81b/api/anubis/k8s/theia/create.py#L196</t>
  </si>
  <si>
    <t>https://github.com/GusSand/Anubis/blob/dced3375debfbe06362d2da03f71ea80b29fb81b/api/anubis/k8s/theia/create.py#L200</t>
  </si>
  <si>
    <t>https://github.com/GusSand/Anubis/blob/dced3375debfbe06362d2da03f71ea80b29fb81b/api/anubis/k8s/theia/create.py#L205</t>
  </si>
  <si>
    <t>https://github.com/GusSand/Anubis/blob/dced3375debfbe06362d2da03f71ea80b29fb81b/api/anubis/k8s/theia/create.py#L216</t>
  </si>
  <si>
    <t>https://github.com/GusSand/Anubis/blob/dced3375debfbe06362d2da03f71ea80b29fb81b/api/anubis/k8s/theia/create.py#L225</t>
  </si>
  <si>
    <t>https://github.com/GusSand/Anubis/blob/dced3375debfbe06362d2da03f71ea80b29fb81b/api/anubis/k8s/theia/create.py#L228</t>
  </si>
  <si>
    <t>https://github.com/GusSand/Anubis/blob/dced3375debfbe06362d2da03f71ea80b29fb81b/api/anubis/k8s/theia/create.py#L235</t>
  </si>
  <si>
    <t>https://github.com/GusSand/Anubis/blob/dced3375debfbe06362d2da03f71ea80b29fb81b/api/anubis/k8s/theia/create.py#L237</t>
  </si>
  <si>
    <t>https://github.com/GusSand/Anubis/blob/dced3375debfbe06362d2da03f71ea80b29fb81b/api/anubis/k8s/theia/create.py#L248</t>
  </si>
  <si>
    <t>https://github.com/GusSand/Anubis/blob/dced3375debfbe06362d2da03f71ea80b29fb81b/api/anubis/k8s/theia/create.py#L257</t>
  </si>
  <si>
    <t>https://github.com/GusSand/Anubis/blob/dced3375debfbe06362d2da03f71ea80b29fb81b/api/anubis/k8s/theia/create.py#L266</t>
  </si>
  <si>
    <t>https://github.com/GusSand/Anubis/blob/dced3375debfbe06362d2da03f71ea80b29fb81b/api/anubis/k8s/theia/create.py#L272</t>
  </si>
  <si>
    <t>https://github.com/GusSand/Anubis/blob/dced3375debfbe06362d2da03f71ea80b29fb81b/api/anubis/k8s/theia/create.py#L280</t>
  </si>
  <si>
    <t>https://github.com/GusSand/Anubis/blob/dced3375debfbe06362d2da03f71ea80b29fb81b/api/anubis/k8s/theia/create.py#L286</t>
  </si>
  <si>
    <t>https://github.com/GusSand/Anubis/blob/dced3375debfbe06362d2da03f71ea80b29fb81b/api/anubis/k8s/theia/create.py#L290</t>
  </si>
  <si>
    <t>https://github.com/GusSand/Anubis/blob/dced3375debfbe06362d2da03f71ea80b29fb81b/api/anubis/k8s/theia/create.py#L309</t>
  </si>
  <si>
    <t>https://github.com/GusSand/Anubis/blob/dced3375debfbe06362d2da03f71ea80b29fb81b/api/anubis/k8s/theia/create.py#L314</t>
  </si>
  <si>
    <t>https://github.com/GusSand/Anubis/blob/dced3375debfbe06362d2da03f71ea80b29fb81b/api/anubis/k8s/theia/create.py#L316</t>
  </si>
  <si>
    <t>https://github.com/GusSand/Anubis/blob/dced3375debfbe06362d2da03f71ea80b29fb81b/api/anubis/k8s/theia/create.py#L324</t>
  </si>
  <si>
    <t>https://github.com/GusSand/Anubis/blob/dced3375debfbe06362d2da03f71ea80b29fb81b/api/anubis/k8s/theia/create.py#L329</t>
  </si>
  <si>
    <t>https://github.com/GusSand/Anubis/blob/dced3375debfbe06362d2da03f71ea80b29fb81b/api/anubis/k8s/theia/create.py#L351</t>
  </si>
  <si>
    <t>https://github.com/GusSand/Anubis/blob/dced3375debfbe06362d2da03f71ea80b29fb81b/api/anubis/k8s/theia/create.py#L354</t>
  </si>
  <si>
    <t>https://github.com/GusSand/Anubis/blob/dced3375debfbe06362d2da03f71ea80b29fb81b/api/anubis/k8s/theia/create.py#L358</t>
  </si>
  <si>
    <t>https://github.com/GusSand/Anubis/blob/dced3375debfbe06362d2da03f71ea80b29fb81b/api/anubis/k8s/theia/create.py#L361</t>
  </si>
  <si>
    <t>https://github.com/GusSand/Anubis/blob/dced3375debfbe06362d2da03f71ea80b29fb81b/api/anubis/k8s/theia/create.py#L373</t>
  </si>
  <si>
    <t>https://github.com/GusSand/Anubis/blob/dced3375debfbe06362d2da03f71ea80b29fb81b/api/anubis/k8s/theia/create.py#L392</t>
  </si>
  <si>
    <t>https://github.com/GusSand/Anubis/blob/dced3375debfbe06362d2da03f71ea80b29fb81b/api/anubis/k8s/theia/create.py#L394</t>
  </si>
  <si>
    <t>https://github.com/GusSand/Anubis/blob/dced3375debfbe06362d2da03f71ea80b29fb81b/api/anubis/k8s/theia/create.py#L403</t>
  </si>
  <si>
    <t>https://github.com/GusSand/Anubis/blob/dced3375debfbe06362d2da03f71ea80b29fb81b/api/anubis/k8s/theia/create.py#L408</t>
  </si>
  <si>
    <t>https://github.com/GusSand/Anubis/blob/dced3375debfbe06362d2da03f71ea80b29fb81b/api/anubis/k8s/theia/create.py#L448</t>
  </si>
  <si>
    <t>https://github.com/GusSand/Anubis/blob/dced3375debfbe06362d2da03f71ea80b29fb81b/api/anubis/k8s/theia/create.py#L455</t>
  </si>
  <si>
    <t>https://github.com/GusSand/Anubis/blob/dced3375debfbe06362d2da03f71ea80b29fb81b/api/anubis/k8s/theia/create.py#L459</t>
  </si>
  <si>
    <t>https://github.com/GusSand/Anubis/blob/dced3375debfbe06362d2da03f71ea80b29fb81b/api/anubis/k8s/theia/create.py#L463</t>
  </si>
  <si>
    <t>https://github.com/GusSand/Anubis/blob/dced3375debfbe06362d2da03f71ea80b29fb81b/api/anubis/k8s/theia/create.py#L465</t>
  </si>
  <si>
    <t>https://github.com/GusSand/Anubis/blob/dced3375debfbe06362d2da03f71ea80b29fb81b/api/anubis/k8s/theia/create.py#L471</t>
  </si>
  <si>
    <t>https://github.com/GusSand/Anubis/blob/dced3375debfbe06362d2da03f71ea80b29fb81b/api/anubis/k8s/theia/create.py#L477</t>
  </si>
  <si>
    <t>https://github.com/GusSand/Anubis/blob/dced3375debfbe06362d2da03f71ea80b29fb81b/api/anubis/k8s/theia/create.py#L480</t>
  </si>
  <si>
    <t>https://github.com/GusSand/Anubis/blob/dced3375debfbe06362d2da03f71ea80b29fb81b/api/anubis/k8s/theia/create.py#L485</t>
  </si>
  <si>
    <t>https://github.com/GusSand/Anubis/blob/dced3375debfbe06362d2da03f71ea80b29fb81b/api/anubis/k8s/theia/create.py#L488</t>
  </si>
  <si>
    <t>https://github.com/GusSand/Anubis/blob/dced3375debfbe06362d2da03f71ea80b29fb81b/api/anubis/k8s/theia/create.py#L503</t>
  </si>
  <si>
    <t>https://github.com/GusSand/Anubis/blob/dced3375debfbe06362d2da03f71ea80b29fb81b/api/anubis/k8s/theia/create.py#L513</t>
  </si>
  <si>
    <t>https://github.com/GusSand/Anubis/blob/dced3375debfbe06362d2da03f71ea80b29fb81b/api/anubis/k8s/theia/create.py#L516</t>
  </si>
  <si>
    <t>https://github.com/GusSand/Anubis/blob/dced3375debfbe06362d2da03f71ea80b29fb81b/api/anubis/k8s/theia/create.py#L521</t>
  </si>
  <si>
    <t>https://github.com/GusSand/Anubis/blob/dced3375debfbe06362d2da03f71ea80b29fb81b/api/anubis/k8s/theia/create.py#L524</t>
  </si>
  <si>
    <t>https://github.com/GusSand/Anubis/blob/dced3375debfbe06362d2da03f71ea80b29fb81b/api/anubis/k8s/theia/create.py#L527</t>
  </si>
  <si>
    <t>https://github.com/GusSand/Anubis/blob/dced3375debfbe06362d2da03f71ea80b29fb81b/api/anubis/k8s/theia/create.py#L531</t>
  </si>
  <si>
    <t>https://github.com/GusSand/Anubis/blob/dced3375debfbe06362d2da03f71ea80b29fb81b/api/anubis/k8s/theia/create.py#L536</t>
  </si>
  <si>
    <t>https://github.com/GusSand/Anubis/blob/dced3375debfbe06362d2da03f71ea80b29fb81b/api/anubis/k8s/theia/create.py#L541</t>
  </si>
  <si>
    <t>https://github.com/GusSand/Anubis/blob/dced3375debfbe06362d2da03f71ea80b29fb81b/api/anubis/k8s/theia/create.py#L548</t>
  </si>
  <si>
    <t>https://github.com/GusSand/Anubis/blob/dced3375debfbe06362d2da03f71ea80b29fb81b/api/anubis/k8s/theia/create.py#L562</t>
  </si>
  <si>
    <t>https://github.com/GusSand/Anubis/blob/dced3375debfbe06362d2da03f71ea80b29fb81b/api/anubis/k8s/theia/create.py#L566</t>
  </si>
  <si>
    <t>https://github.com/GusSand/Anubis/blob/dced3375debfbe06362d2da03f71ea80b29fb81b/api/anubis/k8s/theia/create.py#L568</t>
  </si>
  <si>
    <t>https://github.com/GusSand/Anubis/blob/dced3375debfbe06362d2da03f71ea80b29fb81b/api/anubis/k8s/theia/create.py#L570</t>
  </si>
  <si>
    <t>https://github.com/GusSand/Anubis/blob/dced3375debfbe06362d2da03f71ea80b29fb81b/api/anubis/k8s/theia/create.py#L572</t>
  </si>
  <si>
    <t>https://github.com/GusSand/Anubis/blob/dced3375debfbe06362d2da03f71ea80b29fb81b/api/anubis/k8s/theia/create.py#L574</t>
  </si>
  <si>
    <t>https://github.com/GusSand/Anubis/blob/dced3375debfbe06362d2da03f71ea80b29fb81b/api/anubis/k8s/theia/create.py#L576</t>
  </si>
  <si>
    <t>https://github.com/GusSand/Anubis/blob/dced3375debfbe06362d2da03f71ea80b29fb81b/api/anubis/k8s/theia/create.py#L578</t>
  </si>
  <si>
    <t>Anubis/api/anubis/k8s/theia/reap.py</t>
  </si>
  <si>
    <t>https://github.com/GusSand/Anubis/blob/dced3375debfbe06362d2da03f71ea80b29fb81b/api/anubis/k8s/theia/reap.py#L13</t>
  </si>
  <si>
    <t>https://github.com/GusSand/Anubis/blob/dced3375debfbe06362d2da03f71ea80b29fb81b/api/anubis/k8s/theia/reap.py#L23</t>
  </si>
  <si>
    <t>https://github.com/GusSand/Anubis/blob/dced3375debfbe06362d2da03f71ea80b29fb81b/api/anubis/k8s/theia/reap.py#L26</t>
  </si>
  <si>
    <t>https://github.com/GusSand/Anubis/blob/dced3375debfbe06362d2da03f71ea80b29fb81b/api/anubis/k8s/theia/reap.py#L29</t>
  </si>
  <si>
    <t>https://github.com/GusSand/Anubis/blob/dced3375debfbe06362d2da03f71ea80b29fb81b/api/anubis/k8s/theia/reap.py#L32</t>
  </si>
  <si>
    <t>https://github.com/GusSand/Anubis/blob/dced3375debfbe06362d2da03f71ea80b29fb81b/api/anubis/k8s/theia/reap.py#L35</t>
  </si>
  <si>
    <t>https://github.com/GusSand/Anubis/blob/dced3375debfbe06362d2da03f71ea80b29fb81b/api/anubis/k8s/theia/reap.py#L39</t>
  </si>
  <si>
    <t>https://github.com/GusSand/Anubis/blob/dced3375debfbe06362d2da03f71ea80b29fb81b/api/anubis/k8s/theia/reap.py#L48</t>
  </si>
  <si>
    <t>https://github.com/GusSand/Anubis/blob/dced3375debfbe06362d2da03f71ea80b29fb81b/api/anubis/k8s/theia/reap.py#L57</t>
  </si>
  <si>
    <t>https://github.com/GusSand/Anubis/blob/dced3375debfbe06362d2da03f71ea80b29fb81b/api/anubis/k8s/theia/reap.py#L60</t>
  </si>
  <si>
    <t>https://github.com/GusSand/Anubis/blob/dced3375debfbe06362d2da03f71ea80b29fb81b/api/anubis/k8s/theia/reap.py#L71</t>
  </si>
  <si>
    <t>https://github.com/GusSand/Anubis/blob/dced3375debfbe06362d2da03f71ea80b29fb81b/api/anubis/k8s/theia/reap.py#L79</t>
  </si>
  <si>
    <t>https://github.com/GusSand/Anubis/blob/dced3375debfbe06362d2da03f71ea80b29fb81b/api/anubis/k8s/theia/reap.py#L83</t>
  </si>
  <si>
    <t>https://github.com/GusSand/Anubis/blob/dced3375debfbe06362d2da03f71ea80b29fb81b/api/anubis/k8s/theia/reap.py#L86</t>
  </si>
  <si>
    <t>https://github.com/GusSand/Anubis/blob/dced3375debfbe06362d2da03f71ea80b29fb81b/api/anubis/k8s/theia/reap.py#L89</t>
  </si>
  <si>
    <t>https://github.com/GusSand/Anubis/blob/dced3375debfbe06362d2da03f71ea80b29fb81b/api/anubis/k8s/theia/reap.py#L92</t>
  </si>
  <si>
    <t>https://github.com/GusSand/Anubis/blob/dced3375debfbe06362d2da03f71ea80b29fb81b/api/anubis/k8s/theia/reap.py#L96</t>
  </si>
  <si>
    <t>https://github.com/GusSand/Anubis/blob/dced3375debfbe06362d2da03f71ea80b29fb81b/api/anubis/k8s/theia/reap.py#L101</t>
  </si>
  <si>
    <t>https://github.com/GusSand/Anubis/blob/dced3375debfbe06362d2da03f71ea80b29fb81b/api/anubis/k8s/theia/reap.py#L104</t>
  </si>
  <si>
    <t>https://github.com/GusSand/Anubis/blob/dced3375debfbe06362d2da03f71ea80b29fb81b/api/anubis/k8s/theia/reap.py#L110</t>
  </si>
  <si>
    <t>https://github.com/GusSand/Anubis/blob/dced3375debfbe06362d2da03f71ea80b29fb81b/api/anubis/k8s/theia/reap.py#L120</t>
  </si>
  <si>
    <t>https://github.com/GusSand/Anubis/blob/dced3375debfbe06362d2da03f71ea80b29fb81b/api/anubis/k8s/theia/reap.py#L126</t>
  </si>
  <si>
    <t>https://github.com/GusSand/Anubis/blob/dced3375debfbe06362d2da03f71ea80b29fb81b/api/anubis/k8s/theia/reap.py#L130</t>
  </si>
  <si>
    <t>https://github.com/GusSand/Anubis/blob/dced3375debfbe06362d2da03f71ea80b29fb81b/api/anubis/k8s/theia/reap.py#L136</t>
  </si>
  <si>
    <t>https://github.com/GusSand/Anubis/blob/dced3375debfbe06362d2da03f71ea80b29fb81b/api/anubis/k8s/theia/reap.py#L145</t>
  </si>
  <si>
    <t>https://github.com/GusSand/Anubis/blob/dced3375debfbe06362d2da03f71ea80b29fb81b/api/anubis/k8s/theia/reap.py#L148</t>
  </si>
  <si>
    <t>https://github.com/GusSand/Anubis/blob/dced3375debfbe06362d2da03f71ea80b29fb81b/api/anubis/k8s/theia/reap.py#L151</t>
  </si>
  <si>
    <t>https://github.com/GusSand/Anubis/blob/dced3375debfbe06362d2da03f71ea80b29fb81b/api/anubis/k8s/theia/reap.py#L156</t>
  </si>
  <si>
    <t>https://github.com/GusSand/Anubis/blob/dced3375debfbe06362d2da03f71ea80b29fb81b/api/anubis/k8s/theia/reap.py#L161</t>
  </si>
  <si>
    <t>https://github.com/GusSand/Anubis/blob/dced3375debfbe06362d2da03f71ea80b29fb81b/api/anubis/k8s/theia/reap.py#L166</t>
  </si>
  <si>
    <t>https://github.com/GusSand/Anubis/blob/dced3375debfbe06362d2da03f71ea80b29fb81b/api/anubis/k8s/theia/reap.py#L178</t>
  </si>
  <si>
    <t>https://github.com/GusSand/Anubis/blob/dced3375debfbe06362d2da03f71ea80b29fb81b/api/anubis/k8s/theia/reap.py#L181</t>
  </si>
  <si>
    <t>https://github.com/GusSand/Anubis/blob/dced3375debfbe06362d2da03f71ea80b29fb81b/api/anubis/k8s/theia/reap.py#L184</t>
  </si>
  <si>
    <t>https://github.com/GusSand/Anubis/blob/dced3375debfbe06362d2da03f71ea80b29fb81b/api/anubis/k8s/theia/reap.py#L191</t>
  </si>
  <si>
    <t>https://github.com/GusSand/Anubis/blob/dced3375debfbe06362d2da03f71ea80b29fb81b/api/anubis/k8s/theia/reap.py#L194</t>
  </si>
  <si>
    <t>https://github.com/GusSand/Anubis/blob/dced3375debfbe06362d2da03f71ea80b29fb81b/api/anubis/k8s/theia/reap.py#L197</t>
  </si>
  <si>
    <t>https://github.com/GusSand/Anubis/blob/dced3375debfbe06362d2da03f71ea80b29fb81b/api/anubis/k8s/theia/reap.py#L205</t>
  </si>
  <si>
    <t>https://github.com/GusSand/Anubis/blob/dced3375debfbe06362d2da03f71ea80b29fb81b/api/anubis/k8s/theia/reap.py#L216</t>
  </si>
  <si>
    <t>https://github.com/GusSand/Anubis/blob/dced3375debfbe06362d2da03f71ea80b29fb81b/api/anubis/k8s/theia/reap.py#L219</t>
  </si>
  <si>
    <t>https://github.com/GusSand/Anubis/blob/dced3375debfbe06362d2da03f71ea80b29fb81b/api/anubis/k8s/theia/reap.py#L222</t>
  </si>
  <si>
    <t>https://github.com/GusSand/Anubis/blob/dced3375debfbe06362d2da03f71ea80b29fb81b/api/anubis/k8s/theia/reap.py#L229</t>
  </si>
  <si>
    <t>https://github.com/GusSand/Anubis/blob/dced3375debfbe06362d2da03f71ea80b29fb81b/api/anubis/k8s/theia/reap.py#L232</t>
  </si>
  <si>
    <t>https://github.com/GusSand/Anubis/blob/dced3375debfbe06362d2da03f71ea80b29fb81b/api/anubis/k8s/theia/reap.py#L235</t>
  </si>
  <si>
    <t>https://github.com/GusSand/Anubis/blob/dced3375debfbe06362d2da03f71ea80b29fb81b/api/anubis/k8s/theia/reap.py#L243</t>
  </si>
  <si>
    <t>https://github.com/GusSand/Anubis/blob/dced3375debfbe06362d2da03f71ea80b29fb81b/api/anubis/k8s/theia/reap.py#L259</t>
  </si>
  <si>
    <t>https://github.com/GusSand/Anubis/blob/dced3375debfbe06362d2da03f71ea80b29fb81b/api/anubis/k8s/theia/reap.py#L262</t>
  </si>
  <si>
    <t>https://github.com/GusSand/Anubis/blob/dced3375debfbe06362d2da03f71ea80b29fb81b/api/anubis/k8s/theia/reap.py#L266</t>
  </si>
  <si>
    <t>https://github.com/GusSand/Anubis/blob/dced3375debfbe06362d2da03f71ea80b29fb81b/api/anubis/k8s/theia/reap.py#L271</t>
  </si>
  <si>
    <t>https://github.com/GusSand/Anubis/blob/dced3375debfbe06362d2da03f71ea80b29fb81b/api/anubis/k8s/theia/reap.py#L275</t>
  </si>
  <si>
    <t>https://github.com/GusSand/Anubis/blob/dced3375debfbe06362d2da03f71ea80b29fb81b/api/anubis/k8s/theia/reap.py#L279</t>
  </si>
  <si>
    <t>https://github.com/GusSand/Anubis/blob/dced3375debfbe06362d2da03f71ea80b29fb81b/api/anubis/k8s/theia/reap.py#L281</t>
  </si>
  <si>
    <t>https://github.com/GusSand/Anubis/blob/dced3375debfbe06362d2da03f71ea80b29fb81b/api/anubis/k8s/theia/reap.py#L283</t>
  </si>
  <si>
    <t>https://github.com/GusSand/Anubis/blob/dced3375debfbe06362d2da03f71ea80b29fb81b/api/anubis/k8s/theia/reap.py#L286</t>
  </si>
  <si>
    <t>https://github.com/GusSand/Anubis/blob/dced3375debfbe06362d2da03f71ea80b29fb81b/api/anubis/k8s/theia/reap.py#L291</t>
  </si>
  <si>
    <t>https://github.com/GusSand/Anubis/blob/dced3375debfbe06362d2da03f71ea80b29fb81b/api/anubis/k8s/theia/reap.py#L293</t>
  </si>
  <si>
    <t>https://github.com/GusSand/Anubis/blob/dced3375debfbe06362d2da03f71ea80b29fb81b/api/anubis/k8s/theia/reap.py#L295</t>
  </si>
  <si>
    <t>https://github.com/GusSand/Anubis/blob/dced3375debfbe06362d2da03f71ea80b29fb81b/api/anubis/k8s/theia/reap.py#L299</t>
  </si>
  <si>
    <t>https://github.com/GusSand/Anubis/blob/dced3375debfbe06362d2da03f71ea80b29fb81b/api/anubis/k8s/theia/reap.py#L301</t>
  </si>
  <si>
    <t>https://github.com/GusSand/Anubis/blob/dced3375debfbe06362d2da03f71ea80b29fb81b/api/anubis/k8s/theia/reap.py#L303</t>
  </si>
  <si>
    <t>https://github.com/GusSand/Anubis/blob/dced3375debfbe06362d2da03f71ea80b29fb81b/api/anubis/k8s/theia/reap.py#L307</t>
  </si>
  <si>
    <t>https://github.com/GusSand/Anubis/blob/dced3375debfbe06362d2da03f71ea80b29fb81b/api/anubis/k8s/theia/reap.py#L312</t>
  </si>
  <si>
    <t>https://github.com/GusSand/Anubis/blob/dced3375debfbe06362d2da03f71ea80b29fb81b/api/anubis/k8s/theia/reap.py#L316</t>
  </si>
  <si>
    <t>https://github.com/GusSand/Anubis/blob/dced3375debfbe06362d2da03f71ea80b29fb81b/api/anubis/k8s/theia/reap.py#L318</t>
  </si>
  <si>
    <t>https://github.com/GusSand/Anubis/blob/dced3375debfbe06362d2da03f71ea80b29fb81b/api/anubis/k8s/theia/reap.py#L321</t>
  </si>
  <si>
    <t>https://github.com/GusSand/Anubis/blob/dced3375debfbe06362d2da03f71ea80b29fb81b/api/anubis/k8s/theia/reap.py#L323</t>
  </si>
  <si>
    <t>https://github.com/GusSand/Anubis/blob/dced3375debfbe06362d2da03f71ea80b29fb81b/api/anubis/k8s/theia/reap.py#L327</t>
  </si>
  <si>
    <t>https://github.com/GusSand/Anubis/blob/dced3375debfbe06362d2da03f71ea80b29fb81b/api/anubis/k8s/theia/reap.py#L330</t>
  </si>
  <si>
    <t>https://github.com/GusSand/Anubis/blob/dced3375debfbe06362d2da03f71ea80b29fb81b/api/anubis/k8s/theia/reap.py#L335</t>
  </si>
  <si>
    <t>https://github.com/GusSand/Anubis/blob/dced3375debfbe06362d2da03f71ea80b29fb81b/api/anubis/k8s/theia/reap.py#L340</t>
  </si>
  <si>
    <t>https://github.com/GusSand/Anubis/blob/dced3375debfbe06362d2da03f71ea80b29fb81b/api/anubis/k8s/theia/reap.py#L345</t>
  </si>
  <si>
    <t>https://github.com/GusSand/Anubis/blob/dced3375debfbe06362d2da03f71ea80b29fb81b/api/anubis/k8s/theia/reap.py#L350</t>
  </si>
  <si>
    <t>https://github.com/GusSand/Anubis/blob/dced3375debfbe06362d2da03f71ea80b29fb81b/api/anubis/k8s/theia/reap.py#L354</t>
  </si>
  <si>
    <t>https://github.com/GusSand/Anubis/blob/dced3375debfbe06362d2da03f71ea80b29fb81b/api/anubis/k8s/theia/reap.py#L358</t>
  </si>
  <si>
    <t>https://github.com/GusSand/Anubis/blob/dced3375debfbe06362d2da03f71ea80b29fb81b/api/anubis/k8s/theia/reap.py#L363</t>
  </si>
  <si>
    <t>https://github.com/GusSand/Anubis/blob/dced3375debfbe06362d2da03f71ea80b29fb81b/api/anubis/k8s/theia/reap.py#L368</t>
  </si>
  <si>
    <t>Anubis/api/anubis/k8s/theia/get.py</t>
  </si>
  <si>
    <t>https://github.com/GusSand/Anubis/blob/dced3375debfbe06362d2da03f71ea80b29fb81b/api/anubis/k8s/theia/get.py#L5</t>
  </si>
  <si>
    <t>https://github.com/GusSand/Anubis/blob/dced3375debfbe06362d2da03f71ea80b29fb81b/api/anubis/k8s/theia/get.py#L14</t>
  </si>
  <si>
    <t>https://github.com/GusSand/Anubis/blob/dced3375debfbe06362d2da03f71ea80b29fb81b/api/anubis/k8s/theia/get.py#L24</t>
  </si>
  <si>
    <t>Anubis/api/anubis/k8s/pvc/reap.py</t>
  </si>
  <si>
    <t>https://github.com/GusSand/Anubis/blob/dced3375debfbe06362d2da03f71ea80b29fb81b/api/anubis/k8s/pvc/reap.py#L6</t>
  </si>
  <si>
    <t>Anubis/api/anubis/k8s/pvc/get.py</t>
  </si>
  <si>
    <t>https://github.com/GusSand/Anubis/blob/dced3375debfbe06362d2da03f71ea80b29fb81b/api/anubis/k8s/pvc/get.py#L9</t>
  </si>
  <si>
    <t>https://github.com/GusSand/Anubis/blob/dced3375debfbe06362d2da03f71ea80b29fb81b/api/anubis/k8s/pvc/get.py#L25</t>
  </si>
  <si>
    <t>https://github.com/GusSand/Anubis/blob/dced3375debfbe06362d2da03f71ea80b29fb81b/api/anubis/k8s/pvc/get.py#L33</t>
  </si>
  <si>
    <t>https://github.com/GusSand/Anubis/blob/dced3375debfbe06362d2da03f71ea80b29fb81b/api/anubis/k8s/pvc/get.py#L36</t>
  </si>
  <si>
    <t>https://github.com/GusSand/Anubis/blob/dced3375debfbe06362d2da03f71ea80b29fb81b/api/anubis/k8s/pvc/get.py#L41</t>
  </si>
  <si>
    <t>Anubis/api/anubis/google/service.py</t>
  </si>
  <si>
    <t>service.py</t>
  </si>
  <si>
    <t>https://github.com/GusSand/Anubis/blob/dced3375debfbe06362d2da03f71ea80b29fb81b/api/anubis/google/service.py#L10</t>
  </si>
  <si>
    <t>https://github.com/GusSand/Anubis/blob/dced3375debfbe06362d2da03f71ea80b29fb81b/api/anubis/google/service.py#L16</t>
  </si>
  <si>
    <t>https://github.com/GusSand/Anubis/blob/dced3375debfbe06362d2da03f71ea80b29fb81b/api/anubis/google/service.py#L28</t>
  </si>
  <si>
    <t>https://github.com/GusSand/Anubis/blob/dced3375debfbe06362d2da03f71ea80b29fb81b/api/anubis/google/service.py#L38</t>
  </si>
  <si>
    <t>https://github.com/GusSand/Anubis/blob/dced3375debfbe06362d2da03f71ea80b29fb81b/api/anubis/google/service.py#L41</t>
  </si>
  <si>
    <t>https://github.com/GusSand/Anubis/blob/dced3375debfbe06362d2da03f71ea80b29fb81b/api/anubis/google/service.py#L44</t>
  </si>
  <si>
    <t>https://github.com/GusSand/Anubis/blob/dced3375debfbe06362d2da03f71ea80b29fb81b/api/anubis/google/service.py#L47</t>
  </si>
  <si>
    <t>https://github.com/GusSand/Anubis/blob/dced3375debfbe06362d2da03f71ea80b29fb81b/api/anubis/google/service.py#L51</t>
  </si>
  <si>
    <t>https://github.com/GusSand/Anubis/blob/dced3375debfbe06362d2da03f71ea80b29fb81b/api/anubis/google/service.py#L55</t>
  </si>
  <si>
    <t>Anubis/api/anubis/google/gmail.py</t>
  </si>
  <si>
    <t>gmail.py</t>
  </si>
  <si>
    <t>https://github.com/GusSand/Anubis/blob/dced3375debfbe06362d2da03f71ea80b29fb81b/api/anubis/google/gmail.py#L16</t>
  </si>
  <si>
    <t>Anubis/api/anubis/utils/logging.py</t>
  </si>
  <si>
    <t>logging.py</t>
  </si>
  <si>
    <t>https://github.com/GusSand/Anubis/blob/dced3375debfbe06362d2da03f71ea80b29fb81b/api/anubis/utils/logging.py#L6</t>
  </si>
  <si>
    <t>https://github.com/GusSand/Anubis/blob/dced3375debfbe06362d2da03f71ea80b29fb81b/api/anubis/utils/logging.py#L16</t>
  </si>
  <si>
    <t>https://github.com/GusSand/Anubis/blob/dced3375debfbe06362d2da03f71ea80b29fb81b/api/anubis/utils/logging.py#L28</t>
  </si>
  <si>
    <t>Anubis/api/anubis/utils/config.py</t>
  </si>
  <si>
    <t>config.py</t>
  </si>
  <si>
    <t>https://github.com/GusSand/Anubis/blob/dced3375debfbe06362d2da03f71ea80b29fb81b/api/anubis/utils/config.py#L6</t>
  </si>
  <si>
    <t>https://github.com/GusSand/Anubis/blob/dced3375debfbe06362d2da03f71ea80b29fb81b/api/anubis/utils/config.py#L9</t>
  </si>
  <si>
    <t>https://github.com/GusSand/Anubis/blob/dced3375debfbe06362d2da03f71ea80b29fb81b/api/anubis/utils/config.py#L14</t>
  </si>
  <si>
    <t>https://github.com/GusSand/Anubis/blob/dced3375debfbe06362d2da03f71ea80b29fb81b/api/anubis/utils/config.py#L17</t>
  </si>
  <si>
    <t>https://github.com/GusSand/Anubis/blob/dced3375debfbe06362d2da03f71ea80b29fb81b/api/anubis/utils/config.py#L25</t>
  </si>
  <si>
    <t>https://github.com/GusSand/Anubis/blob/dced3375debfbe06362d2da03f71ea80b29fb81b/api/anubis/utils/config.py#L34</t>
  </si>
  <si>
    <t>https://github.com/GusSand/Anubis/blob/dced3375debfbe06362d2da03f71ea80b29fb81b/api/anubis/utils/config.py#L37</t>
  </si>
  <si>
    <t>https://github.com/GusSand/Anubis/blob/dced3375debfbe06362d2da03f71ea80b29fb81b/api/anubis/utils/config.py#L39</t>
  </si>
  <si>
    <t>https://github.com/GusSand/Anubis/blob/dced3375debfbe06362d2da03f71ea80b29fb81b/api/anubis/utils/config.py#L42</t>
  </si>
  <si>
    <t>https://github.com/GusSand/Anubis/blob/dced3375debfbe06362d2da03f71ea80b29fb81b/api/anubis/utils/config.py#L51</t>
  </si>
  <si>
    <t>https://github.com/GusSand/Anubis/blob/dced3375debfbe06362d2da03f71ea80b29fb81b/api/anubis/utils/config.py#L60</t>
  </si>
  <si>
    <t>https://github.com/GusSand/Anubis/blob/dced3375debfbe06362d2da03f71ea80b29fb81b/api/anubis/utils/config.py#L63</t>
  </si>
  <si>
    <t>https://github.com/GusSand/Anubis/blob/dced3375debfbe06362d2da03f71ea80b29fb81b/api/anubis/utils/config.py#L65</t>
  </si>
  <si>
    <t>https://github.com/GusSand/Anubis/blob/dced3375debfbe06362d2da03f71ea80b29fb81b/api/anubis/utils/config.py#L68</t>
  </si>
  <si>
    <t>https://github.com/GusSand/Anubis/blob/dced3375debfbe06362d2da03f71ea80b29fb81b/api/anubis/utils/config.py#L74</t>
  </si>
  <si>
    <t>https://github.com/GusSand/Anubis/blob/dced3375debfbe06362d2da03f71ea80b29fb81b/api/anubis/utils/config.py#L83</t>
  </si>
  <si>
    <t>https://github.com/GusSand/Anubis/blob/dced3375debfbe06362d2da03f71ea80b29fb81b/api/anubis/utils/config.py#L86</t>
  </si>
  <si>
    <t>https://github.com/GusSand/Anubis/blob/dced3375debfbe06362d2da03f71ea80b29fb81b/api/anubis/utils/config.py#L90</t>
  </si>
  <si>
    <t>https://github.com/GusSand/Anubis/blob/dced3375debfbe06362d2da03f71ea80b29fb81b/api/anubis/utils/config.py#L92</t>
  </si>
  <si>
    <t>https://github.com/GusSand/Anubis/blob/dced3375debfbe06362d2da03f71ea80b29fb81b/api/anubis/utils/config.py#L97</t>
  </si>
  <si>
    <t>https://github.com/GusSand/Anubis/blob/dced3375debfbe06362d2da03f71ea80b29fb81b/api/anubis/utils/config.py#L100</t>
  </si>
  <si>
    <t>https://github.com/GusSand/Anubis/blob/dced3375debfbe06362d2da03f71ea80b29fb81b/api/anubis/utils/config.py#L104</t>
  </si>
  <si>
    <t>https://github.com/GusSand/Anubis/blob/dced3375debfbe06362d2da03f71ea80b29fb81b/api/anubis/utils/config.py#L110</t>
  </si>
  <si>
    <t>https://github.com/GusSand/Anubis/blob/dced3375debfbe06362d2da03f71ea80b29fb81b/api/anubis/utils/config.py#L126</t>
  </si>
  <si>
    <t>https://github.com/GusSand/Anubis/blob/dced3375debfbe06362d2da03f71ea80b29fb81b/api/anubis/utils/config.py#L133</t>
  </si>
  <si>
    <t>Anubis/api/anubis/utils/cache.py</t>
  </si>
  <si>
    <t>cache.py</t>
  </si>
  <si>
    <t>https://github.com/GusSand/Anubis/blob/dced3375debfbe06362d2da03f71ea80b29fb81b/api/anubis/utils/cache.py#L6</t>
  </si>
  <si>
    <t>Anubis/api/anubis/utils/healthcheck.py</t>
  </si>
  <si>
    <t>healthcheck.py</t>
  </si>
  <si>
    <t>https://github.com/GusSand/Anubis/blob/dced3375debfbe06362d2da03f71ea80b29fb81b/api/anubis/utils/healthcheck.py#L14</t>
  </si>
  <si>
    <t>https://github.com/GusSand/Anubis/blob/dced3375debfbe06362d2da03f71ea80b29fb81b/api/anubis/utils/healthcheck.py#L31</t>
  </si>
  <si>
    <t>https://github.com/GusSand/Anubis/blob/dced3375debfbe06362d2da03f71ea80b29fb81b/api/anubis/utils/healthcheck.py#L41</t>
  </si>
  <si>
    <t>https://github.com/GusSand/Anubis/blob/dced3375debfbe06362d2da03f71ea80b29fb81b/api/anubis/utils/healthcheck.py#L45</t>
  </si>
  <si>
    <t>https://github.com/GusSand/Anubis/blob/dced3375debfbe06362d2da03f71ea80b29fb81b/api/anubis/utils/healthcheck.py#L52</t>
  </si>
  <si>
    <t>https://github.com/GusSand/Anubis/blob/dced3375debfbe06362d2da03f71ea80b29fb81b/api/anubis/utils/healthcheck.py#L56</t>
  </si>
  <si>
    <t>https://github.com/GusSand/Anubis/blob/dced3375debfbe06362d2da03f71ea80b29fb81b/api/anubis/utils/healthcheck.py#L63</t>
  </si>
  <si>
    <t>Anubis/api/anubis/utils/exceptions.py</t>
  </si>
  <si>
    <t>exceptions.py</t>
  </si>
  <si>
    <t>https://github.com/GusSand/Anubis/blob/dced3375debfbe06362d2da03f71ea80b29fb81b/api/anubis/utils/exceptions.py#L5</t>
  </si>
  <si>
    <t>https://github.com/GusSand/Anubis/blob/dced3375debfbe06362d2da03f71ea80b29fb81b/api/anubis/utils/exceptions.py#L20</t>
  </si>
  <si>
    <t>https://github.com/GusSand/Anubis/blob/dced3375debfbe06362d2da03f71ea80b29fb81b/api/anubis/utils/exceptions.py#L32</t>
  </si>
  <si>
    <t>https://github.com/GusSand/Anubis/blob/dced3375debfbe06362d2da03f71ea80b29fb81b/api/anubis/utils/exceptions.py#L45</t>
  </si>
  <si>
    <t>https://github.com/GusSand/Anubis/blob/dced3375debfbe06362d2da03f71ea80b29fb81b/api/anubis/utils/exceptions.py#L56</t>
  </si>
  <si>
    <t>https://github.com/GusSand/Anubis/blob/dced3375debfbe06362d2da03f71ea80b29fb81b/api/anubis/utils/exceptions.py#L66</t>
  </si>
  <si>
    <t>https://github.com/GusSand/Anubis/blob/dced3375debfbe06362d2da03f71ea80b29fb81b/api/anubis/utils/exceptions.py#L72</t>
  </si>
  <si>
    <t>Anubis/api/anubis/utils/sentry.py</t>
  </si>
  <si>
    <t>sentry.py</t>
  </si>
  <si>
    <t>https://github.com/GusSand/Anubis/blob/dced3375debfbe06362d2da03f71ea80b29fb81b/api/anubis/utils/sentry.py#L7</t>
  </si>
  <si>
    <t>https://github.com/GusSand/Anubis/blob/dced3375debfbe06362d2da03f71ea80b29fb81b/api/anubis/utils/sentry.py#L14</t>
  </si>
  <si>
    <t>https://github.com/GusSand/Anubis/blob/dced3375debfbe06362d2da03f71ea80b29fb81b/api/anubis/utils/sentry.py#L29</t>
  </si>
  <si>
    <t>https://github.com/GusSand/Anubis/blob/dced3375debfbe06362d2da03f71ea80b29fb81b/api/anubis/utils/sentry.py#L34</t>
  </si>
  <si>
    <t>Anubis/api/anubis/utils/data.py</t>
  </si>
  <si>
    <t>data.py</t>
  </si>
  <si>
    <t>https://github.com/GusSand/Anubis/blob/dced3375debfbe06362d2da03f71ea80b29fb81b/api/anubis/utils/data.py#L14</t>
  </si>
  <si>
    <t>https://github.com/GusSand/Anubis/blob/dced3375debfbe06362d2da03f71ea80b29fb81b/api/anubis/utils/data.py#L23</t>
  </si>
  <si>
    <t>https://github.com/GusSand/Anubis/blob/dced3375debfbe06362d2da03f71ea80b29fb81b/api/anubis/utils/data.py#L33</t>
  </si>
  <si>
    <t>https://github.com/GusSand/Anubis/blob/dced3375debfbe06362d2da03f71ea80b29fb81b/api/anubis/utils/data.py#L46</t>
  </si>
  <si>
    <t>https://github.com/GusSand/Anubis/blob/dced3375debfbe06362d2da03f71ea80b29fb81b/api/anubis/utils/data.py#L81</t>
  </si>
  <si>
    <t>https://github.com/GusSand/Anubis/blob/dced3375debfbe06362d2da03f71ea80b29fb81b/api/anubis/utils/data.py#L86</t>
  </si>
  <si>
    <t>https://github.com/GusSand/Anubis/blob/dced3375debfbe06362d2da03f71ea80b29fb81b/api/anubis/utils/data.py#L91</t>
  </si>
  <si>
    <t>https://github.com/GusSand/Anubis/blob/dced3375debfbe06362d2da03f71ea80b29fb81b/api/anubis/utils/data.py#L94</t>
  </si>
  <si>
    <t>https://github.com/GusSand/Anubis/blob/dced3375debfbe06362d2da03f71ea80b29fb81b/api/anubis/utils/data.py#L98</t>
  </si>
  <si>
    <t>https://github.com/GusSand/Anubis/blob/dced3375debfbe06362d2da03f71ea80b29fb81b/api/anubis/utils/data.py#L101</t>
  </si>
  <si>
    <t>https://github.com/GusSand/Anubis/blob/dced3375debfbe06362d2da03f71ea80b29fb81b/api/anubis/utils/data.py#L106</t>
  </si>
  <si>
    <t>https://github.com/GusSand/Anubis/blob/dced3375debfbe06362d2da03f71ea80b29fb81b/api/anubis/utils/data.py#L111</t>
  </si>
  <si>
    <t>https://github.com/GusSand/Anubis/blob/dced3375debfbe06362d2da03f71ea80b29fb81b/api/anubis/utils/data.py#L114</t>
  </si>
  <si>
    <t>https://github.com/GusSand/Anubis/blob/dced3375debfbe06362d2da03f71ea80b29fb81b/api/anubis/utils/data.py#L118</t>
  </si>
  <si>
    <t>https://github.com/GusSand/Anubis/blob/dced3375debfbe06362d2da03f71ea80b29fb81b/api/anubis/utils/data.py#L120</t>
  </si>
  <si>
    <t>https://github.com/GusSand/Anubis/blob/dced3375debfbe06362d2da03f71ea80b29fb81b/api/anubis/utils/data.py#L126</t>
  </si>
  <si>
    <t>https://github.com/GusSand/Anubis/blob/dced3375debfbe06362d2da03f71ea80b29fb81b/api/anubis/utils/data.py#L130</t>
  </si>
  <si>
    <t>https://github.com/GusSand/Anubis/blob/dced3375debfbe06362d2da03f71ea80b29fb81b/api/anubis/utils/data.py#L132</t>
  </si>
  <si>
    <t>https://github.com/GusSand/Anubis/blob/dced3375debfbe06362d2da03f71ea80b29fb81b/api/anubis/utils/data.py#L136</t>
  </si>
  <si>
    <t>https://github.com/GusSand/Anubis/blob/dced3375debfbe06362d2da03f71ea80b29fb81b/api/anubis/utils/data.py#L139</t>
  </si>
  <si>
    <t>https://github.com/GusSand/Anubis/blob/dced3375debfbe06362d2da03f71ea80b29fb81b/api/anubis/utils/data.py#L147</t>
  </si>
  <si>
    <t>https://github.com/GusSand/Anubis/blob/dced3375debfbe06362d2da03f71ea80b29fb81b/api/anubis/utils/data.py#L153</t>
  </si>
  <si>
    <t>https://github.com/GusSand/Anubis/blob/dced3375debfbe06362d2da03f71ea80b29fb81b/api/anubis/utils/data.py#L169</t>
  </si>
  <si>
    <t>https://github.com/GusSand/Anubis/blob/dced3375debfbe06362d2da03f71ea80b29fb81b/api/anubis/utils/data.py#L181</t>
  </si>
  <si>
    <t>https://github.com/GusSand/Anubis/blob/dced3375debfbe06362d2da03f71ea80b29fb81b/api/anubis/utils/data.py#L195</t>
  </si>
  <si>
    <t>https://github.com/GusSand/Anubis/blob/dced3375debfbe06362d2da03f71ea80b29fb81b/api/anubis/utils/data.py#L206</t>
  </si>
  <si>
    <t>https://github.com/GusSand/Anubis/blob/dced3375debfbe06362d2da03f71ea80b29fb81b/api/anubis/utils/data.py#L208</t>
  </si>
  <si>
    <t>https://github.com/GusSand/Anubis/blob/dced3375debfbe06362d2da03f71ea80b29fb81b/api/anubis/utils/data.py#L210</t>
  </si>
  <si>
    <t>https://github.com/GusSand/Anubis/blob/dced3375debfbe06362d2da03f71ea80b29fb81b/api/anubis/utils/data.py#L216</t>
  </si>
  <si>
    <t>https://github.com/GusSand/Anubis/blob/dced3375debfbe06362d2da03f71ea80b29fb81b/api/anubis/utils/data.py#L248</t>
  </si>
  <si>
    <t>https://github.com/GusSand/Anubis/blob/dced3375debfbe06362d2da03f71ea80b29fb81b/api/anubis/utils/data.py#L262</t>
  </si>
  <si>
    <t>https://github.com/GusSand/Anubis/blob/dced3375debfbe06362d2da03f71ea80b29fb81b/api/anubis/utils/data.py#L266</t>
  </si>
  <si>
    <t>https://github.com/GusSand/Anubis/blob/dced3375debfbe06362d2da03f71ea80b29fb81b/api/anubis/utils/data.py#L270</t>
  </si>
  <si>
    <t>https://github.com/GusSand/Anubis/blob/dced3375debfbe06362d2da03f71ea80b29fb81b/api/anubis/utils/data.py#L277</t>
  </si>
  <si>
    <t>https://github.com/GusSand/Anubis/blob/dced3375debfbe06362d2da03f71ea80b29fb81b/api/anubis/utils/data.py#L285</t>
  </si>
  <si>
    <t>https://github.com/GusSand/Anubis/blob/dced3375debfbe06362d2da03f71ea80b29fb81b/api/anubis/utils/data.py#L295</t>
  </si>
  <si>
    <t>https://github.com/GusSand/Anubis/blob/dced3375debfbe06362d2da03f71ea80b29fb81b/api/anubis/utils/data.py#L299</t>
  </si>
  <si>
    <t>https://github.com/GusSand/Anubis/blob/dced3375debfbe06362d2da03f71ea80b29fb81b/api/anubis/utils/data.py#L304</t>
  </si>
  <si>
    <t>https://github.com/GusSand/Anubis/blob/dced3375debfbe06362d2da03f71ea80b29fb81b/api/anubis/utils/data.py#L307</t>
  </si>
  <si>
    <t>https://github.com/GusSand/Anubis/blob/dced3375debfbe06362d2da03f71ea80b29fb81b/api/anubis/utils/data.py#L310</t>
  </si>
  <si>
    <t>https://github.com/GusSand/Anubis/blob/dced3375debfbe06362d2da03f71ea80b29fb81b/api/anubis/utils/data.py#L317</t>
  </si>
  <si>
    <t>Anubis/api/anubis/utils/pipeline/decorators.py</t>
  </si>
  <si>
    <t>decorators.py</t>
  </si>
  <si>
    <t>https://github.com/GusSand/Anubis/blob/dced3375debfbe06362d2da03f71ea80b29fb81b/api/anubis/utils/pipeline/decorators.py#L9</t>
  </si>
  <si>
    <t>https://github.com/GusSand/Anubis/blob/dced3375debfbe06362d2da03f71ea80b29fb81b/api/anubis/utils/pipeline/decorators.py#L25</t>
  </si>
  <si>
    <t>https://github.com/GusSand/Anubis/blob/dced3375debfbe06362d2da03f71ea80b29fb81b/api/anubis/utils/pipeline/decorators.py#L28</t>
  </si>
  <si>
    <t>https://github.com/GusSand/Anubis/blob/dced3375debfbe06362d2da03f71ea80b29fb81b/api/anubis/utils/pipeline/decorators.py#L31</t>
  </si>
  <si>
    <t>https://github.com/GusSand/Anubis/blob/dced3375debfbe06362d2da03f71ea80b29fb81b/api/anubis/utils/pipeline/decorators.py#L33</t>
  </si>
  <si>
    <t>https://github.com/GusSand/Anubis/blob/dced3375debfbe06362d2da03f71ea80b29fb81b/api/anubis/utils/pipeline/decorators.py#L44</t>
  </si>
  <si>
    <t>https://github.com/GusSand/Anubis/blob/dced3375debfbe06362d2da03f71ea80b29fb81b/api/anubis/utils/pipeline/decorators.py#L47</t>
  </si>
  <si>
    <t>https://github.com/GusSand/Anubis/blob/dced3375debfbe06362d2da03f71ea80b29fb81b/api/anubis/utils/pipeline/decorators.py#L49</t>
  </si>
  <si>
    <t>https://github.com/GusSand/Anubis/blob/dced3375debfbe06362d2da03f71ea80b29fb81b/api/anubis/utils/pipeline/decorators.py#L60</t>
  </si>
  <si>
    <t>https://github.com/GusSand/Anubis/blob/dced3375debfbe06362d2da03f71ea80b29fb81b/api/anubis/utils/pipeline/decorators.py#L63</t>
  </si>
  <si>
    <t>https://github.com/GusSand/Anubis/blob/dced3375debfbe06362d2da03f71ea80b29fb81b/api/anubis/utils/pipeline/decorators.py#L65</t>
  </si>
  <si>
    <t>https://github.com/GusSand/Anubis/blob/dced3375debfbe06362d2da03f71ea80b29fb81b/api/anubis/utils/pipeline/decorators.py#L76</t>
  </si>
  <si>
    <t>https://github.com/GusSand/Anubis/blob/dced3375debfbe06362d2da03f71ea80b29fb81b/api/anubis/utils/pipeline/decorators.py#L79</t>
  </si>
  <si>
    <t>https://github.com/GusSand/Anubis/blob/dced3375debfbe06362d2da03f71ea80b29fb81b/api/anubis/utils/pipeline/decorators.py#L82</t>
  </si>
  <si>
    <t>Anubis/api/anubis/utils/auth/user.py</t>
  </si>
  <si>
    <t>user.py</t>
  </si>
  <si>
    <t>https://github.com/GusSand/Anubis/blob/dced3375debfbe06362d2da03f71ea80b29fb81b/api/anubis/utils/auth/user.py#L15</t>
  </si>
  <si>
    <t>https://github.com/GusSand/Anubis/blob/dced3375debfbe06362d2da03f71ea80b29fb81b/api/anubis/utils/auth/user.py#L23</t>
  </si>
  <si>
    <t>https://github.com/GusSand/Anubis/blob/dced3375debfbe06362d2da03f71ea80b29fb81b/api/anubis/utils/auth/user.py#L28</t>
  </si>
  <si>
    <t>https://github.com/GusSand/Anubis/blob/dced3375debfbe06362d2da03f71ea80b29fb81b/api/anubis/utils/auth/user.py#L35</t>
  </si>
  <si>
    <t>https://github.com/GusSand/Anubis/blob/dced3375debfbe06362d2da03f71ea80b29fb81b/api/anubis/utils/auth/user.py#L39</t>
  </si>
  <si>
    <t>https://github.com/GusSand/Anubis/blob/dced3375debfbe06362d2da03f71ea80b29fb81b/api/anubis/utils/auth/user.py#L44</t>
  </si>
  <si>
    <t>https://github.com/GusSand/Anubis/blob/dced3375debfbe06362d2da03f71ea80b29fb81b/api/anubis/utils/auth/user.py#L50</t>
  </si>
  <si>
    <t>https://github.com/GusSand/Anubis/blob/dced3375debfbe06362d2da03f71ea80b29fb81b/api/anubis/utils/auth/user.py#L57</t>
  </si>
  <si>
    <t>https://github.com/GusSand/Anubis/blob/dced3375debfbe06362d2da03f71ea80b29fb81b/api/anubis/utils/auth/user.py#L73</t>
  </si>
  <si>
    <t>https://github.com/GusSand/Anubis/blob/dced3375debfbe06362d2da03f71ea80b29fb81b/api/anubis/utils/auth/user.py#L78</t>
  </si>
  <si>
    <t>https://github.com/GusSand/Anubis/blob/dced3375debfbe06362d2da03f71ea80b29fb81b/api/anubis/utils/auth/user.py#L81</t>
  </si>
  <si>
    <t>https://github.com/GusSand/Anubis/blob/dced3375debfbe06362d2da03f71ea80b29fb81b/api/anubis/utils/auth/user.py#L85</t>
  </si>
  <si>
    <t>Anubis/api/anubis/utils/auth/token.py</t>
  </si>
  <si>
    <t>token.py</t>
  </si>
  <si>
    <t>https://github.com/GusSand/Anubis/blob/dced3375debfbe06362d2da03f71ea80b29fb81b/api/anubis/utils/auth/token.py#L11</t>
  </si>
  <si>
    <t>https://github.com/GusSand/Anubis/blob/dced3375debfbe06362d2da03f71ea80b29fb81b/api/anubis/utils/auth/token.py#L29</t>
  </si>
  <si>
    <t>https://github.com/GusSand/Anubis/blob/dced3375debfbe06362d2da03f71ea80b29fb81b/api/anubis/utils/auth/token.py#L39</t>
  </si>
  <si>
    <t>https://github.com/GusSand/Anubis/blob/dced3375debfbe06362d2da03f71ea80b29fb81b/api/anubis/utils/auth/token.py#L42</t>
  </si>
  <si>
    <t>https://github.com/GusSand/Anubis/blob/dced3375debfbe06362d2da03f71ea80b29fb81b/api/anubis/utils/auth/token.py#L45</t>
  </si>
  <si>
    <t>https://github.com/GusSand/Anubis/blob/dced3375debfbe06362d2da03f71ea80b29fb81b/api/anubis/utils/auth/token.py#L49</t>
  </si>
  <si>
    <t>https://github.com/GusSand/Anubis/blob/dced3375debfbe06362d2da03f71ea80b29fb81b/api/anubis/utils/auth/token.py#L53</t>
  </si>
  <si>
    <t>Anubis/api/anubis/utils/auth/http.py</t>
  </si>
  <si>
    <t>http.py</t>
  </si>
  <si>
    <t>https://github.com/GusSand/Anubis/blob/dced3375debfbe06362d2da03f71ea80b29fb81b/api/anubis/utils/auth/http.py#L8</t>
  </si>
  <si>
    <t>https://github.com/GusSand/Anubis/blob/dced3375debfbe06362d2da03f71ea80b29fb81b/api/anubis/utils/auth/http.py#L20</t>
  </si>
  <si>
    <t>https://github.com/GusSand/Anubis/blob/dced3375debfbe06362d2da03f71ea80b29fb81b/api/anubis/utils/auth/http.py#L24</t>
  </si>
  <si>
    <t>https://github.com/GusSand/Anubis/blob/dced3375debfbe06362d2da03f71ea80b29fb81b/api/anubis/utils/auth/http.py#L29</t>
  </si>
  <si>
    <t>https://github.com/GusSand/Anubis/blob/dced3375debfbe06362d2da03f71ea80b29fb81b/api/anubis/utils/auth/http.py#L35</t>
  </si>
  <si>
    <t>https://github.com/GusSand/Anubis/blob/dced3375debfbe06362d2da03f71ea80b29fb81b/api/anubis/utils/auth/http.py#L45</t>
  </si>
  <si>
    <t>https://github.com/GusSand/Anubis/blob/dced3375debfbe06362d2da03f71ea80b29fb81b/api/anubis/utils/auth/http.py#L57</t>
  </si>
  <si>
    <t>https://github.com/GusSand/Anubis/blob/dced3375debfbe06362d2da03f71ea80b29fb81b/api/anubis/utils/auth/http.py#L61</t>
  </si>
  <si>
    <t>https://github.com/GusSand/Anubis/blob/dced3375debfbe06362d2da03f71ea80b29fb81b/api/anubis/utils/auth/http.py#L66</t>
  </si>
  <si>
    <t>https://github.com/GusSand/Anubis/blob/dced3375debfbe06362d2da03f71ea80b29fb81b/api/anubis/utils/auth/http.py#L81</t>
  </si>
  <si>
    <t>https://github.com/GusSand/Anubis/blob/dced3375debfbe06362d2da03f71ea80b29fb81b/api/anubis/utils/auth/http.py#L91</t>
  </si>
  <si>
    <t>https://github.com/GusSand/Anubis/blob/dced3375debfbe06362d2da03f71ea80b29fb81b/api/anubis/utils/auth/http.py#L103</t>
  </si>
  <si>
    <t>https://github.com/GusSand/Anubis/blob/dced3375debfbe06362d2da03f71ea80b29fb81b/api/anubis/utils/auth/http.py#L107</t>
  </si>
  <si>
    <t>https://github.com/GusSand/Anubis/blob/dced3375debfbe06362d2da03f71ea80b29fb81b/api/anubis/utils/auth/http.py#L112</t>
  </si>
  <si>
    <t>https://github.com/GusSand/Anubis/blob/dced3375debfbe06362d2da03f71ea80b29fb81b/api/anubis/utils/auth/http.py#L118</t>
  </si>
  <si>
    <t>https://github.com/GusSand/Anubis/blob/dced3375debfbe06362d2da03f71ea80b29fb81b/api/anubis/utils/auth/http.py#L123</t>
  </si>
  <si>
    <t>Anubis/api/anubis/utils/usage/theia.py</t>
  </si>
  <si>
    <t>https://github.com/GusSand/Anubis/blob/dced3375debfbe06362d2da03f71ea80b29fb81b/api/anubis/utils/usage/theia.py#L7</t>
  </si>
  <si>
    <t>https://github.com/GusSand/Anubis/blob/dced3375debfbe06362d2da03f71ea80b29fb81b/api/anubis/utils/usage/theia.py#L20</t>
  </si>
  <si>
    <t>https://github.com/GusSand/Anubis/blob/dced3375debfbe06362d2da03f71ea80b29fb81b/api/anubis/utils/usage/theia.py#L32</t>
  </si>
  <si>
    <t>https://github.com/GusSand/Anubis/blob/dced3375debfbe06362d2da03f71ea80b29fb81b/api/anubis/utils/usage/theia.py#L35</t>
  </si>
  <si>
    <t>https://github.com/GusSand/Anubis/blob/dced3375debfbe06362d2da03f71ea80b29fb81b/api/anubis/utils/usage/theia.py#L46</t>
  </si>
  <si>
    <t>https://github.com/GusSand/Anubis/blob/dced3375debfbe06362d2da03f71ea80b29fb81b/api/anubis/utils/usage/theia.py#L50</t>
  </si>
  <si>
    <t>https://github.com/GusSand/Anubis/blob/dced3375debfbe06362d2da03f71ea80b29fb81b/api/anubis/utils/usage/theia.py#L52</t>
  </si>
  <si>
    <t>https://github.com/GusSand/Anubis/blob/dced3375debfbe06362d2da03f71ea80b29fb81b/api/anubis/utils/usage/theia.py#L57</t>
  </si>
  <si>
    <t>https://github.com/GusSand/Anubis/blob/dced3375debfbe06362d2da03f71ea80b29fb81b/api/anubis/utils/usage/theia.py#L61</t>
  </si>
  <si>
    <t>Anubis/api/anubis/utils/usage/submissions.py</t>
  </si>
  <si>
    <t>https://github.com/GusSand/Anubis/blob/dced3375debfbe06362d2da03f71ea80b29fb81b/api/anubis/utils/usage/submissions.py#L8</t>
  </si>
  <si>
    <t>https://github.com/GusSand/Anubis/blob/dced3375debfbe06362d2da03f71ea80b29fb81b/api/anubis/utils/usage/submissions.py#L13</t>
  </si>
  <si>
    <t>https://github.com/GusSand/Anubis/blob/dced3375debfbe06362d2da03f71ea80b29fb81b/api/anubis/utils/usage/submissions.py#L23</t>
  </si>
  <si>
    <t>https://github.com/GusSand/Anubis/blob/dced3375debfbe06362d2da03f71ea80b29fb81b/api/anubis/utils/usage/submissions.py#L26</t>
  </si>
  <si>
    <t>https://github.com/GusSand/Anubis/blob/dced3375debfbe06362d2da03f71ea80b29fb81b/api/anubis/utils/usage/submissions.py#L37</t>
  </si>
  <si>
    <t>Anubis/api/anubis/utils/testing/db.py</t>
  </si>
  <si>
    <t>db.py</t>
  </si>
  <si>
    <t>https://github.com/GusSand/Anubis/blob/dced3375debfbe06362d2da03f71ea80b29fb81b/api/anubis/utils/testing/db.py#L31</t>
  </si>
  <si>
    <t>Anubis/api/anubis/utils/testing/autograde_timings.py</t>
  </si>
  <si>
    <t>autograde_timings.py</t>
  </si>
  <si>
    <t>https://github.com/GusSand/Anubis/blob/dced3375debfbe06362d2da03f71ea80b29fb81b/api/anubis/utils/testing/autograde_timings.py#L11</t>
  </si>
  <si>
    <t>Anubis/api/anubis/utils/testing/seed.py</t>
  </si>
  <si>
    <t>seed.py</t>
  </si>
  <si>
    <t>https://github.com/GusSand/Anubis/blob/dced3375debfbe06362d2da03f71ea80b29fb81b/api/anubis/utils/testing/seed.py#L42</t>
  </si>
  <si>
    <t>https://github.com/GusSand/Anubis/blob/dced3375debfbe06362d2da03f71ea80b29fb81b/api/anubis/utils/testing/seed.py#L52</t>
  </si>
  <si>
    <t>https://github.com/GusSand/Anubis/blob/dced3375debfbe06362d2da03f71ea80b29fb81b/api/anubis/utils/testing/seed.py#L67</t>
  </si>
  <si>
    <t>https://github.com/GusSand/Anubis/blob/dced3375debfbe06362d2da03f71ea80b29fb81b/api/anubis/utils/testing/seed.py#L94</t>
  </si>
  <si>
    <t>https://github.com/GusSand/Anubis/blob/dced3375debfbe06362d2da03f71ea80b29fb81b/api/anubis/utils/testing/seed.py#L193</t>
  </si>
  <si>
    <t>https://github.com/GusSand/Anubis/blob/dced3375debfbe06362d2da03f71ea80b29fb81b/api/anubis/utils/testing/seed.py#L197</t>
  </si>
  <si>
    <t>https://github.com/GusSand/Anubis/blob/dced3375debfbe06362d2da03f71ea80b29fb81b/api/anubis/utils/testing/seed.py#L204</t>
  </si>
  <si>
    <t>https://github.com/GusSand/Anubis/blob/dced3375debfbe06362d2da03f71ea80b29fb81b/api/anubis/utils/testing/seed.py#L231</t>
  </si>
  <si>
    <t>https://github.com/GusSand/Anubis/blob/dced3375debfbe06362d2da03f71ea80b29fb81b/api/anubis/utils/testing/seed.py#L317</t>
  </si>
  <si>
    <t>https://github.com/GusSand/Anubis/blob/dced3375debfbe06362d2da03f71ea80b29fb81b/api/anubis/utils/testing/seed.py#L383</t>
  </si>
  <si>
    <t>https://github.com/GusSand/Anubis/blob/dced3375debfbe06362d2da03f71ea80b29fb81b/api/anubis/utils/testing/seed.py#L454</t>
  </si>
  <si>
    <t>Anubis/api/anubis/utils/http/files.py</t>
  </si>
  <si>
    <t>files.py</t>
  </si>
  <si>
    <t>https://github.com/GusSand/Anubis/blob/dced3375debfbe06362d2da03f71ea80b29fb81b/api/anubis/utils/http/files.py#L8</t>
  </si>
  <si>
    <t>https://github.com/GusSand/Anubis/blob/dced3375debfbe06362d2da03f71ea80b29fb81b/api/anubis/utils/http/files.py#L20</t>
  </si>
  <si>
    <t>https://github.com/GusSand/Anubis/blob/dced3375debfbe06362d2da03f71ea80b29fb81b/api/anubis/utils/http/files.py#L29</t>
  </si>
  <si>
    <t>https://github.com/GusSand/Anubis/blob/dced3375debfbe06362d2da03f71ea80b29fb81b/api/anubis/utils/http/files.py#L32</t>
  </si>
  <si>
    <t>https://github.com/GusSand/Anubis/blob/dced3375debfbe06362d2da03f71ea80b29fb81b/api/anubis/utils/http/files.py#L37</t>
  </si>
  <si>
    <t>https://github.com/GusSand/Anubis/blob/dced3375debfbe06362d2da03f71ea80b29fb81b/api/anubis/utils/http/files.py#L44</t>
  </si>
  <si>
    <t>https://github.com/GusSand/Anubis/blob/dced3375debfbe06362d2da03f71ea80b29fb81b/api/anubis/utils/http/files.py#L47</t>
  </si>
  <si>
    <t>https://github.com/GusSand/Anubis/blob/dced3375debfbe06362d2da03f71ea80b29fb81b/api/anubis/utils/http/files.py#L50</t>
  </si>
  <si>
    <t>https://github.com/GusSand/Anubis/blob/dced3375debfbe06362d2da03f71ea80b29fb81b/api/anubis/utils/http/files.py#L55</t>
  </si>
  <si>
    <t>https://github.com/GusSand/Anubis/blob/dced3375debfbe06362d2da03f71ea80b29fb81b/api/anubis/utils/http/files.py#L60</t>
  </si>
  <si>
    <t>https://github.com/GusSand/Anubis/blob/dced3375debfbe06362d2da03f71ea80b29fb81b/api/anubis/utils/http/files.py#L63</t>
  </si>
  <si>
    <t>https://github.com/GusSand/Anubis/blob/dced3375debfbe06362d2da03f71ea80b29fb81b/api/anubis/utils/http/files.py#L66</t>
  </si>
  <si>
    <t>https://github.com/GusSand/Anubis/blob/dced3375debfbe06362d2da03f71ea80b29fb81b/api/anubis/utils/http/files.py#L69</t>
  </si>
  <si>
    <t>https://github.com/GusSand/Anubis/blob/dced3375debfbe06362d2da03f71ea80b29fb81b/api/anubis/utils/http/files.py#L75</t>
  </si>
  <si>
    <t>https://github.com/GusSand/Anubis/blob/dced3375debfbe06362d2da03f71ea80b29fb81b/api/anubis/utils/http/files.py#L78</t>
  </si>
  <si>
    <t>https://github.com/GusSand/Anubis/blob/dced3375debfbe06362d2da03f71ea80b29fb81b/api/anubis/utils/http/files.py#L82</t>
  </si>
  <si>
    <t>https://github.com/GusSand/Anubis/blob/dced3375debfbe06362d2da03f71ea80b29fb81b/api/anubis/utils/http/files.py#L87</t>
  </si>
  <si>
    <t>https://github.com/GusSand/Anubis/blob/dced3375debfbe06362d2da03f71ea80b29fb81b/api/anubis/utils/http/files.py#L95</t>
  </si>
  <si>
    <t>https://github.com/GusSand/Anubis/blob/dced3375debfbe06362d2da03f71ea80b29fb81b/api/anubis/utils/http/files.py#L98</t>
  </si>
  <si>
    <t>https://github.com/GusSand/Anubis/blob/dced3375debfbe06362d2da03f71ea80b29fb81b/api/anubis/utils/http/files.py#L101</t>
  </si>
  <si>
    <t>Anubis/api/anubis/utils/http/__init__.py</t>
  </si>
  <si>
    <t>https://github.com/GusSand/Anubis/blob/dced3375debfbe06362d2da03f71ea80b29fb81b/api/anubis/utils/http/__init__.py#L8</t>
  </si>
  <si>
    <t>https://github.com/GusSand/Anubis/blob/dced3375debfbe06362d2da03f71ea80b29fb81b/api/anubis/utils/http/__init__.py#L16</t>
  </si>
  <si>
    <t>https://github.com/GusSand/Anubis/blob/dced3375debfbe06362d2da03f71ea80b29fb81b/api/anubis/utils/http/__init__.py#L20</t>
  </si>
  <si>
    <t>https://github.com/GusSand/Anubis/blob/dced3375debfbe06362d2da03f71ea80b29fb81b/api/anubis/utils/http/__init__.py#L28</t>
  </si>
  <si>
    <t>https://github.com/GusSand/Anubis/blob/dced3375debfbe06362d2da03f71ea80b29fb81b/api/anubis/utils/http/__init__.py#L31</t>
  </si>
  <si>
    <t>https://github.com/GusSand/Anubis/blob/dced3375debfbe06362d2da03f71ea80b29fb81b/api/anubis/utils/http/__init__.py#L40</t>
  </si>
  <si>
    <t>https://github.com/GusSand/Anubis/blob/dced3375debfbe06362d2da03f71ea80b29fb81b/api/anubis/utils/http/__init__.py#L54</t>
  </si>
  <si>
    <t>https://github.com/GusSand/Anubis/blob/dced3375debfbe06362d2da03f71ea80b29fb81b/api/anubis/utils/http/__init__.py#L68</t>
  </si>
  <si>
    <t>https://github.com/GusSand/Anubis/blob/dced3375debfbe06362d2da03f71ea80b29fb81b/api/anubis/utils/http/__init__.py#L82</t>
  </si>
  <si>
    <t>https://github.com/GusSand/Anubis/blob/dced3375debfbe06362d2da03f71ea80b29fb81b/api/anubis/utils/http/__init__.py#L86</t>
  </si>
  <si>
    <t>https://github.com/GusSand/Anubis/blob/dced3375debfbe06362d2da03f71ea80b29fb81b/api/anubis/utils/http/__init__.py#L89</t>
  </si>
  <si>
    <t>https://github.com/GusSand/Anubis/blob/dced3375debfbe06362d2da03f71ea80b29fb81b/api/anubis/utils/http/__init__.py#L92</t>
  </si>
  <si>
    <t>https://github.com/GusSand/Anubis/blob/dced3375debfbe06362d2da03f71ea80b29fb81b/api/anubis/utils/http/__init__.py#L95</t>
  </si>
  <si>
    <t>https://github.com/GusSand/Anubis/blob/dced3375debfbe06362d2da03f71ea80b29fb81b/api/anubis/utils/http/__init__.py#L98</t>
  </si>
  <si>
    <t>https://github.com/GusSand/Anubis/blob/dced3375debfbe06362d2da03f71ea80b29fb81b/api/anubis/utils/http/__init__.py#L107</t>
  </si>
  <si>
    <t>https://github.com/GusSand/Anubis/blob/dced3375debfbe06362d2da03f71ea80b29fb81b/api/anubis/utils/http/__init__.py#L114</t>
  </si>
  <si>
    <t>https://github.com/GusSand/Anubis/blob/dced3375debfbe06362d2da03f71ea80b29fb81b/api/anubis/utils/http/__init__.py#L116</t>
  </si>
  <si>
    <t>https://github.com/GusSand/Anubis/blob/dced3375debfbe06362d2da03f71ea80b29fb81b/api/anubis/utils/http/__init__.py#L120</t>
  </si>
  <si>
    <t>https://github.com/GusSand/Anubis/blob/dced3375debfbe06362d2da03f71ea80b29fb81b/api/anubis/utils/http/__init__.py#L123</t>
  </si>
  <si>
    <t>https://github.com/GusSand/Anubis/blob/dced3375debfbe06362d2da03f71ea80b29fb81b/api/anubis/utils/http/__init__.py#L126</t>
  </si>
  <si>
    <t>https://github.com/GusSand/Anubis/blob/dced3375debfbe06362d2da03f71ea80b29fb81b/api/anubis/utils/http/__init__.py#L130</t>
  </si>
  <si>
    <t>https://github.com/GusSand/Anubis/blob/dced3375debfbe06362d2da03f71ea80b29fb81b/api/anubis/utils/http/__init__.py#L135</t>
  </si>
  <si>
    <t>Anubis/api/anubis/utils/http/decorators.py</t>
  </si>
  <si>
    <t>https://github.com/GusSand/Anubis/blob/dced3375debfbe06362d2da03f71ea80b29fb81b/api/anubis/utils/http/decorators.py#L10</t>
  </si>
  <si>
    <t>https://github.com/GusSand/Anubis/blob/dced3375debfbe06362d2da03f71ea80b29fb81b/api/anubis/utils/http/decorators.py#L32</t>
  </si>
  <si>
    <t>https://github.com/GusSand/Anubis/blob/dced3375debfbe06362d2da03f71ea80b29fb81b/api/anubis/utils/http/decorators.py#L36</t>
  </si>
  <si>
    <t>https://github.com/GusSand/Anubis/blob/dced3375debfbe06362d2da03f71ea80b29fb81b/api/anubis/utils/http/decorators.py#L40</t>
  </si>
  <si>
    <t>https://github.com/GusSand/Anubis/blob/dced3375debfbe06362d2da03f71ea80b29fb81b/api/anubis/utils/http/decorators.py#L54</t>
  </si>
  <si>
    <t>https://github.com/GusSand/Anubis/blob/dced3375debfbe06362d2da03f71ea80b29fb81b/api/anubis/utils/http/decorators.py#L81</t>
  </si>
  <si>
    <t>https://github.com/GusSand/Anubis/blob/dced3375debfbe06362d2da03f71ea80b29fb81b/api/anubis/utils/http/decorators.py#L116</t>
  </si>
  <si>
    <t>https://github.com/GusSand/Anubis/blob/dced3375debfbe06362d2da03f71ea80b29fb81b/api/anubis/utils/http/decorators.py#L119</t>
  </si>
  <si>
    <t>https://github.com/GusSand/Anubis/blob/dced3375debfbe06362d2da03f71ea80b29fb81b/api/anubis/utils/http/decorators.py#L123</t>
  </si>
  <si>
    <t>https://github.com/GusSand/Anubis/blob/dced3375debfbe06362d2da03f71ea80b29fb81b/api/anubis/utils/http/decorators.py#L130</t>
  </si>
  <si>
    <t>https://github.com/GusSand/Anubis/blob/dced3375debfbe06362d2da03f71ea80b29fb81b/api/anubis/utils/http/decorators.py#L134</t>
  </si>
  <si>
    <t>https://github.com/GusSand/Anubis/blob/dced3375debfbe06362d2da03f71ea80b29fb81b/api/anubis/utils/http/decorators.py#L137</t>
  </si>
  <si>
    <t>https://github.com/GusSand/Anubis/blob/dced3375debfbe06362d2da03f71ea80b29fb81b/api/anubis/utils/http/decorators.py#L142</t>
  </si>
  <si>
    <t>https://github.com/GusSand/Anubis/blob/dced3375debfbe06362d2da03f71ea80b29fb81b/api/anubis/utils/http/decorators.py#L144</t>
  </si>
  <si>
    <t>https://github.com/GusSand/Anubis/blob/dced3375debfbe06362d2da03f71ea80b29fb81b/api/anubis/utils/http/decorators.py#L148</t>
  </si>
  <si>
    <t>https://github.com/GusSand/Anubis/blob/dced3375debfbe06362d2da03f71ea80b29fb81b/api/anubis/utils/http/decorators.py#L153</t>
  </si>
  <si>
    <t>https://github.com/GusSand/Anubis/blob/dced3375debfbe06362d2da03f71ea80b29fb81b/api/anubis/utils/http/decorators.py#L156</t>
  </si>
  <si>
    <t>https://github.com/GusSand/Anubis/blob/dced3375debfbe06362d2da03f71ea80b29fb81b/api/anubis/utils/http/decorators.py#L161</t>
  </si>
  <si>
    <t>https://github.com/GusSand/Anubis/blob/dced3375debfbe06362d2da03f71ea80b29fb81b/api/anubis/utils/http/decorators.py#L165</t>
  </si>
  <si>
    <t>https://github.com/GusSand/Anubis/blob/dced3375debfbe06362d2da03f71ea80b29fb81b/api/anubis/utils/http/decorators.py#L172</t>
  </si>
  <si>
    <t>https://github.com/GusSand/Anubis/blob/dced3375debfbe06362d2da03f71ea80b29fb81b/api/anubis/utils/http/decorators.py#L175</t>
  </si>
  <si>
    <t>https://github.com/GusSand/Anubis/blob/dced3375debfbe06362d2da03f71ea80b29fb81b/api/anubis/utils/http/decorators.py#L177</t>
  </si>
  <si>
    <t>https://github.com/GusSand/Anubis/blob/dced3375debfbe06362d2da03f71ea80b29fb81b/api/anubis/utils/http/decorators.py#L183</t>
  </si>
  <si>
    <t>https://github.com/GusSand/Anubis/blob/dced3375debfbe06362d2da03f71ea80b29fb81b/api/anubis/utils/http/decorators.py#L189</t>
  </si>
  <si>
    <t>https://github.com/GusSand/Anubis/blob/dced3375debfbe06362d2da03f71ea80b29fb81b/api/anubis/utils/http/decorators.py#L200</t>
  </si>
  <si>
    <t>https://github.com/GusSand/Anubis/blob/dced3375debfbe06362d2da03f71ea80b29fb81b/api/anubis/utils/http/decorators.py#L208</t>
  </si>
  <si>
    <t>https://github.com/GusSand/Anubis/blob/dced3375debfbe06362d2da03f71ea80b29fb81b/api/anubis/utils/http/decorators.py#L218</t>
  </si>
  <si>
    <t>https://github.com/GusSand/Anubis/blob/dced3375debfbe06362d2da03f71ea80b29fb81b/api/anubis/utils/http/decorators.py#L231</t>
  </si>
  <si>
    <t>https://github.com/GusSand/Anubis/blob/dced3375debfbe06362d2da03f71ea80b29fb81b/api/anubis/utils/http/decorators.py#L235</t>
  </si>
  <si>
    <t>https://github.com/GusSand/Anubis/blob/dced3375debfbe06362d2da03f71ea80b29fb81b/api/anubis/utils/http/decorators.py#L241</t>
  </si>
  <si>
    <t>Anubis/api/anubis/utils/visuals/users.py</t>
  </si>
  <si>
    <t>users.py</t>
  </si>
  <si>
    <t>https://github.com/GusSand/Anubis/blob/dced3375debfbe06362d2da03f71ea80b29fb81b/api/anubis/utils/visuals/users.py#L36</t>
  </si>
  <si>
    <t>Anubis/api/anubis/utils/visuals/assignments.py</t>
  </si>
  <si>
    <t>https://github.com/GusSand/Anubis/blob/dced3375debfbe06362d2da03f71ea80b29fb81b/api/anubis/utils/visuals/assignments.py#L19</t>
  </si>
  <si>
    <t>https://github.com/GusSand/Anubis/blob/dced3375debfbe06362d2da03f71ea80b29fb81b/api/anubis/utils/visuals/assignments.py#L27</t>
  </si>
  <si>
    <t>https://github.com/GusSand/Anubis/blob/dced3375debfbe06362d2da03f71ea80b29fb81b/api/anubis/utils/visuals/assignments.py#L30</t>
  </si>
  <si>
    <t>https://github.com/GusSand/Anubis/blob/dced3375debfbe06362d2da03f71ea80b29fb81b/api/anubis/utils/visuals/assignments.py#L45</t>
  </si>
  <si>
    <t>https://github.com/GusSand/Anubis/blob/dced3375debfbe06362d2da03f71ea80b29fb81b/api/anubis/utils/visuals/assignments.py#L55</t>
  </si>
  <si>
    <t>https://github.com/GusSand/Anubis/blob/dced3375debfbe06362d2da03f71ea80b29fb81b/api/anubis/utils/visuals/assignments.py#L64</t>
  </si>
  <si>
    <t>https://github.com/GusSand/Anubis/blob/dced3375debfbe06362d2da03f71ea80b29fb81b/api/anubis/utils/visuals/assignments.py#L70</t>
  </si>
  <si>
    <t>https://github.com/GusSand/Anubis/blob/dced3375debfbe06362d2da03f71ea80b29fb81b/api/anubis/utils/visuals/assignments.py#L73</t>
  </si>
  <si>
    <t>https://github.com/GusSand/Anubis/blob/dced3375debfbe06362d2da03f71ea80b29fb81b/api/anubis/utils/visuals/assignments.py#L78</t>
  </si>
  <si>
    <t>https://github.com/GusSand/Anubis/blob/dced3375debfbe06362d2da03f71ea80b29fb81b/api/anubis/utils/visuals/assignments.py#L92</t>
  </si>
  <si>
    <t>https://github.com/GusSand/Anubis/blob/dced3375debfbe06362d2da03f71ea80b29fb81b/api/anubis/utils/visuals/assignments.py#L103</t>
  </si>
  <si>
    <t>https://github.com/GusSand/Anubis/blob/dced3375debfbe06362d2da03f71ea80b29fb81b/api/anubis/utils/visuals/assignments.py#L114</t>
  </si>
  <si>
    <t>https://github.com/GusSand/Anubis/blob/dced3375debfbe06362d2da03f71ea80b29fb81b/api/anubis/utils/visuals/assignments.py#L125</t>
  </si>
  <si>
    <t>https://github.com/GusSand/Anubis/blob/dced3375debfbe06362d2da03f71ea80b29fb81b/api/anubis/utils/visuals/assignments.py#L135</t>
  </si>
  <si>
    <t>https://github.com/GusSand/Anubis/blob/dced3375debfbe06362d2da03f71ea80b29fb81b/api/anubis/utils/visuals/assignments.py#L204</t>
  </si>
  <si>
    <t>https://github.com/GusSand/Anubis/blob/dced3375debfbe06362d2da03f71ea80b29fb81b/api/anubis/utils/visuals/assignments.py#L214</t>
  </si>
  <si>
    <t>https://github.com/GusSand/Anubis/blob/dced3375debfbe06362d2da03f71ea80b29fb81b/api/anubis/utils/visuals/assignments.py#L217</t>
  </si>
  <si>
    <t>https://github.com/GusSand/Anubis/blob/dced3375debfbe06362d2da03f71ea80b29fb81b/api/anubis/utils/visuals/assignments.py#L220</t>
  </si>
  <si>
    <t>https://github.com/GusSand/Anubis/blob/dced3375debfbe06362d2da03f71ea80b29fb81b/api/anubis/utils/visuals/assignments.py#L229</t>
  </si>
  <si>
    <t>https://github.com/GusSand/Anubis/blob/dced3375debfbe06362d2da03f71ea80b29fb81b/api/anubis/utils/visuals/assignments.py#L231</t>
  </si>
  <si>
    <t>https://github.com/GusSand/Anubis/blob/dced3375debfbe06362d2da03f71ea80b29fb81b/api/anubis/utils/visuals/assignments.py#L238</t>
  </si>
  <si>
    <t>https://github.com/GusSand/Anubis/blob/dced3375debfbe06362d2da03f71ea80b29fb81b/api/anubis/utils/visuals/assignments.py#L244</t>
  </si>
  <si>
    <t>https://github.com/GusSand/Anubis/blob/dced3375debfbe06362d2da03f71ea80b29fb81b/api/anubis/utils/visuals/assignments.py#L253</t>
  </si>
  <si>
    <t>https://github.com/GusSand/Anubis/blob/dced3375debfbe06362d2da03f71ea80b29fb81b/api/anubis/utils/visuals/assignments.py#L257</t>
  </si>
  <si>
    <t>https://github.com/GusSand/Anubis/blob/dced3375debfbe06362d2da03f71ea80b29fb81b/api/anubis/utils/visuals/assignments.py#L263</t>
  </si>
  <si>
    <t>https://github.com/GusSand/Anubis/blob/dced3375debfbe06362d2da03f71ea80b29fb81b/api/anubis/utils/visuals/assignments.py#L266</t>
  </si>
  <si>
    <t>https://github.com/GusSand/Anubis/blob/dced3375debfbe06362d2da03f71ea80b29fb81b/api/anubis/utils/visuals/assignments.py#L272</t>
  </si>
  <si>
    <t>https://github.com/GusSand/Anubis/blob/dced3375debfbe06362d2da03f71ea80b29fb81b/api/anubis/utils/visuals/assignments.py#L276</t>
  </si>
  <si>
    <t>https://github.com/GusSand/Anubis/blob/dced3375debfbe06362d2da03f71ea80b29fb81b/api/anubis/utils/visuals/assignments.py#L280</t>
  </si>
  <si>
    <t>https://github.com/GusSand/Anubis/blob/dced3375debfbe06362d2da03f71ea80b29fb81b/api/anubis/utils/visuals/assignments.py#L283</t>
  </si>
  <si>
    <t>https://github.com/GusSand/Anubis/blob/dced3375debfbe06362d2da03f71ea80b29fb81b/api/anubis/utils/visuals/assignments.py#L287</t>
  </si>
  <si>
    <t>https://github.com/GusSand/Anubis/blob/dced3375debfbe06362d2da03f71ea80b29fb81b/api/anubis/utils/visuals/assignments.py#L293</t>
  </si>
  <si>
    <t>https://github.com/GusSand/Anubis/blob/dced3375debfbe06362d2da03f71ea80b29fb81b/api/anubis/utils/visuals/assignments.py#L295</t>
  </si>
  <si>
    <t>https://github.com/GusSand/Anubis/blob/dced3375debfbe06362d2da03f71ea80b29fb81b/api/anubis/utils/visuals/assignments.py#L301</t>
  </si>
  <si>
    <t>https://github.com/GusSand/Anubis/blob/dced3375debfbe06362d2da03f71ea80b29fb81b/api/anubis/utils/visuals/assignments.py#L306</t>
  </si>
  <si>
    <t>Anubis/api/anubis/utils/visuals/usage.py</t>
  </si>
  <si>
    <t>usage.py</t>
  </si>
  <si>
    <t>https://github.com/GusSand/Anubis/blob/dced3375debfbe06362d2da03f71ea80b29fb81b/api/anubis/utils/visuals/usage.py#L34</t>
  </si>
  <si>
    <t>https://github.com/GusSand/Anubis/blob/dced3375debfbe06362d2da03f71ea80b29fb81b/api/anubis/utils/visuals/usage.py#L39</t>
  </si>
  <si>
    <t>https://github.com/GusSand/Anubis/blob/dced3375debfbe06362d2da03f71ea80b29fb81b/api/anubis/utils/visuals/usage.py#L75</t>
  </si>
  <si>
    <t>https://github.com/GusSand/Anubis/blob/dced3375debfbe06362d2da03f71ea80b29fb81b/api/anubis/utils/visuals/usage.py#L79</t>
  </si>
  <si>
    <t>https://github.com/GusSand/Anubis/blob/dced3375debfbe06362d2da03f71ea80b29fb81b/api/anubis/utils/visuals/usage.py#L83</t>
  </si>
  <si>
    <t>https://github.com/GusSand/Anubis/blob/dced3375debfbe06362d2da03f71ea80b29fb81b/api/anubis/utils/visuals/usage.py#L87</t>
  </si>
  <si>
    <t>https://github.com/GusSand/Anubis/blob/dced3375debfbe06362d2da03f71ea80b29fb81b/api/anubis/utils/visuals/usage.py#L110</t>
  </si>
  <si>
    <t>https://github.com/GusSand/Anubis/blob/dced3375debfbe06362d2da03f71ea80b29fb81b/api/anubis/utils/visuals/usage.py#L114</t>
  </si>
  <si>
    <t>https://github.com/GusSand/Anubis/blob/dced3375debfbe06362d2da03f71ea80b29fb81b/api/anubis/utils/visuals/usage.py#L117</t>
  </si>
  <si>
    <t>https://github.com/GusSand/Anubis/blob/dced3375debfbe06362d2da03f71ea80b29fb81b/api/anubis/utils/visuals/usage.py#L122</t>
  </si>
  <si>
    <t>https://github.com/GusSand/Anubis/blob/dced3375debfbe06362d2da03f71ea80b29fb81b/api/anubis/utils/visuals/usage.py#L133</t>
  </si>
  <si>
    <t>https://github.com/GusSand/Anubis/blob/dced3375debfbe06362d2da03f71ea80b29fb81b/api/anubis/utils/visuals/usage.py#L140</t>
  </si>
  <si>
    <t>Anubis/api/anubis/utils/email/event.py</t>
  </si>
  <si>
    <t>event.py</t>
  </si>
  <si>
    <t>https://github.com/GusSand/Anubis/blob/dced3375debfbe06362d2da03f71ea80b29fb81b/api/anubis/utils/email/event.py#L27</t>
  </si>
  <si>
    <t>https://github.com/GusSand/Anubis/blob/dced3375debfbe06362d2da03f71ea80b29fb81b/api/anubis/utils/email/event.py#L38</t>
  </si>
  <si>
    <t>https://github.com/GusSand/Anubis/blob/dced3375debfbe06362d2da03f71ea80b29fb81b/api/anubis/utils/email/event.py#L42</t>
  </si>
  <si>
    <t>https://github.com/GusSand/Anubis/blob/dced3375debfbe06362d2da03f71ea80b29fb81b/api/anubis/utils/email/event.py#L46</t>
  </si>
  <si>
    <t>https://github.com/GusSand/Anubis/blob/dced3375debfbe06362d2da03f71ea80b29fb81b/api/anubis/utils/email/event.py#L54</t>
  </si>
  <si>
    <t>Anubis/api/anubis/utils/email/smtp.py</t>
  </si>
  <si>
    <t>smtp.py</t>
  </si>
  <si>
    <t>https://github.com/GusSand/Anubis/blob/dced3375debfbe06362d2da03f71ea80b29fb81b/api/anubis/utils/email/smtp.py#L11</t>
  </si>
  <si>
    <t>https://github.com/GusSand/Anubis/blob/dced3375debfbe06362d2da03f71ea80b29fb81b/api/anubis/utils/email/smtp.py#L49</t>
  </si>
  <si>
    <t>Anubis/api/anubis/models/__init__.py</t>
  </si>
  <si>
    <t>https://github.com/GusSand/Anubis/blob/dced3375debfbe06362d2da03f71ea80b29fb81b/api/anubis/models/__init__.py#L22</t>
  </si>
  <si>
    <t>https://github.com/GusSand/Anubis/blob/dced3375debfbe06362d2da03f71ea80b29fb81b/api/anubis/models/__init__.py#L38</t>
  </si>
  <si>
    <t>https://github.com/GusSand/Anubis/blob/dced3375debfbe06362d2da03f71ea80b29fb81b/api/anubis/models/__init__.py#L41</t>
  </si>
  <si>
    <t>https://github.com/GusSand/Anubis/blob/dced3375debfbe06362d2da03f71ea80b29fb81b/api/anubis/models/__init__.py#L51</t>
  </si>
  <si>
    <t>https://github.com/GusSand/Anubis/blob/dced3375debfbe06362d2da03f71ea80b29fb81b/api/anubis/models/__init__.py#L98</t>
  </si>
  <si>
    <t>https://github.com/GusSand/Anubis/blob/dced3375debfbe06362d2da03f71ea80b29fb81b/api/anubis/models/__init__.py#L101</t>
  </si>
  <si>
    <t>https://github.com/GusSand/Anubis/blob/dced3375debfbe06362d2da03f71ea80b29fb81b/api/anubis/models/__init__.py#L163</t>
  </si>
  <si>
    <t>https://github.com/GusSand/Anubis/blob/dced3375debfbe06362d2da03f71ea80b29fb81b/api/anubis/models/__init__.py#L179</t>
  </si>
  <si>
    <t>https://github.com/GusSand/Anubis/blob/dced3375debfbe06362d2da03f71ea80b29fb81b/api/anubis/models/__init__.py#L195</t>
  </si>
  <si>
    <t>https://github.com/GusSand/Anubis/blob/dced3375debfbe06362d2da03f71ea80b29fb81b/api/anubis/models/__init__.py#L204</t>
  </si>
  <si>
    <t>https://github.com/GusSand/Anubis/blob/dced3375debfbe06362d2da03f71ea80b29fb81b/api/anubis/models/__init__.py#L207</t>
  </si>
  <si>
    <t>https://github.com/GusSand/Anubis/blob/dced3375debfbe06362d2da03f71ea80b29fb81b/api/anubis/models/__init__.py#L210</t>
  </si>
  <si>
    <t>https://github.com/GusSand/Anubis/blob/dced3375debfbe06362d2da03f71ea80b29fb81b/api/anubis/models/__init__.py#L224</t>
  </si>
  <si>
    <t>https://github.com/GusSand/Anubis/blob/dced3375debfbe06362d2da03f71ea80b29fb81b/api/anubis/models/__init__.py#L228</t>
  </si>
  <si>
    <t>https://github.com/GusSand/Anubis/blob/dced3375debfbe06362d2da03f71ea80b29fb81b/api/anubis/models/__init__.py#L234</t>
  </si>
  <si>
    <t>https://github.com/GusSand/Anubis/blob/dced3375debfbe06362d2da03f71ea80b29fb81b/api/anubis/models/__init__.py#L237</t>
  </si>
  <si>
    <t>https://github.com/GusSand/Anubis/blob/dced3375debfbe06362d2da03f71ea80b29fb81b/api/anubis/models/__init__.py#L241</t>
  </si>
  <si>
    <t>https://github.com/GusSand/Anubis/blob/dced3375debfbe06362d2da03f71ea80b29fb81b/api/anubis/models/__init__.py#L270</t>
  </si>
  <si>
    <t>https://github.com/GusSand/Anubis/blob/dced3375debfbe06362d2da03f71ea80b29fb81b/api/anubis/models/__init__.py#L274</t>
  </si>
  <si>
    <t>https://github.com/GusSand/Anubis/blob/dced3375debfbe06362d2da03f71ea80b29fb81b/api/anubis/models/__init__.py#L289</t>
  </si>
  <si>
    <t>https://github.com/GusSand/Anubis/blob/dced3375debfbe06362d2da03f71ea80b29fb81b/api/anubis/models/__init__.py#L292</t>
  </si>
  <si>
    <t>https://github.com/GusSand/Anubis/blob/dced3375debfbe06362d2da03f71ea80b29fb81b/api/anubis/models/__init__.py#L296</t>
  </si>
  <si>
    <t>https://github.com/GusSand/Anubis/blob/dced3375debfbe06362d2da03f71ea80b29fb81b/api/anubis/models/__init__.py#L301</t>
  </si>
  <si>
    <t>https://github.com/GusSand/Anubis/blob/dced3375debfbe06362d2da03f71ea80b29fb81b/api/anubis/models/__init__.py#L306</t>
  </si>
  <si>
    <t>https://github.com/GusSand/Anubis/blob/dced3375debfbe06362d2da03f71ea80b29fb81b/api/anubis/models/__init__.py#L328</t>
  </si>
  <si>
    <t>https://github.com/GusSand/Anubis/blob/dced3375debfbe06362d2da03f71ea80b29fb81b/api/anubis/models/__init__.py#L331</t>
  </si>
  <si>
    <t>https://github.com/GusSand/Anubis/blob/dced3375debfbe06362d2da03f71ea80b29fb81b/api/anubis/models/__init__.py#L334</t>
  </si>
  <si>
    <t>https://github.com/GusSand/Anubis/blob/dced3375debfbe06362d2da03f71ea80b29fb81b/api/anubis/models/__init__.py#L348</t>
  </si>
  <si>
    <t>https://github.com/GusSand/Anubis/blob/dced3375debfbe06362d2da03f71ea80b29fb81b/api/anubis/models/__init__.py#L351</t>
  </si>
  <si>
    <t>https://github.com/GusSand/Anubis/blob/dced3375debfbe06362d2da03f71ea80b29fb81b/api/anubis/models/__init__.py#L354</t>
  </si>
  <si>
    <t>https://github.com/GusSand/Anubis/blob/dced3375debfbe06362d2da03f71ea80b29fb81b/api/anubis/models/__init__.py#L362</t>
  </si>
  <si>
    <t>https://github.com/GusSand/Anubis/blob/dced3375debfbe06362d2da03f71ea80b29fb81b/api/anubis/models/__init__.py#L394</t>
  </si>
  <si>
    <t>https://github.com/GusSand/Anubis/blob/dced3375debfbe06362d2da03f71ea80b29fb81b/api/anubis/models/__init__.py#L397</t>
  </si>
  <si>
    <t>https://github.com/GusSand/Anubis/blob/dced3375debfbe06362d2da03f71ea80b29fb81b/api/anubis/models/__init__.py#L404</t>
  </si>
  <si>
    <t>https://github.com/GusSand/Anubis/blob/dced3375debfbe06362d2da03f71ea80b29fb81b/api/anubis/models/__init__.py#L408</t>
  </si>
  <si>
    <t>https://github.com/GusSand/Anubis/blob/dced3375debfbe06362d2da03f71ea80b29fb81b/api/anubis/models/__init__.py#L414</t>
  </si>
  <si>
    <t>https://github.com/GusSand/Anubis/blob/dced3375debfbe06362d2da03f71ea80b29fb81b/api/anubis/models/__init__.py#L453</t>
  </si>
  <si>
    <t>https://github.com/GusSand/Anubis/blob/dced3375debfbe06362d2da03f71ea80b29fb81b/api/anubis/models/__init__.py#L456</t>
  </si>
  <si>
    <t>https://github.com/GusSand/Anubis/blob/dced3375debfbe06362d2da03f71ea80b29fb81b/api/anubis/models/__init__.py#L464</t>
  </si>
  <si>
    <t>https://github.com/GusSand/Anubis/blob/dced3375debfbe06362d2da03f71ea80b29fb81b/api/anubis/models/__init__.py#L467</t>
  </si>
  <si>
    <t>https://github.com/GusSand/Anubis/blob/dced3375debfbe06362d2da03f71ea80b29fb81b/api/anubis/models/__init__.py#L486</t>
  </si>
  <si>
    <t>https://github.com/GusSand/Anubis/blob/dced3375debfbe06362d2da03f71ea80b29fb81b/api/anubis/models/__init__.py#L489</t>
  </si>
  <si>
    <t>https://github.com/GusSand/Anubis/blob/dced3375debfbe06362d2da03f71ea80b29fb81b/api/anubis/models/__init__.py#L494</t>
  </si>
  <si>
    <t>https://github.com/GusSand/Anubis/blob/dced3375debfbe06362d2da03f71ea80b29fb81b/api/anubis/models/__init__.py#L498</t>
  </si>
  <si>
    <t>https://github.com/GusSand/Anubis/blob/dced3375debfbe06362d2da03f71ea80b29fb81b/api/anubis/models/__init__.py#L507</t>
  </si>
  <si>
    <t>https://github.com/GusSand/Anubis/blob/dced3375debfbe06362d2da03f71ea80b29fb81b/api/anubis/models/__init__.py#L538</t>
  </si>
  <si>
    <t>https://github.com/GusSand/Anubis/blob/dced3375debfbe06362d2da03f71ea80b29fb81b/api/anubis/models/__init__.py#L561</t>
  </si>
  <si>
    <t>https://github.com/GusSand/Anubis/blob/dced3375debfbe06362d2da03f71ea80b29fb81b/api/anubis/models/__init__.py#L564</t>
  </si>
  <si>
    <t>https://github.com/GusSand/Anubis/blob/dced3375debfbe06362d2da03f71ea80b29fb81b/api/anubis/models/__init__.py#L568</t>
  </si>
  <si>
    <t>https://github.com/GusSand/Anubis/blob/dced3375debfbe06362d2da03f71ea80b29fb81b/api/anubis/models/__init__.py#L572</t>
  </si>
  <si>
    <t>https://github.com/GusSand/Anubis/blob/dced3375debfbe06362d2da03f71ea80b29fb81b/api/anubis/models/__init__.py#L578</t>
  </si>
  <si>
    <t>https://github.com/GusSand/Anubis/blob/dced3375debfbe06362d2da03f71ea80b29fb81b/api/anubis/models/__init__.py#L606</t>
  </si>
  <si>
    <t>https://github.com/GusSand/Anubis/blob/dced3375debfbe06362d2da03f71ea80b29fb81b/api/anubis/models/__init__.py#L609</t>
  </si>
  <si>
    <t>https://github.com/GusSand/Anubis/blob/dced3375debfbe06362d2da03f71ea80b29fb81b/api/anubis/models/__init__.py#L612</t>
  </si>
  <si>
    <t>https://github.com/GusSand/Anubis/blob/dced3375debfbe06362d2da03f71ea80b29fb81b/api/anubis/models/__init__.py#L616</t>
  </si>
  <si>
    <t>https://github.com/GusSand/Anubis/blob/dced3375debfbe06362d2da03f71ea80b29fb81b/api/anubis/models/__init__.py#L693</t>
  </si>
  <si>
    <t>https://github.com/GusSand/Anubis/blob/dced3375debfbe06362d2da03f71ea80b29fb81b/api/anubis/models/__init__.py#L696</t>
  </si>
  <si>
    <t>https://github.com/GusSand/Anubis/blob/dced3375debfbe06362d2da03f71ea80b29fb81b/api/anubis/models/__init__.py#L704</t>
  </si>
  <si>
    <t>https://github.com/GusSand/Anubis/blob/dced3375debfbe06362d2da03f71ea80b29fb81b/api/anubis/models/__init__.py#L711</t>
  </si>
  <si>
    <t>https://github.com/GusSand/Anubis/blob/dced3375debfbe06362d2da03f71ea80b29fb81b/api/anubis/models/__init__.py#L724</t>
  </si>
  <si>
    <t>https://github.com/GusSand/Anubis/blob/dced3375debfbe06362d2da03f71ea80b29fb81b/api/anubis/models/__init__.py#L802</t>
  </si>
  <si>
    <t>https://github.com/GusSand/Anubis/blob/dced3375debfbe06362d2da03f71ea80b29fb81b/api/anubis/models/__init__.py#L809</t>
  </si>
  <si>
    <t>https://github.com/GusSand/Anubis/blob/dced3375debfbe06362d2da03f71ea80b29fb81b/api/anubis/models/__init__.py#L849</t>
  </si>
  <si>
    <t>https://github.com/GusSand/Anubis/blob/dced3375debfbe06362d2da03f71ea80b29fb81b/api/anubis/models/__init__.py#L852</t>
  </si>
  <si>
    <t>https://github.com/GusSand/Anubis/blob/dced3375debfbe06362d2da03f71ea80b29fb81b/api/anubis/models/__init__.py#L873</t>
  </si>
  <si>
    <t>https://github.com/GusSand/Anubis/blob/dced3375debfbe06362d2da03f71ea80b29fb81b/api/anubis/models/__init__.py#L879</t>
  </si>
  <si>
    <t>https://github.com/GusSand/Anubis/blob/dced3375debfbe06362d2da03f71ea80b29fb81b/api/anubis/models/__init__.py#L885</t>
  </si>
  <si>
    <t>https://github.com/GusSand/Anubis/blob/dced3375debfbe06362d2da03f71ea80b29fb81b/api/anubis/models/__init__.py#L917</t>
  </si>
  <si>
    <t>https://github.com/GusSand/Anubis/blob/dced3375debfbe06362d2da03f71ea80b29fb81b/api/anubis/models/__init__.py#L921</t>
  </si>
  <si>
    <t>https://github.com/GusSand/Anubis/blob/dced3375debfbe06362d2da03f71ea80b29fb81b/api/anubis/models/__init__.py#L971</t>
  </si>
  <si>
    <t>https://github.com/GusSand/Anubis/blob/dced3375debfbe06362d2da03f71ea80b29fb81b/api/anubis/models/__init__.py#L995</t>
  </si>
  <si>
    <t>https://github.com/GusSand/Anubis/blob/dced3375debfbe06362d2da03f71ea80b29fb81b/api/anubis/models/__init__.py#L1016</t>
  </si>
  <si>
    <t>https://github.com/GusSand/Anubis/blob/dced3375debfbe06362d2da03f71ea80b29fb81b/api/anubis/models/__init__.py#L1045</t>
  </si>
  <si>
    <t>https://github.com/GusSand/Anubis/blob/dced3375debfbe06362d2da03f71ea80b29fb81b/api/anubis/models/__init__.py#L1085</t>
  </si>
  <si>
    <t>https://github.com/GusSand/Anubis/blob/dced3375debfbe06362d2da03f71ea80b29fb81b/api/anubis/models/__init__.py#L1122</t>
  </si>
  <si>
    <t>https://github.com/GusSand/Anubis/blob/dced3375debfbe06362d2da03f71ea80b29fb81b/api/anubis/models/__init__.py#L1125</t>
  </si>
  <si>
    <t>https://github.com/GusSand/Anubis/blob/dced3375debfbe06362d2da03f71ea80b29fb81b/api/anubis/models/__init__.py#L1128</t>
  </si>
  <si>
    <t>https://github.com/GusSand/Anubis/blob/dced3375debfbe06362d2da03f71ea80b29fb81b/api/anubis/models/__init__.py#L1132</t>
  </si>
  <si>
    <t>https://github.com/GusSand/Anubis/blob/dced3375debfbe06362d2da03f71ea80b29fb81b/api/anubis/models/__init__.py#L1136</t>
  </si>
  <si>
    <t>https://github.com/GusSand/Anubis/blob/dced3375debfbe06362d2da03f71ea80b29fb81b/api/anubis/models/__init__.py#L1140</t>
  </si>
  <si>
    <t>Anubis/api/anubis/github/repos.py</t>
  </si>
  <si>
    <t>repos.py</t>
  </si>
  <si>
    <t>https://github.com/GusSand/Anubis/blob/dced3375debfbe06362d2da03f71ea80b29fb81b/api/anubis/github/repos.py#L90</t>
  </si>
  <si>
    <t>https://github.com/GusSand/Anubis/blob/dced3375debfbe06362d2da03f71ea80b29fb81b/api/anubis/github/repos.py#L93</t>
  </si>
  <si>
    <t>https://github.com/GusSand/Anubis/blob/dced3375debfbe06362d2da03f71ea80b29fb81b/api/anubis/github/repos.py#L100</t>
  </si>
  <si>
    <t>https://github.com/GusSand/Anubis/blob/dced3375debfbe06362d2da03f71ea80b29fb81b/api/anubis/github/repos.py#L105</t>
  </si>
  <si>
    <t>https://github.com/GusSand/Anubis/blob/dced3375debfbe06362d2da03f71ea80b29fb81b/api/anubis/github/repos.py#L112</t>
  </si>
  <si>
    <t>https://github.com/GusSand/Anubis/blob/dced3375debfbe06362d2da03f71ea80b29fb81b/api/anubis/github/repos.py#L122</t>
  </si>
  <si>
    <t>https://github.com/GusSand/Anubis/blob/dced3375debfbe06362d2da03f71ea80b29fb81b/api/anubis/github/repos.py#L132</t>
  </si>
  <si>
    <t>https://github.com/GusSand/Anubis/blob/dced3375debfbe06362d2da03f71ea80b29fb81b/api/anubis/github/repos.py#L135</t>
  </si>
  <si>
    <t>https://github.com/GusSand/Anubis/blob/dced3375debfbe06362d2da03f71ea80b29fb81b/api/anubis/github/repos.py#L138</t>
  </si>
  <si>
    <t>https://github.com/GusSand/Anubis/blob/dced3375debfbe06362d2da03f71ea80b29fb81b/api/anubis/github/repos.py#L147</t>
  </si>
  <si>
    <t>https://github.com/GusSand/Anubis/blob/dced3375debfbe06362d2da03f71ea80b29fb81b/api/anubis/github/repos.py#L155</t>
  </si>
  <si>
    <t>https://github.com/GusSand/Anubis/blob/dced3375debfbe06362d2da03f71ea80b29fb81b/api/anubis/github/repos.py#L163</t>
  </si>
  <si>
    <t>https://github.com/GusSand/Anubis/blob/dced3375debfbe06362d2da03f71ea80b29fb81b/api/anubis/github/repos.py#L169</t>
  </si>
  <si>
    <t>https://github.com/GusSand/Anubis/blob/dced3375debfbe06362d2da03f71ea80b29fb81b/api/anubis/github/repos.py#L172</t>
  </si>
  <si>
    <t>https://github.com/GusSand/Anubis/blob/dced3375debfbe06362d2da03f71ea80b29fb81b/api/anubis/github/repos.py#L177</t>
  </si>
  <si>
    <t>https://github.com/GusSand/Anubis/blob/dced3375debfbe06362d2da03f71ea80b29fb81b/api/anubis/github/repos.py#L181</t>
  </si>
  <si>
    <t>https://github.com/GusSand/Anubis/blob/dced3375debfbe06362d2da03f71ea80b29fb81b/api/anubis/github/repos.py#L193</t>
  </si>
  <si>
    <t>https://github.com/GusSand/Anubis/blob/dced3375debfbe06362d2da03f71ea80b29fb81b/api/anubis/github/repos.py#L208</t>
  </si>
  <si>
    <t>https://github.com/GusSand/Anubis/blob/dced3375debfbe06362d2da03f71ea80b29fb81b/api/anubis/github/repos.py#L214</t>
  </si>
  <si>
    <t>https://github.com/GusSand/Anubis/blob/dced3375debfbe06362d2da03f71ea80b29fb81b/api/anubis/github/repos.py#L226</t>
  </si>
  <si>
    <t>https://github.com/GusSand/Anubis/blob/dced3375debfbe06362d2da03f71ea80b29fb81b/api/anubis/github/repos.py#L237</t>
  </si>
  <si>
    <t>https://github.com/GusSand/Anubis/blob/dced3375debfbe06362d2da03f71ea80b29fb81b/api/anubis/github/repos.py#L247</t>
  </si>
  <si>
    <t>https://github.com/GusSand/Anubis/blob/dced3375debfbe06362d2da03f71ea80b29fb81b/api/anubis/github/repos.py#L251</t>
  </si>
  <si>
    <t>https://github.com/GusSand/Anubis/blob/dced3375debfbe06362d2da03f71ea80b29fb81b/api/anubis/github/repos.py#L254</t>
  </si>
  <si>
    <t>https://github.com/GusSand/Anubis/blob/dced3375debfbe06362d2da03f71ea80b29fb81b/api/anubis/github/repos.py#L257</t>
  </si>
  <si>
    <t>https://github.com/GusSand/Anubis/blob/dced3375debfbe06362d2da03f71ea80b29fb81b/api/anubis/github/repos.py#L264</t>
  </si>
  <si>
    <t>https://github.com/GusSand/Anubis/blob/dced3375debfbe06362d2da03f71ea80b29fb81b/api/anubis/github/repos.py#L276</t>
  </si>
  <si>
    <t>https://github.com/GusSand/Anubis/blob/dced3375debfbe06362d2da03f71ea80b29fb81b/api/anubis/github/repos.py#L280</t>
  </si>
  <si>
    <t>https://github.com/GusSand/Anubis/blob/dced3375debfbe06362d2da03f71ea80b29fb81b/api/anubis/github/repos.py#L300</t>
  </si>
  <si>
    <t>https://github.com/GusSand/Anubis/blob/dced3375debfbe06362d2da03f71ea80b29fb81b/api/anubis/github/repos.py#L317</t>
  </si>
  <si>
    <t>https://github.com/GusSand/Anubis/blob/dced3375debfbe06362d2da03f71ea80b29fb81b/api/anubis/github/repos.py#L320</t>
  </si>
  <si>
    <t>https://github.com/GusSand/Anubis/blob/dced3375debfbe06362d2da03f71ea80b29fb81b/api/anubis/github/repos.py#L324</t>
  </si>
  <si>
    <t>https://github.com/GusSand/Anubis/blob/dced3375debfbe06362d2da03f71ea80b29fb81b/api/anubis/github/repos.py#L326</t>
  </si>
  <si>
    <t>https://github.com/GusSand/Anubis/blob/dced3375debfbe06362d2da03f71ea80b29fb81b/api/anubis/github/repos.py#L331</t>
  </si>
  <si>
    <t>https://github.com/GusSand/Anubis/blob/dced3375debfbe06362d2da03f71ea80b29fb81b/api/anubis/github/repos.py#L338</t>
  </si>
  <si>
    <t>https://github.com/GusSand/Anubis/blob/dced3375debfbe06362d2da03f71ea80b29fb81b/api/anubis/github/repos.py#L341</t>
  </si>
  <si>
    <t>https://github.com/GusSand/Anubis/blob/dced3375debfbe06362d2da03f71ea80b29fb81b/api/anubis/github/repos.py#L346</t>
  </si>
  <si>
    <t>https://github.com/GusSand/Anubis/blob/dced3375debfbe06362d2da03f71ea80b29fb81b/api/anubis/github/repos.py#L353</t>
  </si>
  <si>
    <t>https://github.com/GusSand/Anubis/blob/dced3375debfbe06362d2da03f71ea80b29fb81b/api/anubis/github/repos.py#L357</t>
  </si>
  <si>
    <t>https://github.com/GusSand/Anubis/blob/dced3375debfbe06362d2da03f71ea80b29fb81b/api/anubis/github/repos.py#L361</t>
  </si>
  <si>
    <t>https://github.com/GusSand/Anubis/blob/dced3375debfbe06362d2da03f71ea80b29fb81b/api/anubis/github/repos.py#L367</t>
  </si>
  <si>
    <t>https://github.com/GusSand/Anubis/blob/dced3375debfbe06362d2da03f71ea80b29fb81b/api/anubis/github/repos.py#L379</t>
  </si>
  <si>
    <t>https://github.com/GusSand/Anubis/blob/dced3375debfbe06362d2da03f71ea80b29fb81b/api/anubis/github/repos.py#L382</t>
  </si>
  <si>
    <t>https://github.com/GusSand/Anubis/blob/dced3375debfbe06362d2da03f71ea80b29fb81b/api/anubis/github/repos.py#L388</t>
  </si>
  <si>
    <t>https://github.com/GusSand/Anubis/blob/dced3375debfbe06362d2da03f71ea80b29fb81b/api/anubis/github/repos.py#L392</t>
  </si>
  <si>
    <t>https://github.com/GusSand/Anubis/blob/dced3375debfbe06362d2da03f71ea80b29fb81b/api/anubis/github/repos.py#L411</t>
  </si>
  <si>
    <t>https://github.com/GusSand/Anubis/blob/dced3375debfbe06362d2da03f71ea80b29fb81b/api/anubis/github/repos.py#L422</t>
  </si>
  <si>
    <t>https://github.com/GusSand/Anubis/blob/dced3375debfbe06362d2da03f71ea80b29fb81b/api/anubis/github/repos.py#L425</t>
  </si>
  <si>
    <t>https://github.com/GusSand/Anubis/blob/dced3375debfbe06362d2da03f71ea80b29fb81b/api/anubis/github/repos.py#L429</t>
  </si>
  <si>
    <t>https://github.com/GusSand/Anubis/blob/dced3375debfbe06362d2da03f71ea80b29fb81b/api/anubis/github/repos.py#L433</t>
  </si>
  <si>
    <t>https://github.com/GusSand/Anubis/blob/dced3375debfbe06362d2da03f71ea80b29fb81b/api/anubis/github/repos.py#L444</t>
  </si>
  <si>
    <t>Anubis/api/anubis/github/api.py</t>
  </si>
  <si>
    <t>api.py</t>
  </si>
  <si>
    <t>https://github.com/GusSand/Anubis/blob/dced3375debfbe06362d2da03f71ea80b29fb81b/api/anubis/github/api.py#L9</t>
  </si>
  <si>
    <t>https://github.com/GusSand/Anubis/blob/dced3375debfbe06362d2da03f71ea80b29fb81b/api/anubis/github/api.py#L12</t>
  </si>
  <si>
    <t>https://github.com/GusSand/Anubis/blob/dced3375debfbe06362d2da03f71ea80b29fb81b/api/anubis/github/api.py#L21</t>
  </si>
  <si>
    <t>https://github.com/GusSand/Anubis/blob/dced3375debfbe06362d2da03f71ea80b29fb81b/api/anubis/github/api.py#L56</t>
  </si>
  <si>
    <t>https://github.com/GusSand/Anubis/blob/dced3375debfbe06362d2da03f71ea80b29fb81b/api/anubis/github/api.py#L62</t>
  </si>
  <si>
    <t>https://github.com/GusSand/Anubis/blob/dced3375debfbe06362d2da03f71ea80b29fb81b/api/anubis/github/api.py#L67</t>
  </si>
  <si>
    <t>Anubis/api/anubis/github/fix.py</t>
  </si>
  <si>
    <t>fix.py</t>
  </si>
  <si>
    <t>https://github.com/GusSand/Anubis/blob/dced3375debfbe06362d2da03f71ea80b29fb81b/api/anubis/github/fix.py#L10</t>
  </si>
  <si>
    <t>https://github.com/GusSand/Anubis/blob/dced3375debfbe06362d2da03f71ea80b29fb81b/api/anubis/github/fix.py#L13</t>
  </si>
  <si>
    <t>https://github.com/GusSand/Anubis/blob/dced3375debfbe06362d2da03f71ea80b29fb81b/api/anubis/github/fix.py#L15</t>
  </si>
  <si>
    <t>https://github.com/GusSand/Anubis/blob/dced3375debfbe06362d2da03f71ea80b29fb81b/api/anubis/github/fix.py#L17</t>
  </si>
  <si>
    <t>https://github.com/GusSand/Anubis/blob/dced3375debfbe06362d2da03f71ea80b29fb81b/api/anubis/github/fix.py#L24</t>
  </si>
  <si>
    <t>https://github.com/GusSand/Anubis/blob/dced3375debfbe06362d2da03f71ea80b29fb81b/api/anubis/github/fix.py#L26</t>
  </si>
  <si>
    <t>https://github.com/GusSand/Anubis/blob/dced3375debfbe06362d2da03f71ea80b29fb81b/api/anubis/github/fix.py#L30</t>
  </si>
  <si>
    <t>https://github.com/GusSand/Anubis/blob/dced3375debfbe06362d2da03f71ea80b29fb81b/api/anubis/github/fix.py#L33</t>
  </si>
  <si>
    <t>https://github.com/GusSand/Anubis/blob/dced3375debfbe06362d2da03f71ea80b29fb81b/api/anubis/github/fix.py#L43</t>
  </si>
  <si>
    <t>https://github.com/GusSand/Anubis/blob/dced3375debfbe06362d2da03f71ea80b29fb81b/api/anubis/github/fix.py#L67</t>
  </si>
  <si>
    <t>https://github.com/GusSand/Anubis/blob/dced3375debfbe06362d2da03f71ea80b29fb81b/api/anubis/github/fix.py#L70</t>
  </si>
  <si>
    <t>https://github.com/GusSand/Anubis/blob/dced3375debfbe06362d2da03f71ea80b29fb81b/api/anubis/github/fix.py#L74</t>
  </si>
  <si>
    <t>https://github.com/GusSand/Anubis/blob/dced3375debfbe06362d2da03f71ea80b29fb81b/api/anubis/github/fix.py#L78</t>
  </si>
  <si>
    <t>https://github.com/GusSand/Anubis/blob/dced3375debfbe06362d2da03f71ea80b29fb81b/api/anubis/github/fix.py#L81</t>
  </si>
  <si>
    <t>https://github.com/GusSand/Anubis/blob/dced3375debfbe06362d2da03f71ea80b29fb81b/api/anubis/github/fix.py#L86</t>
  </si>
  <si>
    <t>https://github.com/GusSand/Anubis/blob/dced3375debfbe06362d2da03f71ea80b29fb81b/api/anubis/github/fix.py#L90</t>
  </si>
  <si>
    <t>https://github.com/GusSand/Anubis/blob/dced3375debfbe06362d2da03f71ea80b29fb81b/api/anubis/github/fix.py#L97</t>
  </si>
  <si>
    <t>https://github.com/GusSand/Anubis/blob/dced3375debfbe06362d2da03f71ea80b29fb81b/api/anubis/github/fix.py#L102</t>
  </si>
  <si>
    <t>https://github.com/GusSand/Anubis/blob/dced3375debfbe06362d2da03f71ea80b29fb81b/api/anubis/github/fix.py#L109</t>
  </si>
  <si>
    <t>https://github.com/GusSand/Anubis/blob/dced3375debfbe06362d2da03f71ea80b29fb81b/api/anubis/github/fix.py#L122</t>
  </si>
  <si>
    <t>Anubis/api/anubis/github/parse.py</t>
  </si>
  <si>
    <t>parse.py</t>
  </si>
  <si>
    <t>https://github.com/GusSand/Anubis/blob/dced3375debfbe06362d2da03f71ea80b29fb81b/api/anubis/github/parse.py#L5</t>
  </si>
  <si>
    <t>https://github.com/GusSand/Anubis/blob/dced3375debfbe06362d2da03f71ea80b29fb81b/api/anubis/github/parse.py#L20</t>
  </si>
  <si>
    <t>Anubis/api/anubis/jobs/autograde_reaper.py</t>
  </si>
  <si>
    <t>autograde_reaper.py</t>
  </si>
  <si>
    <t>https://github.com/GusSand/Anubis/blob/dced3375debfbe06362d2da03f71ea80b29fb81b/api/anubis/jobs/autograde_reaper.py#L8</t>
  </si>
  <si>
    <t>Anubis/api/anubis/jobs/discord_bot.py</t>
  </si>
  <si>
    <t>discord_bot.py</t>
  </si>
  <si>
    <t>https://github.com/GusSand/Anubis/blob/dced3375debfbe06362d2da03f71ea80b29fb81b/api/anubis/jobs/discord_bot.py#L18</t>
  </si>
  <si>
    <t>https://github.com/GusSand/Anubis/blob/dced3375debfbe06362d2da03f71ea80b29fb81b/api/anubis/jobs/discord_bot.py#L29</t>
  </si>
  <si>
    <t>https://github.com/GusSand/Anubis/blob/dced3375debfbe06362d2da03f71ea80b29fb81b/api/anubis/jobs/discord_bot.py#L83</t>
  </si>
  <si>
    <t>https://github.com/GusSand/Anubis/blob/dced3375debfbe06362d2da03f71ea80b29fb81b/api/anubis/jobs/discord_bot.py#L104</t>
  </si>
  <si>
    <t>https://github.com/GusSand/Anubis/blob/dced3375debfbe06362d2da03f71ea80b29fb81b/api/anubis/jobs/discord_bot.py#L206</t>
  </si>
  <si>
    <t>https://github.com/GusSand/Anubis/blob/dced3375debfbe06362d2da03f71ea80b29fb81b/api/anubis/jobs/discord_bot.py#L237</t>
  </si>
  <si>
    <t>https://github.com/GusSand/Anubis/blob/dced3375debfbe06362d2da03f71ea80b29fb81b/api/anubis/jobs/discord_bot.py#L257</t>
  </si>
  <si>
    <t>https://github.com/GusSand/Anubis/blob/dced3375debfbe06362d2da03f71ea80b29fb81b/api/anubis/jobs/discord_bot.py#L267</t>
  </si>
  <si>
    <t>https://github.com/GusSand/Anubis/blob/dced3375debfbe06362d2da03f71ea80b29fb81b/api/anubis/jobs/discord_bot.py#L286</t>
  </si>
  <si>
    <t>Anubis/api/anubis/jobs/daily_reaper.py</t>
  </si>
  <si>
    <t>daily_reaper.py</t>
  </si>
  <si>
    <t>https://github.com/GusSand/Anubis/blob/dced3375debfbe06362d2da03f71ea80b29fb81b/api/anubis/jobs/daily_reaper.py#L18</t>
  </si>
  <si>
    <t>https://github.com/GusSand/Anubis/blob/dced3375debfbe06362d2da03f71ea80b29fb81b/api/anubis/jobs/daily_reaper.py#L24</t>
  </si>
  <si>
    <t>https://github.com/GusSand/Anubis/blob/dced3375debfbe06362d2da03f71ea80b29fb81b/api/anubis/jobs/daily_reaper.py#L27</t>
  </si>
  <si>
    <t>https://github.com/GusSand/Anubis/blob/dced3375debfbe06362d2da03f71ea80b29fb81b/api/anubis/jobs/daily_reaper.py#L36</t>
  </si>
  <si>
    <t>https://github.com/GusSand/Anubis/blob/dced3375debfbe06362d2da03f71ea80b29fb81b/api/anubis/jobs/daily_reaper.py#L42</t>
  </si>
  <si>
    <t>https://github.com/GusSand/Anubis/blob/dced3375debfbe06362d2da03f71ea80b29fb81b/api/anubis/jobs/daily_reaper.py#L64</t>
  </si>
  <si>
    <t>https://github.com/GusSand/Anubis/blob/dced3375debfbe06362d2da03f71ea80b29fb81b/api/anubis/jobs/daily_reaper.py#L70</t>
  </si>
  <si>
    <t>https://github.com/GusSand/Anubis/blob/dced3375debfbe06362d2da03f71ea80b29fb81b/api/anubis/jobs/daily_reaper.py#L77</t>
  </si>
  <si>
    <t>https://github.com/GusSand/Anubis/blob/dced3375debfbe06362d2da03f71ea80b29fb81b/api/anubis/jobs/daily_reaper.py#L80</t>
  </si>
  <si>
    <t>https://github.com/GusSand/Anubis/blob/dced3375debfbe06362d2da03f71ea80b29fb81b/api/anubis/jobs/daily_reaper.py#L83</t>
  </si>
  <si>
    <t>https://github.com/GusSand/Anubis/blob/dced3375debfbe06362d2da03f71ea80b29fb81b/api/anubis/jobs/daily_reaper.py#L88</t>
  </si>
  <si>
    <t>https://github.com/GusSand/Anubis/blob/dced3375debfbe06362d2da03f71ea80b29fb81b/api/anubis/jobs/daily_reaper.py#L93</t>
  </si>
  <si>
    <t>https://github.com/GusSand/Anubis/blob/dced3375debfbe06362d2da03f71ea80b29fb81b/api/anubis/jobs/daily_reaper.py#L97</t>
  </si>
  <si>
    <t>https://github.com/GusSand/Anubis/blob/dced3375debfbe06362d2da03f71ea80b29fb81b/api/anubis/jobs/daily_reaper.py#L103</t>
  </si>
  <si>
    <t>https://github.com/GusSand/Anubis/blob/dced3375debfbe06362d2da03f71ea80b29fb81b/api/anubis/jobs/daily_reaper.py#L106</t>
  </si>
  <si>
    <t>https://github.com/GusSand/Anubis/blob/dced3375debfbe06362d2da03f71ea80b29fb81b/api/anubis/jobs/daily_reaper.py#L109</t>
  </si>
  <si>
    <t>https://github.com/GusSand/Anubis/blob/dced3375debfbe06362d2da03f71ea80b29fb81b/api/anubis/jobs/daily_reaper.py#L115</t>
  </si>
  <si>
    <t>https://github.com/GusSand/Anubis/blob/dced3375debfbe06362d2da03f71ea80b29fb81b/api/anubis/jobs/daily_reaper.py#L118</t>
  </si>
  <si>
    <t>https://github.com/GusSand/Anubis/blob/dced3375debfbe06362d2da03f71ea80b29fb81b/api/anubis/jobs/daily_reaper.py#L123</t>
  </si>
  <si>
    <t>https://github.com/GusSand/Anubis/blob/dced3375debfbe06362d2da03f71ea80b29fb81b/api/anubis/jobs/daily_reaper.py#L137</t>
  </si>
  <si>
    <t>https://github.com/GusSand/Anubis/blob/dced3375debfbe06362d2da03f71ea80b29fb81b/api/anubis/jobs/daily_reaper.py#L140</t>
  </si>
  <si>
    <t>https://github.com/GusSand/Anubis/blob/dced3375debfbe06362d2da03f71ea80b29fb81b/api/anubis/jobs/daily_reaper.py#L143</t>
  </si>
  <si>
    <t>Anubis/api/anubis/jobs/reaper.py</t>
  </si>
  <si>
    <t>reaper.py</t>
  </si>
  <si>
    <t>https://github.com/GusSand/Anubis/blob/dced3375debfbe06362d2da03f71ea80b29fb81b/api/anubis/jobs/reaper.py#L20</t>
  </si>
  <si>
    <t>https://github.com/GusSand/Anubis/blob/dced3375debfbe06362d2da03f71ea80b29fb81b/api/anubis/jobs/reaper.py#L32</t>
  </si>
  <si>
    <t>https://github.com/GusSand/Anubis/blob/dced3375debfbe06362d2da03f71ea80b29fb81b/api/anubis/jobs/reaper.py#L42</t>
  </si>
  <si>
    <t>https://github.com/GusSand/Anubis/blob/dced3375debfbe06362d2da03f71ea80b29fb81b/api/anubis/jobs/reaper.py#L47</t>
  </si>
  <si>
    <t>https://github.com/GusSand/Anubis/blob/dced3375debfbe06362d2da03f71ea80b29fb81b/api/anubis/jobs/reaper.py#L70</t>
  </si>
  <si>
    <t>https://github.com/GusSand/Anubis/blob/dced3375debfbe06362d2da03f71ea80b29fb81b/api/anubis/jobs/reaper.py#L82</t>
  </si>
  <si>
    <t>https://github.com/GusSand/Anubis/blob/dced3375debfbe06362d2da03f71ea80b29fb81b/api/anubis/jobs/reaper.py#L85</t>
  </si>
  <si>
    <t>https://github.com/GusSand/Anubis/blob/dced3375debfbe06362d2da03f71ea80b29fb81b/api/anubis/jobs/reaper.py#L88</t>
  </si>
  <si>
    <t>https://github.com/GusSand/Anubis/blob/dced3375debfbe06362d2da03f71ea80b29fb81b/api/anubis/jobs/reaper.py#L95</t>
  </si>
  <si>
    <t>https://github.com/GusSand/Anubis/blob/dced3375debfbe06362d2da03f71ea80b29fb81b/api/anubis/jobs/reaper.py#L104</t>
  </si>
  <si>
    <t>https://github.com/GusSand/Anubis/blob/dced3375debfbe06362d2da03f71ea80b29fb81b/api/anubis/jobs/reaper.py#L109</t>
  </si>
  <si>
    <t>https://github.com/GusSand/Anubis/blob/dced3375debfbe06362d2da03f71ea80b29fb81b/api/anubis/jobs/reaper.py#L116</t>
  </si>
  <si>
    <t>https://github.com/GusSand/Anubis/blob/dced3375debfbe06362d2da03f71ea80b29fb81b/api/anubis/jobs/reaper.py#L119</t>
  </si>
  <si>
    <t>https://github.com/GusSand/Anubis/blob/dced3375debfbe06362d2da03f71ea80b29fb81b/api/anubis/jobs/reaper.py#L127</t>
  </si>
  <si>
    <t>https://github.com/GusSand/Anubis/blob/dced3375debfbe06362d2da03f71ea80b29fb81b/api/anubis/jobs/reaper.py#L130</t>
  </si>
  <si>
    <t>https://github.com/GusSand/Anubis/blob/dced3375debfbe06362d2da03f71ea80b29fb81b/api/anubis/jobs/reaper.py#L133</t>
  </si>
  <si>
    <t>https://github.com/GusSand/Anubis/blob/dced3375debfbe06362d2da03f71ea80b29fb81b/api/anubis/jobs/reaper.py#L136</t>
  </si>
  <si>
    <t>https://github.com/GusSand/Anubis/blob/dced3375debfbe06362d2da03f71ea80b29fb81b/api/anubis/jobs/reaper.py#L139</t>
  </si>
  <si>
    <t>https://github.com/GusSand/Anubis/blob/dced3375debfbe06362d2da03f71ea80b29fb81b/api/anubis/jobs/reaper.py#L142</t>
  </si>
  <si>
    <t>Anubis/api/anubis/jobs/visuals.py</t>
  </si>
  <si>
    <t>visuals.py</t>
  </si>
  <si>
    <t>https://github.com/GusSand/Anubis/blob/dced3375debfbe06362d2da03f71ea80b29fb81b/api/anubis/jobs/visuals.py#L10</t>
  </si>
  <si>
    <t>https://github.com/GusSand/Anubis/blob/dced3375debfbe06362d2da03f71ea80b29fb81b/api/anubis/jobs/visuals.py#L15</t>
  </si>
  <si>
    <t>https://github.com/GusSand/Anubis/blob/dced3375debfbe06362d2da03f71ea80b29fb81b/api/anubis/jobs/visuals.py#L19</t>
  </si>
  <si>
    <t>https://github.com/GusSand/Anubis/blob/dced3375debfbe06362d2da03f71ea80b29fb81b/api/anubis/jobs/visuals.py#L25</t>
  </si>
  <si>
    <t>https://github.com/GusSand/Anubis/blob/dced3375debfbe06362d2da03f71ea80b29fb81b/api/anubis/jobs/visuals.py#L29</t>
  </si>
  <si>
    <t>https://github.com/GusSand/Anubis/blob/dced3375debfbe06362d2da03f71ea80b29fb81b/api/anubis/jobs/visuals.py#L32</t>
  </si>
  <si>
    <t>https://github.com/GusSand/Anubis/blob/dced3375debfbe06362d2da03f71ea80b29fb81b/api/anubis/jobs/visuals.py#L36</t>
  </si>
  <si>
    <t>Anubis/api/anubis/jobs/email_notifications.py</t>
  </si>
  <si>
    <t>email_notifications.py</t>
  </si>
  <si>
    <t>https://github.com/GusSand/Anubis/blob/dced3375debfbe06362d2da03f71ea80b29fb81b/api/anubis/jobs/email_notifications.py#L63</t>
  </si>
  <si>
    <t>Anubis/api/anubis/rpc/enqueue.py</t>
  </si>
  <si>
    <t>enqueue.py</t>
  </si>
  <si>
    <t>https://github.com/GusSand/Anubis/blob/dced3375debfbe06362d2da03f71ea80b29fb81b/api/anubis/rpc/enqueue.py#L1</t>
  </si>
  <si>
    <t>https://github.com/GusSand/Anubis/blob/dced3375debfbe06362d2da03f71ea80b29fb81b/api/anubis/rpc/enqueue.py#L33</t>
  </si>
  <si>
    <t>https://github.com/GusSand/Anubis/blob/dced3375debfbe06362d2da03f71ea80b29fb81b/api/anubis/rpc/enqueue.py#L40</t>
  </si>
  <si>
    <t>https://github.com/GusSand/Anubis/blob/dced3375debfbe06362d2da03f71ea80b29fb81b/api/anubis/rpc/enqueue.py#L46</t>
  </si>
  <si>
    <t>https://github.com/GusSand/Anubis/blob/dced3375debfbe06362d2da03f71ea80b29fb81b/api/anubis/rpc/enqueue.py#L63</t>
  </si>
  <si>
    <t>https://github.com/GusSand/Anubis/blob/dced3375debfbe06362d2da03f71ea80b29fb81b/api/anubis/rpc/enqueue.py#L68</t>
  </si>
  <si>
    <t>https://github.com/GusSand/Anubis/blob/dced3375debfbe06362d2da03f71ea80b29fb81b/api/anubis/rpc/enqueue.py#L73</t>
  </si>
  <si>
    <t>https://github.com/GusSand/Anubis/blob/dced3375debfbe06362d2da03f71ea80b29fb81b/api/anubis/rpc/enqueue.py#L78</t>
  </si>
  <si>
    <t>https://github.com/GusSand/Anubis/blob/dced3375debfbe06362d2da03f71ea80b29fb81b/api/anubis/rpc/enqueue.py#L83</t>
  </si>
  <si>
    <t>https://github.com/GusSand/Anubis/blob/dced3375debfbe06362d2da03f71ea80b29fb81b/api/anubis/rpc/enqueue.py#L88</t>
  </si>
  <si>
    <t>https://github.com/GusSand/Anubis/blob/dced3375debfbe06362d2da03f71ea80b29fb81b/api/anubis/rpc/enqueue.py#L93</t>
  </si>
  <si>
    <t>https://github.com/GusSand/Anubis/blob/dced3375debfbe06362d2da03f71ea80b29fb81b/api/anubis/rpc/enqueue.py#L98</t>
  </si>
  <si>
    <t>https://github.com/GusSand/Anubis/blob/dced3375debfbe06362d2da03f71ea80b29fb81b/api/anubis/rpc/enqueue.py#L103</t>
  </si>
  <si>
    <t>https://github.com/GusSand/Anubis/blob/dced3375debfbe06362d2da03f71ea80b29fb81b/api/anubis/rpc/enqueue.py#L108</t>
  </si>
  <si>
    <t>https://github.com/GusSand/Anubis/blob/dced3375debfbe06362d2da03f71ea80b29fb81b/api/anubis/rpc/enqueue.py#L113</t>
  </si>
  <si>
    <t>https://github.com/GusSand/Anubis/blob/dced3375debfbe06362d2da03f71ea80b29fb81b/api/anubis/rpc/enqueue.py#L118</t>
  </si>
  <si>
    <t>https://github.com/GusSand/Anubis/blob/dced3375debfbe06362d2da03f71ea80b29fb81b/api/anubis/rpc/enqueue.py#L123</t>
  </si>
  <si>
    <t>Anubis/api/anubis/views/pipeline/pipeline.py</t>
  </si>
  <si>
    <t>pipeline.py</t>
  </si>
  <si>
    <t>https://github.com/GusSand/Anubis/blob/dced3375debfbe06362d2da03f71ea80b29fb81b/api/anubis/views/pipeline/pipeline.py#L18</t>
  </si>
  <si>
    <t>https://github.com/GusSand/Anubis/blob/dced3375debfbe06362d2da03f71ea80b29fb81b/api/anubis/views/pipeline/pipeline.py#L36</t>
  </si>
  <si>
    <t>https://github.com/GusSand/Anubis/blob/dced3375debfbe06362d2da03f71ea80b29fb81b/api/anubis/views/pipeline/pipeline.py#L48</t>
  </si>
  <si>
    <t>https://github.com/GusSand/Anubis/blob/dced3375debfbe06362d2da03f71ea80b29fb81b/api/anubis/views/pipeline/pipeline.py#L53</t>
  </si>
  <si>
    <t>https://github.com/GusSand/Anubis/blob/dced3375debfbe06362d2da03f71ea80b29fb81b/api/anubis/views/pipeline/pipeline.py#L64</t>
  </si>
  <si>
    <t>https://github.com/GusSand/Anubis/blob/dced3375debfbe06362d2da03f71ea80b29fb81b/api/anubis/views/pipeline/pipeline.py#L81</t>
  </si>
  <si>
    <t>https://github.com/GusSand/Anubis/blob/dced3375debfbe06362d2da03f71ea80b29fb81b/api/anubis/views/pipeline/pipeline.py#L94</t>
  </si>
  <si>
    <t>https://github.com/GusSand/Anubis/blob/dced3375debfbe06362d2da03f71ea80b29fb81b/api/anubis/views/pipeline/pipeline.py#L98</t>
  </si>
  <si>
    <t>https://github.com/GusSand/Anubis/blob/dced3375debfbe06362d2da03f71ea80b29fb81b/api/anubis/views/pipeline/pipeline.py#L104</t>
  </si>
  <si>
    <t>https://github.com/GusSand/Anubis/blob/dced3375debfbe06362d2da03f71ea80b29fb81b/api/anubis/views/pipeline/pipeline.py#L109</t>
  </si>
  <si>
    <t>https://github.com/GusSand/Anubis/blob/dced3375debfbe06362d2da03f71ea80b29fb81b/api/anubis/views/pipeline/pipeline.py#L118</t>
  </si>
  <si>
    <t>https://github.com/GusSand/Anubis/blob/dced3375debfbe06362d2da03f71ea80b29fb81b/api/anubis/views/pipeline/pipeline.py#L144</t>
  </si>
  <si>
    <t>https://github.com/GusSand/Anubis/blob/dced3375debfbe06362d2da03f71ea80b29fb81b/api/anubis/views/pipeline/pipeline.py#L162</t>
  </si>
  <si>
    <t>https://github.com/GusSand/Anubis/blob/dced3375debfbe06362d2da03f71ea80b29fb81b/api/anubis/views/pipeline/pipeline.py#L164</t>
  </si>
  <si>
    <t>https://github.com/GusSand/Anubis/blob/dced3375debfbe06362d2da03f71ea80b29fb81b/api/anubis/views/pipeline/pipeline.py#L169</t>
  </si>
  <si>
    <t>https://github.com/GusSand/Anubis/blob/dced3375debfbe06362d2da03f71ea80b29fb81b/api/anubis/views/pipeline/pipeline.py#L174</t>
  </si>
  <si>
    <t>https://github.com/GusSand/Anubis/blob/dced3375debfbe06362d2da03f71ea80b29fb81b/api/anubis/views/pipeline/pipeline.py#L180</t>
  </si>
  <si>
    <t>https://github.com/GusSand/Anubis/blob/dced3375debfbe06362d2da03f71ea80b29fb81b/api/anubis/views/pipeline/pipeline.py#L191</t>
  </si>
  <si>
    <t>https://github.com/GusSand/Anubis/blob/dced3375debfbe06362d2da03f71ea80b29fb81b/api/anubis/views/pipeline/pipeline.py#L209</t>
  </si>
  <si>
    <t>https://github.com/GusSand/Anubis/blob/dced3375debfbe06362d2da03f71ea80b29fb81b/api/anubis/views/pipeline/pipeline.py#L221</t>
  </si>
  <si>
    <t>https://github.com/GusSand/Anubis/blob/dced3375debfbe06362d2da03f71ea80b29fb81b/api/anubis/views/pipeline/pipeline.py#L224</t>
  </si>
  <si>
    <t>https://github.com/GusSand/Anubis/blob/dced3375debfbe06362d2da03f71ea80b29fb81b/api/anubis/views/pipeline/pipeline.py#L227</t>
  </si>
  <si>
    <t>https://github.com/GusSand/Anubis/blob/dced3375debfbe06362d2da03f71ea80b29fb81b/api/anubis/views/pipeline/pipeline.py#L239</t>
  </si>
  <si>
    <t>https://github.com/GusSand/Anubis/blob/dced3375debfbe06362d2da03f71ea80b29fb81b/api/anubis/views/pipeline/pipeline.py#L242</t>
  </si>
  <si>
    <t>https://github.com/GusSand/Anubis/blob/dced3375debfbe06362d2da03f71ea80b29fb81b/api/anubis/views/pipeline/pipeline.py#L244</t>
  </si>
  <si>
    <t>https://github.com/GusSand/Anubis/blob/dced3375debfbe06362d2da03f71ea80b29fb81b/api/anubis/views/pipeline/pipeline.py#L247</t>
  </si>
  <si>
    <t>https://github.com/GusSand/Anubis/blob/dced3375debfbe06362d2da03f71ea80b29fb81b/api/anubis/views/pipeline/pipeline.py#L253</t>
  </si>
  <si>
    <t>https://github.com/GusSand/Anubis/blob/dced3375debfbe06362d2da03f71ea80b29fb81b/api/anubis/views/pipeline/pipeline.py#L256</t>
  </si>
  <si>
    <t>https://github.com/GusSand/Anubis/blob/dced3375debfbe06362d2da03f71ea80b29fb81b/api/anubis/views/pipeline/pipeline.py#L260</t>
  </si>
  <si>
    <t>https://github.com/GusSand/Anubis/blob/dced3375debfbe06362d2da03f71ea80b29fb81b/api/anubis/views/pipeline/pipeline.py#L264</t>
  </si>
  <si>
    <t>Anubis/api/anubis/views/admin/auth.py</t>
  </si>
  <si>
    <t>auth.py</t>
  </si>
  <si>
    <t>https://github.com/GusSand/Anubis/blob/dced3375debfbe06362d2da03f71ea80b29fb81b/api/anubis/views/admin/auth.py#L15</t>
  </si>
  <si>
    <t>https://github.com/GusSand/Anubis/blob/dced3375debfbe06362d2da03f71ea80b29fb81b/api/anubis/views/admin/auth.py#L22</t>
  </si>
  <si>
    <t>https://github.com/GusSand/Anubis/blob/dced3375debfbe06362d2da03f71ea80b29fb81b/api/anubis/views/admin/auth.py#L25</t>
  </si>
  <si>
    <t>https://github.com/GusSand/Anubis/blob/dced3375debfbe06362d2da03f71ea80b29fb81b/api/anubis/views/admin/auth.py#L28</t>
  </si>
  <si>
    <t>Anubis/api/anubis/views/admin/late_exceptions.py</t>
  </si>
  <si>
    <t>late_exceptions.py</t>
  </si>
  <si>
    <t>https://github.com/GusSand/Anubis/blob/dced3375debfbe06362d2da03f71ea80b29fb81b/api/anubis/views/admin/late_exceptions.py#L18</t>
  </si>
  <si>
    <t>https://github.com/GusSand/Anubis/blob/dced3375debfbe06362d2da03f71ea80b29fb81b/api/anubis/views/admin/late_exceptions.py#L25</t>
  </si>
  <si>
    <t>https://github.com/GusSand/Anubis/blob/dced3375debfbe06362d2da03f71ea80b29fb81b/api/anubis/views/admin/late_exceptions.py#L30</t>
  </si>
  <si>
    <t>https://github.com/GusSand/Anubis/blob/dced3375debfbe06362d2da03f71ea80b29fb81b/api/anubis/views/admin/late_exceptions.py#L33</t>
  </si>
  <si>
    <t>https://github.com/GusSand/Anubis/blob/dced3375debfbe06362d2da03f71ea80b29fb81b/api/anubis/views/admin/late_exceptions.py#L36</t>
  </si>
  <si>
    <t>https://github.com/GusSand/Anubis/blob/dced3375debfbe06362d2da03f71ea80b29fb81b/api/anubis/views/admin/late_exceptions.py#L39</t>
  </si>
  <si>
    <t>https://github.com/GusSand/Anubis/blob/dced3375debfbe06362d2da03f71ea80b29fb81b/api/anubis/views/admin/late_exceptions.py#L52</t>
  </si>
  <si>
    <t>https://github.com/GusSand/Anubis/blob/dced3375debfbe06362d2da03f71ea80b29fb81b/api/anubis/views/admin/late_exceptions.py#L61</t>
  </si>
  <si>
    <t>https://github.com/GusSand/Anubis/blob/dced3375debfbe06362d2da03f71ea80b29fb81b/api/anubis/views/admin/late_exceptions.py#L67</t>
  </si>
  <si>
    <t>https://github.com/GusSand/Anubis/blob/dced3375debfbe06362d2da03f71ea80b29fb81b/api/anubis/views/admin/late_exceptions.py#L73</t>
  </si>
  <si>
    <t>https://github.com/GusSand/Anubis/blob/dced3375debfbe06362d2da03f71ea80b29fb81b/api/anubis/views/admin/late_exceptions.py#L79</t>
  </si>
  <si>
    <t>https://github.com/GusSand/Anubis/blob/dced3375debfbe06362d2da03f71ea80b29fb81b/api/anubis/views/admin/late_exceptions.py#L81</t>
  </si>
  <si>
    <t>https://github.com/GusSand/Anubis/blob/dced3375debfbe06362d2da03f71ea80b29fb81b/api/anubis/views/admin/late_exceptions.py#L88</t>
  </si>
  <si>
    <t>https://github.com/GusSand/Anubis/blob/dced3375debfbe06362d2da03f71ea80b29fb81b/api/anubis/views/admin/late_exceptions.py#L94</t>
  </si>
  <si>
    <t>https://github.com/GusSand/Anubis/blob/dced3375debfbe06362d2da03f71ea80b29fb81b/api/anubis/views/admin/late_exceptions.py#L98</t>
  </si>
  <si>
    <t>https://github.com/GusSand/Anubis/blob/dced3375debfbe06362d2da03f71ea80b29fb81b/api/anubis/views/admin/late_exceptions.py#L103</t>
  </si>
  <si>
    <t>https://github.com/GusSand/Anubis/blob/dced3375debfbe06362d2da03f71ea80b29fb81b/api/anubis/views/admin/late_exceptions.py#L106</t>
  </si>
  <si>
    <t>https://github.com/GusSand/Anubis/blob/dced3375debfbe06362d2da03f71ea80b29fb81b/api/anubis/views/admin/late_exceptions.py#L114</t>
  </si>
  <si>
    <t>https://github.com/GusSand/Anubis/blob/dced3375debfbe06362d2da03f71ea80b29fb81b/api/anubis/views/admin/late_exceptions.py#L122</t>
  </si>
  <si>
    <t>https://github.com/GusSand/Anubis/blob/dced3375debfbe06362d2da03f71ea80b29fb81b/api/anubis/views/admin/late_exceptions.py#L128</t>
  </si>
  <si>
    <t>https://github.com/GusSand/Anubis/blob/dced3375debfbe06362d2da03f71ea80b29fb81b/api/anubis/views/admin/late_exceptions.py#L134</t>
  </si>
  <si>
    <t>https://github.com/GusSand/Anubis/blob/dced3375debfbe06362d2da03f71ea80b29fb81b/api/anubis/views/admin/late_exceptions.py#L140</t>
  </si>
  <si>
    <t>https://github.com/GusSand/Anubis/blob/dced3375debfbe06362d2da03f71ea80b29fb81b/api/anubis/views/admin/late_exceptions.py#L145</t>
  </si>
  <si>
    <t>Anubis/api/anubis/views/admin/regrade.py</t>
  </si>
  <si>
    <t>https://github.com/GusSand/Anubis/blob/dced3375debfbe06362d2da03f71ea80b29fb81b/api/anubis/views/admin/regrade.py#L25</t>
  </si>
  <si>
    <t>https://github.com/GusSand/Anubis/blob/dced3375debfbe06362d2da03f71ea80b29fb81b/api/anubis/views/admin/regrade.py#L34</t>
  </si>
  <si>
    <t>https://github.com/GusSand/Anubis/blob/dced3375debfbe06362d2da03f71ea80b29fb81b/api/anubis/views/admin/regrade.py#L37</t>
  </si>
  <si>
    <t>https://github.com/GusSand/Anubis/blob/dced3375debfbe06362d2da03f71ea80b29fb81b/api/anubis/views/admin/regrade.py#L43</t>
  </si>
  <si>
    <t>https://github.com/GusSand/Anubis/blob/dced3375debfbe06362d2da03f71ea80b29fb81b/api/anubis/views/admin/regrade.py#L48</t>
  </si>
  <si>
    <t>https://github.com/GusSand/Anubis/blob/dced3375debfbe06362d2da03f71ea80b29fb81b/api/anubis/views/admin/regrade.py#L51</t>
  </si>
  <si>
    <t>https://github.com/GusSand/Anubis/blob/dced3375debfbe06362d2da03f71ea80b29fb81b/api/anubis/views/admin/regrade.py#L66</t>
  </si>
  <si>
    <t>https://github.com/GusSand/Anubis/blob/dced3375debfbe06362d2da03f71ea80b29fb81b/api/anubis/views/admin/regrade.py#L73</t>
  </si>
  <si>
    <t>https://github.com/GusSand/Anubis/blob/dced3375debfbe06362d2da03f71ea80b29fb81b/api/anubis/views/admin/regrade.py#L79</t>
  </si>
  <si>
    <t>https://github.com/GusSand/Anubis/blob/dced3375debfbe06362d2da03f71ea80b29fb81b/api/anubis/views/admin/regrade.py#L82</t>
  </si>
  <si>
    <t>https://github.com/GusSand/Anubis/blob/dced3375debfbe06362d2da03f71ea80b29fb81b/api/anubis/views/admin/regrade.py#L85</t>
  </si>
  <si>
    <t>https://github.com/GusSand/Anubis/blob/dced3375debfbe06362d2da03f71ea80b29fb81b/api/anubis/views/admin/regrade.py#L88</t>
  </si>
  <si>
    <t>https://github.com/GusSand/Anubis/blob/dced3375debfbe06362d2da03f71ea80b29fb81b/api/anubis/views/admin/regrade.py#L91</t>
  </si>
  <si>
    <t>https://github.com/GusSand/Anubis/blob/dced3375debfbe06362d2da03f71ea80b29fb81b/api/anubis/views/admin/regrade.py#L99</t>
  </si>
  <si>
    <t>https://github.com/GusSand/Anubis/blob/dced3375debfbe06362d2da03f71ea80b29fb81b/api/anubis/views/admin/regrade.py#L106</t>
  </si>
  <si>
    <t>https://github.com/GusSand/Anubis/blob/dced3375debfbe06362d2da03f71ea80b29fb81b/api/anubis/views/admin/regrade.py#L111</t>
  </si>
  <si>
    <t>https://github.com/GusSand/Anubis/blob/dced3375debfbe06362d2da03f71ea80b29fb81b/api/anubis/views/admin/regrade.py#L114</t>
  </si>
  <si>
    <t>https://github.com/GusSand/Anubis/blob/dced3375debfbe06362d2da03f71ea80b29fb81b/api/anubis/views/admin/regrade.py#L117</t>
  </si>
  <si>
    <t>https://github.com/GusSand/Anubis/blob/dced3375debfbe06362d2da03f71ea80b29fb81b/api/anubis/views/admin/regrade.py#L120</t>
  </si>
  <si>
    <t>https://github.com/GusSand/Anubis/blob/dced3375debfbe06362d2da03f71ea80b29fb81b/api/anubis/views/admin/regrade.py#L128</t>
  </si>
  <si>
    <t>https://github.com/GusSand/Anubis/blob/dced3375debfbe06362d2da03f71ea80b29fb81b/api/anubis/views/admin/regrade.py#L131</t>
  </si>
  <si>
    <t>https://github.com/GusSand/Anubis/blob/dced3375debfbe06362d2da03f71ea80b29fb81b/api/anubis/views/admin/regrade.py#L135</t>
  </si>
  <si>
    <t>https://github.com/GusSand/Anubis/blob/dced3375debfbe06362d2da03f71ea80b29fb81b/api/anubis/views/admin/regrade.py#L139</t>
  </si>
  <si>
    <t>https://github.com/GusSand/Anubis/blob/dced3375debfbe06362d2da03f71ea80b29fb81b/api/anubis/views/admin/regrade.py#L155</t>
  </si>
  <si>
    <t>https://github.com/GusSand/Anubis/blob/dced3375debfbe06362d2da03f71ea80b29fb81b/api/anubis/views/admin/regrade.py#L175</t>
  </si>
  <si>
    <t>https://github.com/GusSand/Anubis/blob/dced3375debfbe06362d2da03f71ea80b29fb81b/api/anubis/views/admin/regrade.py#L182</t>
  </si>
  <si>
    <t>https://github.com/GusSand/Anubis/blob/dced3375debfbe06362d2da03f71ea80b29fb81b/api/anubis/views/admin/regrade.py#L185</t>
  </si>
  <si>
    <t>https://github.com/GusSand/Anubis/blob/dced3375debfbe06362d2da03f71ea80b29fb81b/api/anubis/views/admin/regrade.py#L188</t>
  </si>
  <si>
    <t>https://github.com/GusSand/Anubis/blob/dced3375debfbe06362d2da03f71ea80b29fb81b/api/anubis/views/admin/regrade.py#L191</t>
  </si>
  <si>
    <t>https://github.com/GusSand/Anubis/blob/dced3375debfbe06362d2da03f71ea80b29fb81b/api/anubis/views/admin/regrade.py#L194</t>
  </si>
  <si>
    <t>Anubis/api/anubis/views/admin/questions.py</t>
  </si>
  <si>
    <t>https://github.com/GusSand/Anubis/blob/dced3375debfbe06362d2da03f71ea80b29fb81b/api/anubis/views/admin/questions.py#L29</t>
  </si>
  <si>
    <t>https://github.com/GusSand/Anubis/blob/dced3375debfbe06362d2da03f71ea80b29fb81b/api/anubis/views/admin/questions.py#L36</t>
  </si>
  <si>
    <t>https://github.com/GusSand/Anubis/blob/dced3375debfbe06362d2da03f71ea80b29fb81b/api/anubis/views/admin/questions.py#L39</t>
  </si>
  <si>
    <t>https://github.com/GusSand/Anubis/blob/dced3375debfbe06362d2da03f71ea80b29fb81b/api/anubis/views/admin/questions.py#L42</t>
  </si>
  <si>
    <t>https://github.com/GusSand/Anubis/blob/dced3375debfbe06362d2da03f71ea80b29fb81b/api/anubis/views/admin/questions.py#L45</t>
  </si>
  <si>
    <t>https://github.com/GusSand/Anubis/blob/dced3375debfbe06362d2da03f71ea80b29fb81b/api/anubis/views/admin/questions.py#L56</t>
  </si>
  <si>
    <t>https://github.com/GusSand/Anubis/blob/dced3375debfbe06362d2da03f71ea80b29fb81b/api/anubis/views/admin/questions.py#L60</t>
  </si>
  <si>
    <t>https://github.com/GusSand/Anubis/blob/dced3375debfbe06362d2da03f71ea80b29fb81b/api/anubis/views/admin/questions.py#L72</t>
  </si>
  <si>
    <t>https://github.com/GusSand/Anubis/blob/dced3375debfbe06362d2da03f71ea80b29fb81b/api/anubis/views/admin/questions.py#L79</t>
  </si>
  <si>
    <t>https://github.com/GusSand/Anubis/blob/dced3375debfbe06362d2da03f71ea80b29fb81b/api/anubis/views/admin/questions.py#L84</t>
  </si>
  <si>
    <t>https://github.com/GusSand/Anubis/blob/dced3375debfbe06362d2da03f71ea80b29fb81b/api/anubis/views/admin/questions.py#L87</t>
  </si>
  <si>
    <t>https://github.com/GusSand/Anubis/blob/dced3375debfbe06362d2da03f71ea80b29fb81b/api/anubis/views/admin/questions.py#L91</t>
  </si>
  <si>
    <t>https://github.com/GusSand/Anubis/blob/dced3375debfbe06362d2da03f71ea80b29fb81b/api/anubis/views/admin/questions.py#L96</t>
  </si>
  <si>
    <t>https://github.com/GusSand/Anubis/blob/dced3375debfbe06362d2da03f71ea80b29fb81b/api/anubis/views/admin/questions.py#L100</t>
  </si>
  <si>
    <t>https://github.com/GusSand/Anubis/blob/dced3375debfbe06362d2da03f71ea80b29fb81b/api/anubis/views/admin/questions.py#L103</t>
  </si>
  <si>
    <t>https://github.com/GusSand/Anubis/blob/dced3375debfbe06362d2da03f71ea80b29fb81b/api/anubis/views/admin/questions.py#L106</t>
  </si>
  <si>
    <t>https://github.com/GusSand/Anubis/blob/dced3375debfbe06362d2da03f71ea80b29fb81b/api/anubis/views/admin/questions.py#L119</t>
  </si>
  <si>
    <t>https://github.com/GusSand/Anubis/blob/dced3375debfbe06362d2da03f71ea80b29fb81b/api/anubis/views/admin/questions.py#L139</t>
  </si>
  <si>
    <t>https://github.com/GusSand/Anubis/blob/dced3375debfbe06362d2da03f71ea80b29fb81b/api/anubis/views/admin/questions.py#L142</t>
  </si>
  <si>
    <t>https://github.com/GusSand/Anubis/blob/dced3375debfbe06362d2da03f71ea80b29fb81b/api/anubis/views/admin/questions.py#L145</t>
  </si>
  <si>
    <t>https://github.com/GusSand/Anubis/blob/dced3375debfbe06362d2da03f71ea80b29fb81b/api/anubis/views/admin/questions.py#L148</t>
  </si>
  <si>
    <t>https://github.com/GusSand/Anubis/blob/dced3375debfbe06362d2da03f71ea80b29fb81b/api/anubis/views/admin/questions.py#L151</t>
  </si>
  <si>
    <t>https://github.com/GusSand/Anubis/blob/dced3375debfbe06362d2da03f71ea80b29fb81b/api/anubis/views/admin/questions.py#L154</t>
  </si>
  <si>
    <t>https://github.com/GusSand/Anubis/blob/dced3375debfbe06362d2da03f71ea80b29fb81b/api/anubis/views/admin/questions.py#L167</t>
  </si>
  <si>
    <t>https://github.com/GusSand/Anubis/blob/dced3375debfbe06362d2da03f71ea80b29fb81b/api/anubis/views/admin/questions.py#L187</t>
  </si>
  <si>
    <t>https://github.com/GusSand/Anubis/blob/dced3375debfbe06362d2da03f71ea80b29fb81b/api/anubis/views/admin/questions.py#L190</t>
  </si>
  <si>
    <t>https://github.com/GusSand/Anubis/blob/dced3375debfbe06362d2da03f71ea80b29fb81b/api/anubis/views/admin/questions.py#L193</t>
  </si>
  <si>
    <t>https://github.com/GusSand/Anubis/blob/dced3375debfbe06362d2da03f71ea80b29fb81b/api/anubis/views/admin/questions.py#L196</t>
  </si>
  <si>
    <t>https://github.com/GusSand/Anubis/blob/dced3375debfbe06362d2da03f71ea80b29fb81b/api/anubis/views/admin/questions.py#L199</t>
  </si>
  <si>
    <t>https://github.com/GusSand/Anubis/blob/dced3375debfbe06362d2da03f71ea80b29fb81b/api/anubis/views/admin/questions.py#L202</t>
  </si>
  <si>
    <t>https://github.com/GusSand/Anubis/blob/dced3375debfbe06362d2da03f71ea80b29fb81b/api/anubis/views/admin/questions.py#L215</t>
  </si>
  <si>
    <t>https://github.com/GusSand/Anubis/blob/dced3375debfbe06362d2da03f71ea80b29fb81b/api/anubis/views/admin/questions.py#L223</t>
  </si>
  <si>
    <t>https://github.com/GusSand/Anubis/blob/dced3375debfbe06362d2da03f71ea80b29fb81b/api/anubis/views/admin/questions.py#L228</t>
  </si>
  <si>
    <t>https://github.com/GusSand/Anubis/blob/dced3375debfbe06362d2da03f71ea80b29fb81b/api/anubis/views/admin/questions.py#L231</t>
  </si>
  <si>
    <t>https://github.com/GusSand/Anubis/blob/dced3375debfbe06362d2da03f71ea80b29fb81b/api/anubis/views/admin/questions.py#L234</t>
  </si>
  <si>
    <t>https://github.com/GusSand/Anubis/blob/dced3375debfbe06362d2da03f71ea80b29fb81b/api/anubis/views/admin/questions.py#L241</t>
  </si>
  <si>
    <t>https://github.com/GusSand/Anubis/blob/dced3375debfbe06362d2da03f71ea80b29fb81b/api/anubis/views/admin/questions.py#L244</t>
  </si>
  <si>
    <t>https://github.com/GusSand/Anubis/blob/dced3375debfbe06362d2da03f71ea80b29fb81b/api/anubis/views/admin/questions.py#L252</t>
  </si>
  <si>
    <t>https://github.com/GusSand/Anubis/blob/dced3375debfbe06362d2da03f71ea80b29fb81b/api/anubis/views/admin/questions.py#L259</t>
  </si>
  <si>
    <t>https://github.com/GusSand/Anubis/blob/dced3375debfbe06362d2da03f71ea80b29fb81b/api/anubis/views/admin/questions.py#L262</t>
  </si>
  <si>
    <t>https://github.com/GusSand/Anubis/blob/dced3375debfbe06362d2da03f71ea80b29fb81b/api/anubis/views/admin/questions.py#L265</t>
  </si>
  <si>
    <t>https://github.com/GusSand/Anubis/blob/dced3375debfbe06362d2da03f71ea80b29fb81b/api/anubis/views/admin/questions.py#L268</t>
  </si>
  <si>
    <t>https://github.com/GusSand/Anubis/blob/dced3375debfbe06362d2da03f71ea80b29fb81b/api/anubis/views/admin/questions.py#L282</t>
  </si>
  <si>
    <t>https://github.com/GusSand/Anubis/blob/dced3375debfbe06362d2da03f71ea80b29fb81b/api/anubis/views/admin/questions.py#L289</t>
  </si>
  <si>
    <t>https://github.com/GusSand/Anubis/blob/dced3375debfbe06362d2da03f71ea80b29fb81b/api/anubis/views/admin/questions.py#L292</t>
  </si>
  <si>
    <t>https://github.com/GusSand/Anubis/blob/dced3375debfbe06362d2da03f71ea80b29fb81b/api/anubis/views/admin/questions.py#L295</t>
  </si>
  <si>
    <t>https://github.com/GusSand/Anubis/blob/dced3375debfbe06362d2da03f71ea80b29fb81b/api/anubis/views/admin/questions.py#L316</t>
  </si>
  <si>
    <t>https://github.com/GusSand/Anubis/blob/dced3375debfbe06362d2da03f71ea80b29fb81b/api/anubis/views/admin/questions.py#L326</t>
  </si>
  <si>
    <t>https://github.com/GusSand/Anubis/blob/dced3375debfbe06362d2da03f71ea80b29fb81b/api/anubis/views/admin/questions.py#L329</t>
  </si>
  <si>
    <t>https://github.com/GusSand/Anubis/blob/dced3375debfbe06362d2da03f71ea80b29fb81b/api/anubis/views/admin/questions.py#L332</t>
  </si>
  <si>
    <t>https://github.com/GusSand/Anubis/blob/dced3375debfbe06362d2da03f71ea80b29fb81b/api/anubis/views/admin/questions.py#L335</t>
  </si>
  <si>
    <t>https://github.com/GusSand/Anubis/blob/dced3375debfbe06362d2da03f71ea80b29fb81b/api/anubis/views/admin/questions.py#L338</t>
  </si>
  <si>
    <t>https://github.com/GusSand/Anubis/blob/dced3375debfbe06362d2da03f71ea80b29fb81b/api/anubis/views/admin/questions.py#L345</t>
  </si>
  <si>
    <t>https://github.com/GusSand/Anubis/blob/dced3375debfbe06362d2da03f71ea80b29fb81b/api/anubis/views/admin/questions.py#L352</t>
  </si>
  <si>
    <t>https://github.com/GusSand/Anubis/blob/dced3375debfbe06362d2da03f71ea80b29fb81b/api/anubis/views/admin/questions.py#L355</t>
  </si>
  <si>
    <t>https://github.com/GusSand/Anubis/blob/dced3375debfbe06362d2da03f71ea80b29fb81b/api/anubis/views/admin/questions.py#L358</t>
  </si>
  <si>
    <t>https://github.com/GusSand/Anubis/blob/dced3375debfbe06362d2da03f71ea80b29fb81b/api/anubis/views/admin/questions.py#L361</t>
  </si>
  <si>
    <t>https://github.com/GusSand/Anubis/blob/dced3375debfbe06362d2da03f71ea80b29fb81b/api/anubis/views/admin/questions.py#L364</t>
  </si>
  <si>
    <t>https://github.com/GusSand/Anubis/blob/dced3375debfbe06362d2da03f71ea80b29fb81b/api/anubis/views/admin/questions.py#L367</t>
  </si>
  <si>
    <t>https://github.com/GusSand/Anubis/blob/dced3375debfbe06362d2da03f71ea80b29fb81b/api/anubis/views/admin/questions.py#L371</t>
  </si>
  <si>
    <t>https://github.com/GusSand/Anubis/blob/dced3375debfbe06362d2da03f71ea80b29fb81b/api/anubis/views/admin/questions.py#L378</t>
  </si>
  <si>
    <t>https://github.com/GusSand/Anubis/blob/dced3375debfbe06362d2da03f71ea80b29fb81b/api/anubis/views/admin/questions.py#L387</t>
  </si>
  <si>
    <t>https://github.com/GusSand/Anubis/blob/dced3375debfbe06362d2da03f71ea80b29fb81b/api/anubis/views/admin/questions.py#L391</t>
  </si>
  <si>
    <t>https://github.com/GusSand/Anubis/blob/dced3375debfbe06362d2da03f71ea80b29fb81b/api/anubis/views/admin/questions.py#L395</t>
  </si>
  <si>
    <t>https://github.com/GusSand/Anubis/blob/dced3375debfbe06362d2da03f71ea80b29fb81b/api/anubis/views/admin/questions.py#L398</t>
  </si>
  <si>
    <t>https://github.com/GusSand/Anubis/blob/dced3375debfbe06362d2da03f71ea80b29fb81b/api/anubis/views/admin/questions.py#L401</t>
  </si>
  <si>
    <t>https://github.com/GusSand/Anubis/blob/dced3375debfbe06362d2da03f71ea80b29fb81b/api/anubis/views/admin/questions.py#L404</t>
  </si>
  <si>
    <t>https://github.com/GusSand/Anubis/blob/dced3375debfbe06362d2da03f71ea80b29fb81b/api/anubis/views/admin/questions.py#L408</t>
  </si>
  <si>
    <t>Anubis/api/anubis/views/admin/lectures.py</t>
  </si>
  <si>
    <t>https://github.com/GusSand/Anubis/blob/dced3375debfbe06362d2da03f71ea80b29fb81b/api/anubis/views/admin/lectures.py#L19</t>
  </si>
  <si>
    <t>https://github.com/GusSand/Anubis/blob/dced3375debfbe06362d2da03f71ea80b29fb81b/api/anubis/views/admin/lectures.py#L27</t>
  </si>
  <si>
    <t>https://github.com/GusSand/Anubis/blob/dced3375debfbe06362d2da03f71ea80b29fb81b/api/anubis/views/admin/lectures.py#L33</t>
  </si>
  <si>
    <t>https://github.com/GusSand/Anubis/blob/dced3375debfbe06362d2da03f71ea80b29fb81b/api/anubis/views/admin/lectures.py#L36</t>
  </si>
  <si>
    <t>https://github.com/GusSand/Anubis/blob/dced3375debfbe06362d2da03f71ea80b29fb81b/api/anubis/views/admin/lectures.py#L44</t>
  </si>
  <si>
    <t>https://github.com/GusSand/Anubis/blob/dced3375debfbe06362d2da03f71ea80b29fb81b/api/anubis/views/admin/lectures.py#L51</t>
  </si>
  <si>
    <t>https://github.com/GusSand/Anubis/blob/dced3375debfbe06362d2da03f71ea80b29fb81b/api/anubis/views/admin/lectures.py#L57</t>
  </si>
  <si>
    <t>https://github.com/GusSand/Anubis/blob/dced3375debfbe06362d2da03f71ea80b29fb81b/api/anubis/views/admin/lectures.py#L60</t>
  </si>
  <si>
    <t>https://github.com/GusSand/Anubis/blob/dced3375debfbe06362d2da03f71ea80b29fb81b/api/anubis/views/admin/lectures.py#L63</t>
  </si>
  <si>
    <t>https://github.com/GusSand/Anubis/blob/dced3375debfbe06362d2da03f71ea80b29fb81b/api/anubis/views/admin/lectures.py#L66</t>
  </si>
  <si>
    <t>https://github.com/GusSand/Anubis/blob/dced3375debfbe06362d2da03f71ea80b29fb81b/api/anubis/views/admin/lectures.py#L81</t>
  </si>
  <si>
    <t>https://github.com/GusSand/Anubis/blob/dced3375debfbe06362d2da03f71ea80b29fb81b/api/anubis/views/admin/lectures.py#L94</t>
  </si>
  <si>
    <t>https://github.com/GusSand/Anubis/blob/dced3375debfbe06362d2da03f71ea80b29fb81b/api/anubis/views/admin/lectures.py#L99</t>
  </si>
  <si>
    <t>https://github.com/GusSand/Anubis/blob/dced3375debfbe06362d2da03f71ea80b29fb81b/api/anubis/views/admin/lectures.py#L106</t>
  </si>
  <si>
    <t>https://github.com/GusSand/Anubis/blob/dced3375debfbe06362d2da03f71ea80b29fb81b/api/anubis/views/admin/lectures.py#L112</t>
  </si>
  <si>
    <t>https://github.com/GusSand/Anubis/blob/dced3375debfbe06362d2da03f71ea80b29fb81b/api/anubis/views/admin/lectures.py#L117</t>
  </si>
  <si>
    <t>https://github.com/GusSand/Anubis/blob/dced3375debfbe06362d2da03f71ea80b29fb81b/api/anubis/views/admin/lectures.py#L120</t>
  </si>
  <si>
    <t>https://github.com/GusSand/Anubis/blob/dced3375debfbe06362d2da03f71ea80b29fb81b/api/anubis/views/admin/lectures.py#L123</t>
  </si>
  <si>
    <t>https://github.com/GusSand/Anubis/blob/dced3375debfbe06362d2da03f71ea80b29fb81b/api/anubis/views/admin/lectures.py#L146</t>
  </si>
  <si>
    <t>https://github.com/GusSand/Anubis/blob/dced3375debfbe06362d2da03f71ea80b29fb81b/api/anubis/views/admin/lectures.py#L162</t>
  </si>
  <si>
    <t>https://github.com/GusSand/Anubis/blob/dced3375debfbe06362d2da03f71ea80b29fb81b/api/anubis/views/admin/lectures.py#L167</t>
  </si>
  <si>
    <t>https://github.com/GusSand/Anubis/blob/dced3375debfbe06362d2da03f71ea80b29fb81b/api/anubis/views/admin/lectures.py#L174</t>
  </si>
  <si>
    <t>https://github.com/GusSand/Anubis/blob/dced3375debfbe06362d2da03f71ea80b29fb81b/api/anubis/views/admin/lectures.py#L179</t>
  </si>
  <si>
    <t>https://github.com/GusSand/Anubis/blob/dced3375debfbe06362d2da03f71ea80b29fb81b/api/anubis/views/admin/lectures.py#L182</t>
  </si>
  <si>
    <t>https://github.com/GusSand/Anubis/blob/dced3375debfbe06362d2da03f71ea80b29fb81b/api/anubis/views/admin/lectures.py#L194</t>
  </si>
  <si>
    <t>Anubis/api/anubis/views/admin/assignments.py</t>
  </si>
  <si>
    <t>https://github.com/GusSand/Anubis/blob/dced3375debfbe06362d2da03f71ea80b29fb81b/api/anubis/views/admin/assignments.py#L28</t>
  </si>
  <si>
    <t>https://github.com/GusSand/Anubis/blob/dced3375debfbe06362d2da03f71ea80b29fb81b/api/anubis/views/admin/assignments.py#L58</t>
  </si>
  <si>
    <t>https://github.com/GusSand/Anubis/blob/dced3375debfbe06362d2da03f71ea80b29fb81b/api/anubis/views/admin/assignments.py#L84</t>
  </si>
  <si>
    <t>https://github.com/GusSand/Anubis/blob/dced3375debfbe06362d2da03f71ea80b29fb81b/api/anubis/views/admin/assignments.py#L124</t>
  </si>
  <si>
    <t>https://github.com/GusSand/Anubis/blob/dced3375debfbe06362d2da03f71ea80b29fb81b/api/anubis/views/admin/assignments.py#L130</t>
  </si>
  <si>
    <t>https://github.com/GusSand/Anubis/blob/dced3375debfbe06362d2da03f71ea80b29fb81b/api/anubis/views/admin/assignments.py#L133</t>
  </si>
  <si>
    <t>https://github.com/GusSand/Anubis/blob/dced3375debfbe06362d2da03f71ea80b29fb81b/api/anubis/views/admin/assignments.py#L135</t>
  </si>
  <si>
    <t>https://github.com/GusSand/Anubis/blob/dced3375debfbe06362d2da03f71ea80b29fb81b/api/anubis/views/admin/assignments.py#L141</t>
  </si>
  <si>
    <t>https://github.com/GusSand/Anubis/blob/dced3375debfbe06362d2da03f71ea80b29fb81b/api/anubis/views/admin/assignments.py#L144</t>
  </si>
  <si>
    <t>https://github.com/GusSand/Anubis/blob/dced3375debfbe06362d2da03f71ea80b29fb81b/api/anubis/views/admin/assignments.py#L155</t>
  </si>
  <si>
    <t>https://github.com/GusSand/Anubis/blob/dced3375debfbe06362d2da03f71ea80b29fb81b/api/anubis/views/admin/assignments.py#L164</t>
  </si>
  <si>
    <t>https://github.com/GusSand/Anubis/blob/dced3375debfbe06362d2da03f71ea80b29fb81b/api/anubis/views/admin/assignments.py#L182</t>
  </si>
  <si>
    <t>https://github.com/GusSand/Anubis/blob/dced3375debfbe06362d2da03f71ea80b29fb81b/api/anubis/views/admin/assignments.py#L190</t>
  </si>
  <si>
    <t>https://github.com/GusSand/Anubis/blob/dced3375debfbe06362d2da03f71ea80b29fb81b/api/anubis/views/admin/assignments.py#L201</t>
  </si>
  <si>
    <t>https://github.com/GusSand/Anubis/blob/dced3375debfbe06362d2da03f71ea80b29fb81b/api/anubis/views/admin/assignments.py#L215</t>
  </si>
  <si>
    <t>https://github.com/GusSand/Anubis/blob/dced3375debfbe06362d2da03f71ea80b29fb81b/api/anubis/views/admin/assignments.py#L223</t>
  </si>
  <si>
    <t>https://github.com/GusSand/Anubis/blob/dced3375debfbe06362d2da03f71ea80b29fb81b/api/anubis/views/admin/assignments.py#L227</t>
  </si>
  <si>
    <t>https://github.com/GusSand/Anubis/blob/dced3375debfbe06362d2da03f71ea80b29fb81b/api/anubis/views/admin/assignments.py#L231</t>
  </si>
  <si>
    <t>https://github.com/GusSand/Anubis/blob/dced3375debfbe06362d2da03f71ea80b29fb81b/api/anubis/views/admin/assignments.py#L234</t>
  </si>
  <si>
    <t>https://github.com/GusSand/Anubis/blob/dced3375debfbe06362d2da03f71ea80b29fb81b/api/anubis/views/admin/assignments.py#L247</t>
  </si>
  <si>
    <t>https://github.com/GusSand/Anubis/blob/dced3375debfbe06362d2da03f71ea80b29fb81b/api/anubis/views/admin/assignments.py#L255</t>
  </si>
  <si>
    <t>https://github.com/GusSand/Anubis/blob/dced3375debfbe06362d2da03f71ea80b29fb81b/api/anubis/views/admin/assignments.py#L261</t>
  </si>
  <si>
    <t>https://github.com/GusSand/Anubis/blob/dced3375debfbe06362d2da03f71ea80b29fb81b/api/anubis/views/admin/assignments.py#L269</t>
  </si>
  <si>
    <t>https://github.com/GusSand/Anubis/blob/dced3375debfbe06362d2da03f71ea80b29fb81b/api/anubis/views/admin/assignments.py#L276</t>
  </si>
  <si>
    <t>https://github.com/GusSand/Anubis/blob/dced3375debfbe06362d2da03f71ea80b29fb81b/api/anubis/views/admin/assignments.py#L281</t>
  </si>
  <si>
    <t>https://github.com/GusSand/Anubis/blob/dced3375debfbe06362d2da03f71ea80b29fb81b/api/anubis/views/admin/assignments.py#L284</t>
  </si>
  <si>
    <t>https://github.com/GusSand/Anubis/blob/dced3375debfbe06362d2da03f71ea80b29fb81b/api/anubis/views/admin/assignments.py#L288</t>
  </si>
  <si>
    <t>https://github.com/GusSand/Anubis/blob/dced3375debfbe06362d2da03f71ea80b29fb81b/api/anubis/views/admin/assignments.py#L291</t>
  </si>
  <si>
    <t>https://github.com/GusSand/Anubis/blob/dced3375debfbe06362d2da03f71ea80b29fb81b/api/anubis/views/admin/assignments.py#L301</t>
  </si>
  <si>
    <t>https://github.com/GusSand/Anubis/blob/dced3375debfbe06362d2da03f71ea80b29fb81b/api/anubis/views/admin/assignments.py#L308</t>
  </si>
  <si>
    <t>https://github.com/GusSand/Anubis/blob/dced3375debfbe06362d2da03f71ea80b29fb81b/api/anubis/views/admin/assignments.py#L313</t>
  </si>
  <si>
    <t>https://github.com/GusSand/Anubis/blob/dced3375debfbe06362d2da03f71ea80b29fb81b/api/anubis/views/admin/assignments.py#L316</t>
  </si>
  <si>
    <t>https://github.com/GusSand/Anubis/blob/dced3375debfbe06362d2da03f71ea80b29fb81b/api/anubis/views/admin/assignments.py#L320</t>
  </si>
  <si>
    <t>https://github.com/GusSand/Anubis/blob/dced3375debfbe06362d2da03f71ea80b29fb81b/api/anubis/views/admin/assignments.py#L323</t>
  </si>
  <si>
    <t>https://github.com/GusSand/Anubis/blob/dced3375debfbe06362d2da03f71ea80b29fb81b/api/anubis/views/admin/assignments.py#L329</t>
  </si>
  <si>
    <t>https://github.com/GusSand/Anubis/blob/dced3375debfbe06362d2da03f71ea80b29fb81b/api/anubis/views/admin/assignments.py#L334</t>
  </si>
  <si>
    <t>https://github.com/GusSand/Anubis/blob/dced3375debfbe06362d2da03f71ea80b29fb81b/api/anubis/views/admin/assignments.py#L337</t>
  </si>
  <si>
    <t>https://github.com/GusSand/Anubis/blob/dced3375debfbe06362d2da03f71ea80b29fb81b/api/anubis/views/admin/assignments.py#L379</t>
  </si>
  <si>
    <t>https://github.com/GusSand/Anubis/blob/dced3375debfbe06362d2da03f71ea80b29fb81b/api/anubis/views/admin/assignments.py#L387</t>
  </si>
  <si>
    <t>https://github.com/GusSand/Anubis/blob/dced3375debfbe06362d2da03f71ea80b29fb81b/api/anubis/views/admin/assignments.py#L391</t>
  </si>
  <si>
    <t>https://github.com/GusSand/Anubis/blob/dced3375debfbe06362d2da03f71ea80b29fb81b/api/anubis/views/admin/assignments.py#L393</t>
  </si>
  <si>
    <t>https://github.com/GusSand/Anubis/blob/dced3375debfbe06362d2da03f71ea80b29fb81b/api/anubis/views/admin/assignments.py#L400</t>
  </si>
  <si>
    <t>https://github.com/GusSand/Anubis/blob/dced3375debfbe06362d2da03f71ea80b29fb81b/api/anubis/views/admin/assignments.py#L403</t>
  </si>
  <si>
    <t>https://github.com/GusSand/Anubis/blob/dced3375debfbe06362d2da03f71ea80b29fb81b/api/anubis/views/admin/assignments.py#L407</t>
  </si>
  <si>
    <t>https://github.com/GusSand/Anubis/blob/dced3375debfbe06362d2da03f71ea80b29fb81b/api/anubis/views/admin/assignments.py#L423</t>
  </si>
  <si>
    <t>https://github.com/GusSand/Anubis/blob/dced3375debfbe06362d2da03f71ea80b29fb81b/api/anubis/views/admin/assignments.py#L427</t>
  </si>
  <si>
    <t>https://github.com/GusSand/Anubis/blob/dced3375debfbe06362d2da03f71ea80b29fb81b/api/anubis/views/admin/assignments.py#L430</t>
  </si>
  <si>
    <t>https://github.com/GusSand/Anubis/blob/dced3375debfbe06362d2da03f71ea80b29fb81b/api/anubis/views/admin/assignments.py#L442</t>
  </si>
  <si>
    <t>https://github.com/GusSand/Anubis/blob/dced3375debfbe06362d2da03f71ea80b29fb81b/api/anubis/views/admin/assignments.py#L461</t>
  </si>
  <si>
    <t>https://github.com/GusSand/Anubis/blob/dced3375debfbe06362d2da03f71ea80b29fb81b/api/anubis/views/admin/assignments.py#L463</t>
  </si>
  <si>
    <t>https://github.com/GusSand/Anubis/blob/dced3375debfbe06362d2da03f71ea80b29fb81b/api/anubis/views/admin/assignments.py#L466</t>
  </si>
  <si>
    <t>https://github.com/GusSand/Anubis/blob/dced3375debfbe06362d2da03f71ea80b29fb81b/api/anubis/views/admin/assignments.py#L469</t>
  </si>
  <si>
    <t>Anubis/api/anubis/views/admin/ide.py</t>
  </si>
  <si>
    <t>ide.py</t>
  </si>
  <si>
    <t>https://github.com/GusSand/Anubis/blob/dced3375debfbe06362d2da03f71ea80b29fb81b/api/anubis/views/admin/ide.py#L38</t>
  </si>
  <si>
    <t>https://github.com/GusSand/Anubis/blob/dced3375debfbe06362d2da03f71ea80b29fb81b/api/anubis/views/admin/ide.py#L56</t>
  </si>
  <si>
    <t>https://github.com/GusSand/Anubis/blob/dced3375debfbe06362d2da03f71ea80b29fb81b/api/anubis/views/admin/ide.py#L64</t>
  </si>
  <si>
    <t>https://github.com/GusSand/Anubis/blob/dced3375debfbe06362d2da03f71ea80b29fb81b/api/anubis/views/admin/ide.py#L73</t>
  </si>
  <si>
    <t>https://github.com/GusSand/Anubis/blob/dced3375debfbe06362d2da03f71ea80b29fb81b/api/anubis/views/admin/ide.py#L79</t>
  </si>
  <si>
    <t>https://github.com/GusSand/Anubis/blob/dced3375debfbe06362d2da03f71ea80b29fb81b/api/anubis/views/admin/ide.py#L97</t>
  </si>
  <si>
    <t>https://github.com/GusSand/Anubis/blob/dced3375debfbe06362d2da03f71ea80b29fb81b/api/anubis/views/admin/ide.py#L103</t>
  </si>
  <si>
    <t>https://github.com/GusSand/Anubis/blob/dced3375debfbe06362d2da03f71ea80b29fb81b/api/anubis/views/admin/ide.py#L106</t>
  </si>
  <si>
    <t>https://github.com/GusSand/Anubis/blob/dced3375debfbe06362d2da03f71ea80b29fb81b/api/anubis/views/admin/ide.py#L119</t>
  </si>
  <si>
    <t>https://github.com/GusSand/Anubis/blob/dced3375debfbe06362d2da03f71ea80b29fb81b/api/anubis/views/admin/ide.py#L143</t>
  </si>
  <si>
    <t>https://github.com/GusSand/Anubis/blob/dced3375debfbe06362d2da03f71ea80b29fb81b/api/anubis/views/admin/ide.py#L150</t>
  </si>
  <si>
    <t>https://github.com/GusSand/Anubis/blob/dced3375debfbe06362d2da03f71ea80b29fb81b/api/anubis/views/admin/ide.py#L158</t>
  </si>
  <si>
    <t>https://github.com/GusSand/Anubis/blob/dced3375debfbe06362d2da03f71ea80b29fb81b/api/anubis/views/admin/ide.py#L162</t>
  </si>
  <si>
    <t>https://github.com/GusSand/Anubis/blob/dced3375debfbe06362d2da03f71ea80b29fb81b/api/anubis/views/admin/ide.py#L175</t>
  </si>
  <si>
    <t>https://github.com/GusSand/Anubis/blob/dced3375debfbe06362d2da03f71ea80b29fb81b/api/anubis/views/admin/ide.py#L181</t>
  </si>
  <si>
    <t>https://github.com/GusSand/Anubis/blob/dced3375debfbe06362d2da03f71ea80b29fb81b/api/anubis/views/admin/ide.py#L187</t>
  </si>
  <si>
    <t>https://github.com/GusSand/Anubis/blob/dced3375debfbe06362d2da03f71ea80b29fb81b/api/anubis/views/admin/ide.py#L195</t>
  </si>
  <si>
    <t>https://github.com/GusSand/Anubis/blob/dced3375debfbe06362d2da03f71ea80b29fb81b/api/anubis/views/admin/ide.py#L201</t>
  </si>
  <si>
    <t>https://github.com/GusSand/Anubis/blob/dced3375debfbe06362d2da03f71ea80b29fb81b/api/anubis/views/admin/ide.py#L207</t>
  </si>
  <si>
    <t>https://github.com/GusSand/Anubis/blob/dced3375debfbe06362d2da03f71ea80b29fb81b/api/anubis/views/admin/ide.py#L210</t>
  </si>
  <si>
    <t>https://github.com/GusSand/Anubis/blob/dced3375debfbe06362d2da03f71ea80b29fb81b/api/anubis/views/admin/ide.py#L215</t>
  </si>
  <si>
    <t>https://github.com/GusSand/Anubis/blob/dced3375debfbe06362d2da03f71ea80b29fb81b/api/anubis/views/admin/ide.py#L218</t>
  </si>
  <si>
    <t>https://github.com/GusSand/Anubis/blob/dced3375debfbe06362d2da03f71ea80b29fb81b/api/anubis/views/admin/ide.py#L221</t>
  </si>
  <si>
    <t>https://github.com/GusSand/Anubis/blob/dced3375debfbe06362d2da03f71ea80b29fb81b/api/anubis/views/admin/ide.py#L229</t>
  </si>
  <si>
    <t>https://github.com/GusSand/Anubis/blob/dced3375debfbe06362d2da03f71ea80b29fb81b/api/anubis/views/admin/ide.py#L237</t>
  </si>
  <si>
    <t>https://github.com/GusSand/Anubis/blob/dced3375debfbe06362d2da03f71ea80b29fb81b/api/anubis/views/admin/ide.py#L240</t>
  </si>
  <si>
    <t>Anubis/api/anubis/views/admin/seed.py</t>
  </si>
  <si>
    <t>https://github.com/GusSand/Anubis/blob/dced3375debfbe06362d2da03f71ea80b29fb81b/api/anubis/views/admin/seed.py#L15</t>
  </si>
  <si>
    <t>https://github.com/GusSand/Anubis/blob/dced3375debfbe06362d2da03f71ea80b29fb81b/api/anubis/views/admin/seed.py#L21</t>
  </si>
  <si>
    <t>https://github.com/GusSand/Anubis/blob/dced3375debfbe06362d2da03f71ea80b29fb81b/api/anubis/views/admin/seed.py#L24</t>
  </si>
  <si>
    <t>https://github.com/GusSand/Anubis/blob/dced3375debfbe06362d2da03f71ea80b29fb81b/api/anubis/views/admin/seed.py#L27</t>
  </si>
  <si>
    <t>Anubis/api/anubis/views/admin/static.py</t>
  </si>
  <si>
    <t>static.py</t>
  </si>
  <si>
    <t>https://github.com/GusSand/Anubis/blob/dced3375debfbe06362d2da03f71ea80b29fb81b/api/anubis/views/admin/static.py#L17</t>
  </si>
  <si>
    <t>https://github.com/GusSand/Anubis/blob/dced3375debfbe06362d2da03f71ea80b29fb81b/api/anubis/views/admin/static.py#L24</t>
  </si>
  <si>
    <t>https://github.com/GusSand/Anubis/blob/dced3375debfbe06362d2da03f71ea80b29fb81b/api/anubis/views/admin/static.py#L27</t>
  </si>
  <si>
    <t>https://github.com/GusSand/Anubis/blob/dced3375debfbe06362d2da03f71ea80b29fb81b/api/anubis/views/admin/static.py#L30</t>
  </si>
  <si>
    <t>https://github.com/GusSand/Anubis/blob/dced3375debfbe06362d2da03f71ea80b29fb81b/api/anubis/views/admin/static.py#L33</t>
  </si>
  <si>
    <t>https://github.com/GusSand/Anubis/blob/dced3375debfbe06362d2da03f71ea80b29fb81b/api/anubis/views/admin/static.py#L36</t>
  </si>
  <si>
    <t>https://github.com/GusSand/Anubis/blob/dced3375debfbe06362d2da03f71ea80b29fb81b/api/anubis/views/admin/static.py#L39</t>
  </si>
  <si>
    <t>https://github.com/GusSand/Anubis/blob/dced3375debfbe06362d2da03f71ea80b29fb81b/api/anubis/views/admin/static.py#L52</t>
  </si>
  <si>
    <t>https://github.com/GusSand/Anubis/blob/dced3375debfbe06362d2da03f71ea80b29fb81b/api/anubis/views/admin/static.py#L61</t>
  </si>
  <si>
    <t>https://github.com/GusSand/Anubis/blob/dced3375debfbe06362d2da03f71ea80b29fb81b/api/anubis/views/admin/static.py#L69</t>
  </si>
  <si>
    <t>https://github.com/GusSand/Anubis/blob/dced3375debfbe06362d2da03f71ea80b29fb81b/api/anubis/views/admin/static.py#L72</t>
  </si>
  <si>
    <t>https://github.com/GusSand/Anubis/blob/dced3375debfbe06362d2da03f71ea80b29fb81b/api/anubis/views/admin/static.py#L80</t>
  </si>
  <si>
    <t>https://github.com/GusSand/Anubis/blob/dced3375debfbe06362d2da03f71ea80b29fb81b/api/anubis/views/admin/static.py#L92</t>
  </si>
  <si>
    <t>Anubis/api/anubis/views/admin/courses.py</t>
  </si>
  <si>
    <t>https://github.com/GusSand/Anubis/blob/dced3375debfbe06362d2da03f71ea80b29fb81b/api/anubis/views/admin/courses.py#L19</t>
  </si>
  <si>
    <t>https://github.com/GusSand/Anubis/blob/dced3375debfbe06362d2da03f71ea80b29fb81b/api/anubis/views/admin/courses.py#L31</t>
  </si>
  <si>
    <t>https://github.com/GusSand/Anubis/blob/dced3375debfbe06362d2da03f71ea80b29fb81b/api/anubis/views/admin/courses.py#L43</t>
  </si>
  <si>
    <t>https://github.com/GusSand/Anubis/blob/dced3375debfbe06362d2da03f71ea80b29fb81b/api/anubis/views/admin/courses.py#L52</t>
  </si>
  <si>
    <t>https://github.com/GusSand/Anubis/blob/dced3375debfbe06362d2da03f71ea80b29fb81b/api/anubis/views/admin/courses.py#L61</t>
  </si>
  <si>
    <t>https://github.com/GusSand/Anubis/blob/dced3375debfbe06362d2da03f71ea80b29fb81b/api/anubis/views/admin/courses.py#L64</t>
  </si>
  <si>
    <t>https://github.com/GusSand/Anubis/blob/dced3375debfbe06362d2da03f71ea80b29fb81b/api/anubis/views/admin/courses.py#L67</t>
  </si>
  <si>
    <t>https://github.com/GusSand/Anubis/blob/dced3375debfbe06362d2da03f71ea80b29fb81b/api/anubis/views/admin/courses.py#L80</t>
  </si>
  <si>
    <t>https://github.com/GusSand/Anubis/blob/dced3375debfbe06362d2da03f71ea80b29fb81b/api/anubis/views/admin/courses.py#L87</t>
  </si>
  <si>
    <t>https://github.com/GusSand/Anubis/blob/dced3375debfbe06362d2da03f71ea80b29fb81b/api/anubis/views/admin/courses.py#L90</t>
  </si>
  <si>
    <t>https://github.com/GusSand/Anubis/blob/dced3375debfbe06362d2da03f71ea80b29fb81b/api/anubis/views/admin/courses.py#L93</t>
  </si>
  <si>
    <t>https://github.com/GusSand/Anubis/blob/dced3375debfbe06362d2da03f71ea80b29fb81b/api/anubis/views/admin/courses.py#L96</t>
  </si>
  <si>
    <t>https://github.com/GusSand/Anubis/blob/dced3375debfbe06362d2da03f71ea80b29fb81b/api/anubis/views/admin/courses.py#L99</t>
  </si>
  <si>
    <t>https://github.com/GusSand/Anubis/blob/dced3375debfbe06362d2da03f71ea80b29fb81b/api/anubis/views/admin/courses.py#L105</t>
  </si>
  <si>
    <t>https://github.com/GusSand/Anubis/blob/dced3375debfbe06362d2da03f71ea80b29fb81b/api/anubis/views/admin/courses.py#L123</t>
  </si>
  <si>
    <t>https://github.com/GusSand/Anubis/blob/dced3375debfbe06362d2da03f71ea80b29fb81b/api/anubis/views/admin/courses.py#L130</t>
  </si>
  <si>
    <t>https://github.com/GusSand/Anubis/blob/dced3375debfbe06362d2da03f71ea80b29fb81b/api/anubis/views/admin/courses.py#L138</t>
  </si>
  <si>
    <t>https://github.com/GusSand/Anubis/blob/dced3375debfbe06362d2da03f71ea80b29fb81b/api/anubis/views/admin/courses.py#L144</t>
  </si>
  <si>
    <t>https://github.com/GusSand/Anubis/blob/dced3375debfbe06362d2da03f71ea80b29fb81b/api/anubis/views/admin/courses.py#L153</t>
  </si>
  <si>
    <t>https://github.com/GusSand/Anubis/blob/dced3375debfbe06362d2da03f71ea80b29fb81b/api/anubis/views/admin/courses.py#L173</t>
  </si>
  <si>
    <t>https://github.com/GusSand/Anubis/blob/dced3375debfbe06362d2da03f71ea80b29fb81b/api/anubis/views/admin/courses.py#L179</t>
  </si>
  <si>
    <t>https://github.com/GusSand/Anubis/blob/dced3375debfbe06362d2da03f71ea80b29fb81b/api/anubis/views/admin/courses.py#L188</t>
  </si>
  <si>
    <t>https://github.com/GusSand/Anubis/blob/dced3375debfbe06362d2da03f71ea80b29fb81b/api/anubis/views/admin/courses.py#L208</t>
  </si>
  <si>
    <t>https://github.com/GusSand/Anubis/blob/dced3375debfbe06362d2da03f71ea80b29fb81b/api/anubis/views/admin/courses.py#L214</t>
  </si>
  <si>
    <t>https://github.com/GusSand/Anubis/blob/dced3375debfbe06362d2da03f71ea80b29fb81b/api/anubis/views/admin/courses.py#L223</t>
  </si>
  <si>
    <t>https://github.com/GusSand/Anubis/blob/dced3375debfbe06362d2da03f71ea80b29fb81b/api/anubis/views/admin/courses.py#L243</t>
  </si>
  <si>
    <t>https://github.com/GusSand/Anubis/blob/dced3375debfbe06362d2da03f71ea80b29fb81b/api/anubis/views/admin/courses.py#L250</t>
  </si>
  <si>
    <t>https://github.com/GusSand/Anubis/blob/dced3375debfbe06362d2da03f71ea80b29fb81b/api/anubis/views/admin/courses.py#L253</t>
  </si>
  <si>
    <t>https://github.com/GusSand/Anubis/blob/dced3375debfbe06362d2da03f71ea80b29fb81b/api/anubis/views/admin/courses.py#L256</t>
  </si>
  <si>
    <t>https://github.com/GusSand/Anubis/blob/dced3375debfbe06362d2da03f71ea80b29fb81b/api/anubis/views/admin/courses.py#L263</t>
  </si>
  <si>
    <t>https://github.com/GusSand/Anubis/blob/dced3375debfbe06362d2da03f71ea80b29fb81b/api/anubis/views/admin/courses.py#L266</t>
  </si>
  <si>
    <t>https://github.com/GusSand/Anubis/blob/dced3375debfbe06362d2da03f71ea80b29fb81b/api/anubis/views/admin/courses.py#L272</t>
  </si>
  <si>
    <t>https://github.com/GusSand/Anubis/blob/dced3375debfbe06362d2da03f71ea80b29fb81b/api/anubis/views/admin/courses.py#L276</t>
  </si>
  <si>
    <t>https://github.com/GusSand/Anubis/blob/dced3375debfbe06362d2da03f71ea80b29fb81b/api/anubis/views/admin/courses.py#L284</t>
  </si>
  <si>
    <t>https://github.com/GusSand/Anubis/blob/dced3375debfbe06362d2da03f71ea80b29fb81b/api/anubis/views/admin/courses.py#L291</t>
  </si>
  <si>
    <t>https://github.com/GusSand/Anubis/blob/dced3375debfbe06362d2da03f71ea80b29fb81b/api/anubis/views/admin/courses.py#L294</t>
  </si>
  <si>
    <t>https://github.com/GusSand/Anubis/blob/dced3375debfbe06362d2da03f71ea80b29fb81b/api/anubis/views/admin/courses.py#L297</t>
  </si>
  <si>
    <t>https://github.com/GusSand/Anubis/blob/dced3375debfbe06362d2da03f71ea80b29fb81b/api/anubis/views/admin/courses.py#L303</t>
  </si>
  <si>
    <t>https://github.com/GusSand/Anubis/blob/dced3375debfbe06362d2da03f71ea80b29fb81b/api/anubis/views/admin/courses.py#L306</t>
  </si>
  <si>
    <t>https://github.com/GusSand/Anubis/blob/dced3375debfbe06362d2da03f71ea80b29fb81b/api/anubis/views/admin/courses.py#L319</t>
  </si>
  <si>
    <t>https://github.com/GusSand/Anubis/blob/dced3375debfbe06362d2da03f71ea80b29fb81b/api/anubis/views/admin/courses.py#L326</t>
  </si>
  <si>
    <t>https://github.com/GusSand/Anubis/blob/dced3375debfbe06362d2da03f71ea80b29fb81b/api/anubis/views/admin/courses.py#L329</t>
  </si>
  <si>
    <t>https://github.com/GusSand/Anubis/blob/dced3375debfbe06362d2da03f71ea80b29fb81b/api/anubis/views/admin/courses.py#L332</t>
  </si>
  <si>
    <t>https://github.com/GusSand/Anubis/blob/dced3375debfbe06362d2da03f71ea80b29fb81b/api/anubis/views/admin/courses.py#L338</t>
  </si>
  <si>
    <t>https://github.com/GusSand/Anubis/blob/dced3375debfbe06362d2da03f71ea80b29fb81b/api/anubis/views/admin/courses.py#L341</t>
  </si>
  <si>
    <t>https://github.com/GusSand/Anubis/blob/dced3375debfbe06362d2da03f71ea80b29fb81b/api/anubis/views/admin/courses.py#L347</t>
  </si>
  <si>
    <t>https://github.com/GusSand/Anubis/blob/dced3375debfbe06362d2da03f71ea80b29fb81b/api/anubis/views/admin/courses.py#L356</t>
  </si>
  <si>
    <t>https://github.com/GusSand/Anubis/blob/dced3375debfbe06362d2da03f71ea80b29fb81b/api/anubis/views/admin/courses.py#L366</t>
  </si>
  <si>
    <t>https://github.com/GusSand/Anubis/blob/dced3375debfbe06362d2da03f71ea80b29fb81b/api/anubis/views/admin/courses.py#L374</t>
  </si>
  <si>
    <t>https://github.com/GusSand/Anubis/blob/dced3375debfbe06362d2da03f71ea80b29fb81b/api/anubis/views/admin/courses.py#L381</t>
  </si>
  <si>
    <t>https://github.com/GusSand/Anubis/blob/dced3375debfbe06362d2da03f71ea80b29fb81b/api/anubis/views/admin/courses.py#L384</t>
  </si>
  <si>
    <t>https://github.com/GusSand/Anubis/blob/dced3375debfbe06362d2da03f71ea80b29fb81b/api/anubis/views/admin/courses.py#L387</t>
  </si>
  <si>
    <t>https://github.com/GusSand/Anubis/blob/dced3375debfbe06362d2da03f71ea80b29fb81b/api/anubis/views/admin/courses.py#L390</t>
  </si>
  <si>
    <t>https://github.com/GusSand/Anubis/blob/dced3375debfbe06362d2da03f71ea80b29fb81b/api/anubis/views/admin/courses.py#L394</t>
  </si>
  <si>
    <t>https://github.com/GusSand/Anubis/blob/dced3375debfbe06362d2da03f71ea80b29fb81b/api/anubis/views/admin/courses.py#L400</t>
  </si>
  <si>
    <t>https://github.com/GusSand/Anubis/blob/dced3375debfbe06362d2da03f71ea80b29fb81b/api/anubis/views/admin/courses.py#L409</t>
  </si>
  <si>
    <t>https://github.com/GusSand/Anubis/blob/dced3375debfbe06362d2da03f71ea80b29fb81b/api/anubis/views/admin/courses.py#L422</t>
  </si>
  <si>
    <t>https://github.com/GusSand/Anubis/blob/dced3375debfbe06362d2da03f71ea80b29fb81b/api/anubis/views/admin/courses.py#L429</t>
  </si>
  <si>
    <t>https://github.com/GusSand/Anubis/blob/dced3375debfbe06362d2da03f71ea80b29fb81b/api/anubis/views/admin/courses.py#L432</t>
  </si>
  <si>
    <t>https://github.com/GusSand/Anubis/blob/dced3375debfbe06362d2da03f71ea80b29fb81b/api/anubis/views/admin/courses.py#L435</t>
  </si>
  <si>
    <t>https://github.com/GusSand/Anubis/blob/dced3375debfbe06362d2da03f71ea80b29fb81b/api/anubis/views/admin/courses.py#L442</t>
  </si>
  <si>
    <t>https://github.com/GusSand/Anubis/blob/dced3375debfbe06362d2da03f71ea80b29fb81b/api/anubis/views/admin/courses.py#L445</t>
  </si>
  <si>
    <t>https://github.com/GusSand/Anubis/blob/dced3375debfbe06362d2da03f71ea80b29fb81b/api/anubis/views/admin/courses.py#L451</t>
  </si>
  <si>
    <t>https://github.com/GusSand/Anubis/blob/dced3375debfbe06362d2da03f71ea80b29fb81b/api/anubis/views/admin/courses.py#L460</t>
  </si>
  <si>
    <t>https://github.com/GusSand/Anubis/blob/dced3375debfbe06362d2da03f71ea80b29fb81b/api/anubis/views/admin/courses.py#L470</t>
  </si>
  <si>
    <t>https://github.com/GusSand/Anubis/blob/dced3375debfbe06362d2da03f71ea80b29fb81b/api/anubis/views/admin/courses.py#L478</t>
  </si>
  <si>
    <t>https://github.com/GusSand/Anubis/blob/dced3375debfbe06362d2da03f71ea80b29fb81b/api/anubis/views/admin/courses.py#L485</t>
  </si>
  <si>
    <t>https://github.com/GusSand/Anubis/blob/dced3375debfbe06362d2da03f71ea80b29fb81b/api/anubis/views/admin/courses.py#L488</t>
  </si>
  <si>
    <t>https://github.com/GusSand/Anubis/blob/dced3375debfbe06362d2da03f71ea80b29fb81b/api/anubis/views/admin/courses.py#L491</t>
  </si>
  <si>
    <t>https://github.com/GusSand/Anubis/blob/dced3375debfbe06362d2da03f71ea80b29fb81b/api/anubis/views/admin/courses.py#L497</t>
  </si>
  <si>
    <t>https://github.com/GusSand/Anubis/blob/dced3375debfbe06362d2da03f71ea80b29fb81b/api/anubis/views/admin/courses.py#L506</t>
  </si>
  <si>
    <t>Anubis/api/anubis/views/admin/visuals.py</t>
  </si>
  <si>
    <t>https://github.com/GusSand/Anubis/blob/dced3375debfbe06362d2da03f71ea80b29fb81b/api/anubis/views/admin/visuals.py#L20</t>
  </si>
  <si>
    <t>https://github.com/GusSand/Anubis/blob/dced3375debfbe06362d2da03f71ea80b29fb81b/api/anubis/views/admin/visuals.py#L30</t>
  </si>
  <si>
    <t>https://github.com/GusSand/Anubis/blob/dced3375debfbe06362d2da03f71ea80b29fb81b/api/anubis/views/admin/visuals.py#L33</t>
  </si>
  <si>
    <t>https://github.com/GusSand/Anubis/blob/dced3375debfbe06362d2da03f71ea80b29fb81b/api/anubis/views/admin/visuals.py#L36</t>
  </si>
  <si>
    <t>https://github.com/GusSand/Anubis/blob/dced3375debfbe06362d2da03f71ea80b29fb81b/api/anubis/views/admin/visuals.py#L39</t>
  </si>
  <si>
    <t>https://github.com/GusSand/Anubis/blob/dced3375debfbe06362d2da03f71ea80b29fb81b/api/anubis/views/admin/visuals.py#L47</t>
  </si>
  <si>
    <t>https://github.com/GusSand/Anubis/blob/dced3375debfbe06362d2da03f71ea80b29fb81b/api/anubis/views/admin/visuals.py#L57</t>
  </si>
  <si>
    <t>https://github.com/GusSand/Anubis/blob/dced3375debfbe06362d2da03f71ea80b29fb81b/api/anubis/views/admin/visuals.py#L60</t>
  </si>
  <si>
    <t>https://github.com/GusSand/Anubis/blob/dced3375debfbe06362d2da03f71ea80b29fb81b/api/anubis/views/admin/visuals.py#L63</t>
  </si>
  <si>
    <t>https://github.com/GusSand/Anubis/blob/dced3375debfbe06362d2da03f71ea80b29fb81b/api/anubis/views/admin/visuals.py#L66</t>
  </si>
  <si>
    <t>https://github.com/GusSand/Anubis/blob/dced3375debfbe06362d2da03f71ea80b29fb81b/api/anubis/views/admin/visuals.py#L69</t>
  </si>
  <si>
    <t>https://github.com/GusSand/Anubis/blob/dced3375debfbe06362d2da03f71ea80b29fb81b/api/anubis/views/admin/visuals.py#L73</t>
  </si>
  <si>
    <t>https://github.com/GusSand/Anubis/blob/dced3375debfbe06362d2da03f71ea80b29fb81b/api/anubis/views/admin/visuals.py#L81</t>
  </si>
  <si>
    <t>https://github.com/GusSand/Anubis/blob/dced3375debfbe06362d2da03f71ea80b29fb81b/api/anubis/views/admin/visuals.py#L90</t>
  </si>
  <si>
    <t>https://github.com/GusSand/Anubis/blob/dced3375debfbe06362d2da03f71ea80b29fb81b/api/anubis/views/admin/visuals.py#L93</t>
  </si>
  <si>
    <t>https://github.com/GusSand/Anubis/blob/dced3375debfbe06362d2da03f71ea80b29fb81b/api/anubis/views/admin/visuals.py#L96</t>
  </si>
  <si>
    <t>https://github.com/GusSand/Anubis/blob/dced3375debfbe06362d2da03f71ea80b29fb81b/api/anubis/views/admin/visuals.py#L100</t>
  </si>
  <si>
    <t>Anubis/api/anubis/views/admin/dangling.py</t>
  </si>
  <si>
    <t>dangling.py</t>
  </si>
  <si>
    <t>https://github.com/GusSand/Anubis/blob/dced3375debfbe06362d2da03f71ea80b29fb81b/api/anubis/views/admin/dangling.py#L14</t>
  </si>
  <si>
    <t>https://github.com/GusSand/Anubis/blob/dced3375debfbe06362d2da03f71ea80b29fb81b/api/anubis/views/admin/dangling.py#L22</t>
  </si>
  <si>
    <t>https://github.com/GusSand/Anubis/blob/dced3375debfbe06362d2da03f71ea80b29fb81b/api/anubis/views/admin/dangling.py#L27</t>
  </si>
  <si>
    <t>https://github.com/GusSand/Anubis/blob/dced3375debfbe06362d2da03f71ea80b29fb81b/api/anubis/views/admin/dangling.py#L30</t>
  </si>
  <si>
    <t>https://github.com/GusSand/Anubis/blob/dced3375debfbe06362d2da03f71ea80b29fb81b/api/anubis/views/admin/dangling.py#L38</t>
  </si>
  <si>
    <t>https://github.com/GusSand/Anubis/blob/dced3375debfbe06362d2da03f71ea80b29fb81b/api/anubis/views/admin/dangling.py#L44</t>
  </si>
  <si>
    <t>https://github.com/GusSand/Anubis/blob/dced3375debfbe06362d2da03f71ea80b29fb81b/api/anubis/views/admin/dangling.py#L47</t>
  </si>
  <si>
    <t>https://github.com/GusSand/Anubis/blob/dced3375debfbe06362d2da03f71ea80b29fb81b/api/anubis/views/admin/dangling.py#L49</t>
  </si>
  <si>
    <t>https://github.com/GusSand/Anubis/blob/dced3375debfbe06362d2da03f71ea80b29fb81b/api/anubis/views/admin/dangling.py#L52</t>
  </si>
  <si>
    <t>https://github.com/GusSand/Anubis/blob/dced3375debfbe06362d2da03f71ea80b29fb81b/api/anubis/views/admin/dangling.py#L55</t>
  </si>
  <si>
    <t>Anubis/api/anubis/views/admin/students.py</t>
  </si>
  <si>
    <t>https://github.com/GusSand/Anubis/blob/dced3375debfbe06362d2da03f71ea80b29fb81b/api/anubis/views/admin/students.py#L19</t>
  </si>
  <si>
    <t>https://github.com/GusSand/Anubis/blob/dced3375debfbe06362d2da03f71ea80b29fb81b/api/anubis/views/admin/students.py#L26</t>
  </si>
  <si>
    <t>https://github.com/GusSand/Anubis/blob/dced3375debfbe06362d2da03f71ea80b29fb81b/api/anubis/views/admin/students.py#L29</t>
  </si>
  <si>
    <t>https://github.com/GusSand/Anubis/blob/dced3375debfbe06362d2da03f71ea80b29fb81b/api/anubis/views/admin/students.py#L37</t>
  </si>
  <si>
    <t>https://github.com/GusSand/Anubis/blob/dced3375debfbe06362d2da03f71ea80b29fb81b/api/anubis/views/admin/students.py#L43</t>
  </si>
  <si>
    <t>https://github.com/GusSand/Anubis/blob/dced3375debfbe06362d2da03f71ea80b29fb81b/api/anubis/views/admin/students.py#L46</t>
  </si>
  <si>
    <t>https://github.com/GusSand/Anubis/blob/dced3375debfbe06362d2da03f71ea80b29fb81b/api/anubis/views/admin/students.py#L54</t>
  </si>
  <si>
    <t>https://github.com/GusSand/Anubis/blob/dced3375debfbe06362d2da03f71ea80b29fb81b/api/anubis/views/admin/students.py#L61</t>
  </si>
  <si>
    <t>https://github.com/GusSand/Anubis/blob/dced3375debfbe06362d2da03f71ea80b29fb81b/api/anubis/views/admin/students.py#L66</t>
  </si>
  <si>
    <t>https://github.com/GusSand/Anubis/blob/dced3375debfbe06362d2da03f71ea80b29fb81b/api/anubis/views/admin/students.py#L69</t>
  </si>
  <si>
    <t>https://github.com/GusSand/Anubis/blob/dced3375debfbe06362d2da03f71ea80b29fb81b/api/anubis/views/admin/students.py#L72</t>
  </si>
  <si>
    <t>https://github.com/GusSand/Anubis/blob/dced3375debfbe06362d2da03f71ea80b29fb81b/api/anubis/views/admin/students.py#L77</t>
  </si>
  <si>
    <t>https://github.com/GusSand/Anubis/blob/dced3375debfbe06362d2da03f71ea80b29fb81b/api/anubis/views/admin/students.py#L80</t>
  </si>
  <si>
    <t>https://github.com/GusSand/Anubis/blob/dced3375debfbe06362d2da03f71ea80b29fb81b/api/anubis/views/admin/students.py#L86</t>
  </si>
  <si>
    <t>https://github.com/GusSand/Anubis/blob/dced3375debfbe06362d2da03f71ea80b29fb81b/api/anubis/views/admin/students.py#L102</t>
  </si>
  <si>
    <t>https://github.com/GusSand/Anubis/blob/dced3375debfbe06362d2da03f71ea80b29fb81b/api/anubis/views/admin/students.py#L112</t>
  </si>
  <si>
    <t>https://github.com/GusSand/Anubis/blob/dced3375debfbe06362d2da03f71ea80b29fb81b/api/anubis/views/admin/students.py#L116</t>
  </si>
  <si>
    <t>https://github.com/GusSand/Anubis/blob/dced3375debfbe06362d2da03f71ea80b29fb81b/api/anubis/views/admin/students.py#L119</t>
  </si>
  <si>
    <t>https://github.com/GusSand/Anubis/blob/dced3375debfbe06362d2da03f71ea80b29fb81b/api/anubis/views/admin/students.py#L122</t>
  </si>
  <si>
    <t>https://github.com/GusSand/Anubis/blob/dced3375debfbe06362d2da03f71ea80b29fb81b/api/anubis/views/admin/students.py#L135</t>
  </si>
  <si>
    <t>https://github.com/GusSand/Anubis/blob/dced3375debfbe06362d2da03f71ea80b29fb81b/api/anubis/views/admin/students.py#L148</t>
  </si>
  <si>
    <t>https://github.com/GusSand/Anubis/blob/dced3375debfbe06362d2da03f71ea80b29fb81b/api/anubis/views/admin/students.py#L160</t>
  </si>
  <si>
    <t>https://github.com/GusSand/Anubis/blob/dced3375debfbe06362d2da03f71ea80b29fb81b/api/anubis/views/admin/students.py#L164</t>
  </si>
  <si>
    <t>https://github.com/GusSand/Anubis/blob/dced3375debfbe06362d2da03f71ea80b29fb81b/api/anubis/views/admin/students.py#L167</t>
  </si>
  <si>
    <t>https://github.com/GusSand/Anubis/blob/dced3375debfbe06362d2da03f71ea80b29fb81b/api/anubis/views/admin/students.py#L170</t>
  </si>
  <si>
    <t>https://github.com/GusSand/Anubis/blob/dced3375debfbe06362d2da03f71ea80b29fb81b/api/anubis/views/admin/students.py#L173</t>
  </si>
  <si>
    <t>https://github.com/GusSand/Anubis/blob/dced3375debfbe06362d2da03f71ea80b29fb81b/api/anubis/views/admin/students.py#L179</t>
  </si>
  <si>
    <t>https://github.com/GusSand/Anubis/blob/dced3375debfbe06362d2da03f71ea80b29fb81b/api/anubis/views/admin/students.py#L185</t>
  </si>
  <si>
    <t>https://github.com/GusSand/Anubis/blob/dced3375debfbe06362d2da03f71ea80b29fb81b/api/anubis/views/admin/students.py#L188</t>
  </si>
  <si>
    <t>https://github.com/GusSand/Anubis/blob/dced3375debfbe06362d2da03f71ea80b29fb81b/api/anubis/views/admin/students.py#L192</t>
  </si>
  <si>
    <t>https://github.com/GusSand/Anubis/blob/dced3375debfbe06362d2da03f71ea80b29fb81b/api/anubis/views/admin/students.py#L196</t>
  </si>
  <si>
    <t>Anubis/api/anubis/views/admin/autograde.py</t>
  </si>
  <si>
    <t>https://github.com/GusSand/Anubis/blob/dced3375debfbe06362d2da03f71ea80b29fb81b/api/anubis/views/admin/autograde.py#L26</t>
  </si>
  <si>
    <t>https://github.com/GusSand/Anubis/blob/dced3375debfbe06362d2da03f71ea80b29fb81b/api/anubis/views/admin/autograde.py#L32</t>
  </si>
  <si>
    <t>https://github.com/GusSand/Anubis/blob/dced3375debfbe06362d2da03f71ea80b29fb81b/api/anubis/views/admin/autograde.py#L35</t>
  </si>
  <si>
    <t>https://github.com/GusSand/Anubis/blob/dced3375debfbe06362d2da03f71ea80b29fb81b/api/anubis/views/admin/autograde.py#L38</t>
  </si>
  <si>
    <t>https://github.com/GusSand/Anubis/blob/dced3375debfbe06362d2da03f71ea80b29fb81b/api/anubis/views/admin/autograde.py#L54</t>
  </si>
  <si>
    <t>https://github.com/GusSand/Anubis/blob/dced3375debfbe06362d2da03f71ea80b29fb81b/api/anubis/views/admin/autograde.py#L60</t>
  </si>
  <si>
    <t>https://github.com/GusSand/Anubis/blob/dced3375debfbe06362d2da03f71ea80b29fb81b/api/anubis/views/admin/autograde.py#L63</t>
  </si>
  <si>
    <t>https://github.com/GusSand/Anubis/blob/dced3375debfbe06362d2da03f71ea80b29fb81b/api/anubis/views/admin/autograde.py#L66</t>
  </si>
  <si>
    <t>https://github.com/GusSand/Anubis/blob/dced3375debfbe06362d2da03f71ea80b29fb81b/api/anubis/views/admin/autograde.py#L69</t>
  </si>
  <si>
    <t>https://github.com/GusSand/Anubis/blob/dced3375debfbe06362d2da03f71ea80b29fb81b/api/anubis/views/admin/autograde.py#L81</t>
  </si>
  <si>
    <t>https://github.com/GusSand/Anubis/blob/dced3375debfbe06362d2da03f71ea80b29fb81b/api/anubis/views/admin/autograde.py#L97</t>
  </si>
  <si>
    <t>https://github.com/GusSand/Anubis/blob/dced3375debfbe06362d2da03f71ea80b29fb81b/api/anubis/views/admin/autograde.py#L100</t>
  </si>
  <si>
    <t>https://github.com/GusSand/Anubis/blob/dced3375debfbe06362d2da03f71ea80b29fb81b/api/anubis/views/admin/autograde.py#L103</t>
  </si>
  <si>
    <t>https://github.com/GusSand/Anubis/blob/dced3375debfbe06362d2da03f71ea80b29fb81b/api/anubis/views/admin/autograde.py#L106</t>
  </si>
  <si>
    <t>https://github.com/GusSand/Anubis/blob/dced3375debfbe06362d2da03f71ea80b29fb81b/api/anubis/views/admin/autograde.py#L116</t>
  </si>
  <si>
    <t>https://github.com/GusSand/Anubis/blob/dced3375debfbe06362d2da03f71ea80b29fb81b/api/anubis/views/admin/autograde.py#L124</t>
  </si>
  <si>
    <t>https://github.com/GusSand/Anubis/blob/dced3375debfbe06362d2da03f71ea80b29fb81b/api/anubis/views/admin/autograde.py#L134</t>
  </si>
  <si>
    <t>https://github.com/GusSand/Anubis/blob/dced3375debfbe06362d2da03f71ea80b29fb81b/api/anubis/views/admin/autograde.py#L137</t>
  </si>
  <si>
    <t>https://github.com/GusSand/Anubis/blob/dced3375debfbe06362d2da03f71ea80b29fb81b/api/anubis/views/admin/autograde.py#L140</t>
  </si>
  <si>
    <t>https://github.com/GusSand/Anubis/blob/dced3375debfbe06362d2da03f71ea80b29fb81b/api/anubis/views/admin/autograde.py#L143</t>
  </si>
  <si>
    <t>https://github.com/GusSand/Anubis/blob/dced3375debfbe06362d2da03f71ea80b29fb81b/api/anubis/views/admin/autograde.py#L146</t>
  </si>
  <si>
    <t>https://github.com/GusSand/Anubis/blob/dced3375debfbe06362d2da03f71ea80b29fb81b/api/anubis/views/admin/autograde.py#L149</t>
  </si>
  <si>
    <t>https://github.com/GusSand/Anubis/blob/dced3375debfbe06362d2da03f71ea80b29fb81b/api/anubis/views/admin/autograde.py#L153</t>
  </si>
  <si>
    <t>https://github.com/GusSand/Anubis/blob/dced3375debfbe06362d2da03f71ea80b29fb81b/api/anubis/views/admin/autograde.py#L156</t>
  </si>
  <si>
    <t>https://github.com/GusSand/Anubis/blob/dced3375debfbe06362d2da03f71ea80b29fb81b/api/anubis/views/admin/autograde.py#L171</t>
  </si>
  <si>
    <t>https://github.com/GusSand/Anubis/blob/dced3375debfbe06362d2da03f71ea80b29fb81b/api/anubis/views/admin/autograde.py#L181</t>
  </si>
  <si>
    <t>https://github.com/GusSand/Anubis/blob/dced3375debfbe06362d2da03f71ea80b29fb81b/api/anubis/views/admin/autograde.py#L184</t>
  </si>
  <si>
    <t>https://github.com/GusSand/Anubis/blob/dced3375debfbe06362d2da03f71ea80b29fb81b/api/anubis/views/admin/autograde.py#L187</t>
  </si>
  <si>
    <t>https://github.com/GusSand/Anubis/blob/dced3375debfbe06362d2da03f71ea80b29fb81b/api/anubis/views/admin/autograde.py#L190</t>
  </si>
  <si>
    <t>https://github.com/GusSand/Anubis/blob/dced3375debfbe06362d2da03f71ea80b29fb81b/api/anubis/views/admin/autograde.py#L193</t>
  </si>
  <si>
    <t>https://github.com/GusSand/Anubis/blob/dced3375debfbe06362d2da03f71ea80b29fb81b/api/anubis/views/admin/autograde.py#L196</t>
  </si>
  <si>
    <t>https://github.com/GusSand/Anubis/blob/dced3375debfbe06362d2da03f71ea80b29fb81b/api/anubis/views/admin/autograde.py#L199</t>
  </si>
  <si>
    <t>https://github.com/GusSand/Anubis/blob/dced3375debfbe06362d2da03f71ea80b29fb81b/api/anubis/views/admin/autograde.py#L202</t>
  </si>
  <si>
    <t>https://github.com/GusSand/Anubis/blob/dced3375debfbe06362d2da03f71ea80b29fb81b/api/anubis/views/admin/autograde.py#L204</t>
  </si>
  <si>
    <t>https://github.com/GusSand/Anubis/blob/dced3375debfbe06362d2da03f71ea80b29fb81b/api/anubis/views/admin/autograde.py#L207</t>
  </si>
  <si>
    <t>https://github.com/GusSand/Anubis/blob/dced3375debfbe06362d2da03f71ea80b29fb81b/api/anubis/views/admin/autograde.py#L210</t>
  </si>
  <si>
    <t>Anubis/api/anubis/views/public/auth.py</t>
  </si>
  <si>
    <t>https://github.com/GusSand/Anubis/blob/dced3375debfbe06362d2da03f71ea80b29fb81b/api/anubis/views/public/auth.py#L44</t>
  </si>
  <si>
    <t>https://github.com/GusSand/Anubis/blob/dced3375debfbe06362d2da03f71ea80b29fb81b/api/anubis/views/public/auth.py#L47</t>
  </si>
  <si>
    <t>https://github.com/GusSand/Anubis/blob/dced3375debfbe06362d2da03f71ea80b29fb81b/api/anubis/views/public/auth.py#L55</t>
  </si>
  <si>
    <t>https://github.com/GusSand/Anubis/blob/dced3375debfbe06362d2da03f71ea80b29fb81b/api/anubis/views/public/auth.py#L66</t>
  </si>
  <si>
    <t>https://github.com/GusSand/Anubis/blob/dced3375debfbe06362d2da03f71ea80b29fb81b/api/anubis/views/public/auth.py#L69</t>
  </si>
  <si>
    <t>https://github.com/GusSand/Anubis/blob/dced3375debfbe06362d2da03f71ea80b29fb81b/api/anubis/views/public/auth.py#L74</t>
  </si>
  <si>
    <t>https://github.com/GusSand/Anubis/blob/dced3375debfbe06362d2da03f71ea80b29fb81b/api/anubis/views/public/auth.py#L78</t>
  </si>
  <si>
    <t>https://github.com/GusSand/Anubis/blob/dced3375debfbe06362d2da03f71ea80b29fb81b/api/anubis/views/public/auth.py#L84</t>
  </si>
  <si>
    <t>https://github.com/GusSand/Anubis/blob/dced3375debfbe06362d2da03f71ea80b29fb81b/api/anubis/views/public/auth.py#L87</t>
  </si>
  <si>
    <t>https://github.com/GusSand/Anubis/blob/dced3375debfbe06362d2da03f71ea80b29fb81b/api/anubis/views/public/auth.py#L93</t>
  </si>
  <si>
    <t>https://github.com/GusSand/Anubis/blob/dced3375debfbe06362d2da03f71ea80b29fb81b/api/anubis/views/public/auth.py#L98</t>
  </si>
  <si>
    <t>https://github.com/GusSand/Anubis/blob/dced3375debfbe06362d2da03f71ea80b29fb81b/api/anubis/views/public/auth.py#L116</t>
  </si>
  <si>
    <t>https://github.com/GusSand/Anubis/blob/dced3375debfbe06362d2da03f71ea80b29fb81b/api/anubis/views/public/auth.py#L124</t>
  </si>
  <si>
    <t>https://github.com/GusSand/Anubis/blob/dced3375debfbe06362d2da03f71ea80b29fb81b/api/anubis/views/public/auth.py#L127</t>
  </si>
  <si>
    <t>https://github.com/GusSand/Anubis/blob/dced3375debfbe06362d2da03f71ea80b29fb81b/api/anubis/views/public/auth.py#L132</t>
  </si>
  <si>
    <t>https://github.com/GusSand/Anubis/blob/dced3375debfbe06362d2da03f71ea80b29fb81b/api/anubis/views/public/auth.py#L140</t>
  </si>
  <si>
    <t>https://github.com/GusSand/Anubis/blob/dced3375debfbe06362d2da03f71ea80b29fb81b/api/anubis/views/public/auth.py#L146</t>
  </si>
  <si>
    <t>https://github.com/GusSand/Anubis/blob/dced3375debfbe06362d2da03f71ea80b29fb81b/api/anubis/views/public/auth.py#L151</t>
  </si>
  <si>
    <t>https://github.com/GusSand/Anubis/blob/dced3375debfbe06362d2da03f71ea80b29fb81b/api/anubis/views/public/auth.py#L159</t>
  </si>
  <si>
    <t>https://github.com/GusSand/Anubis/blob/dced3375debfbe06362d2da03f71ea80b29fb81b/api/anubis/views/public/auth.py#L165</t>
  </si>
  <si>
    <t>Anubis/api/anubis/views/public/memes.py</t>
  </si>
  <si>
    <t>memes.py</t>
  </si>
  <si>
    <t>https://github.com/GusSand/Anubis/blob/dced3375debfbe06362d2da03f71ea80b29fb81b/api/anubis/views/public/memes.py#L8</t>
  </si>
  <si>
    <t>https://github.com/GusSand/Anubis/blob/dced3375debfbe06362d2da03f71ea80b29fb81b/api/anubis/views/public/memes.py#L16</t>
  </si>
  <si>
    <t>https://github.com/GusSand/Anubis/blob/dced3375debfbe06362d2da03f71ea80b29fb81b/api/anubis/views/public/memes.py#L19</t>
  </si>
  <si>
    <t>Anubis/api/anubis/views/public/webhook.py</t>
  </si>
  <si>
    <t>https://github.com/GusSand/Anubis/blob/dced3375debfbe06362d2da03f71ea80b29fb81b/api/anubis/views/public/webhook.py#L19</t>
  </si>
  <si>
    <t>https://github.com/GusSand/Anubis/blob/dced3375debfbe06362d2da03f71ea80b29fb81b/api/anubis/views/public/webhook.py#L25</t>
  </si>
  <si>
    <t>https://github.com/GusSand/Anubis/blob/dced3375debfbe06362d2da03f71ea80b29fb81b/api/anubis/views/public/webhook.py#L28</t>
  </si>
  <si>
    <t>https://github.com/GusSand/Anubis/blob/dced3375debfbe06362d2da03f71ea80b29fb81b/api/anubis/views/public/webhook.py#L31</t>
  </si>
  <si>
    <t>https://github.com/GusSand/Anubis/blob/dced3375debfbe06362d2da03f71ea80b29fb81b/api/anubis/views/public/webhook.py#L43</t>
  </si>
  <si>
    <t>https://github.com/GusSand/Anubis/blob/dced3375debfbe06362d2da03f71ea80b29fb81b/api/anubis/views/public/webhook.py#L53</t>
  </si>
  <si>
    <t>https://github.com/GusSand/Anubis/blob/dced3375debfbe06362d2da03f71ea80b29fb81b/api/anubis/views/public/webhook.py#L59</t>
  </si>
  <si>
    <t>https://github.com/GusSand/Anubis/blob/dced3375debfbe06362d2da03f71ea80b29fb81b/api/anubis/views/public/webhook.py#L62</t>
  </si>
  <si>
    <t>https://github.com/GusSand/Anubis/blob/dced3375debfbe06362d2da03f71ea80b29fb81b/api/anubis/views/public/webhook.py#L65</t>
  </si>
  <si>
    <t>https://github.com/GusSand/Anubis/blob/dced3375debfbe06362d2da03f71ea80b29fb81b/api/anubis/views/public/webhook.py#L68</t>
  </si>
  <si>
    <t>https://github.com/GusSand/Anubis/blob/dced3375debfbe06362d2da03f71ea80b29fb81b/api/anubis/views/public/webhook.py#L71</t>
  </si>
  <si>
    <t>https://github.com/GusSand/Anubis/blob/dced3375debfbe06362d2da03f71ea80b29fb81b/api/anubis/views/public/webhook.py#L75</t>
  </si>
  <si>
    <t>https://github.com/GusSand/Anubis/blob/dced3375debfbe06362d2da03f71ea80b29fb81b/api/anubis/views/public/webhook.py#L116</t>
  </si>
  <si>
    <t>https://github.com/GusSand/Anubis/blob/dced3375debfbe06362d2da03f71ea80b29fb81b/api/anubis/views/public/webhook.py#L129</t>
  </si>
  <si>
    <t>https://github.com/GusSand/Anubis/blob/dced3375debfbe06362d2da03f71ea80b29fb81b/api/anubis/views/public/webhook.py#L138</t>
  </si>
  <si>
    <t>https://github.com/GusSand/Anubis/blob/dced3375debfbe06362d2da03f71ea80b29fb81b/api/anubis/views/public/webhook.py#L141</t>
  </si>
  <si>
    <t>https://github.com/GusSand/Anubis/blob/dced3375debfbe06362d2da03f71ea80b29fb81b/api/anubis/views/public/webhook.py#L143</t>
  </si>
  <si>
    <t>https://github.com/GusSand/Anubis/blob/dced3375debfbe06362d2da03f71ea80b29fb81b/api/anubis/views/public/webhook.py#L154</t>
  </si>
  <si>
    <t>https://github.com/GusSand/Anubis/blob/dced3375debfbe06362d2da03f71ea80b29fb81b/api/anubis/views/public/webhook.py#L159</t>
  </si>
  <si>
    <t>https://github.com/GusSand/Anubis/blob/dced3375debfbe06362d2da03f71ea80b29fb81b/api/anubis/views/public/webhook.py#L162</t>
  </si>
  <si>
    <t>https://github.com/GusSand/Anubis/blob/dced3375debfbe06362d2da03f71ea80b29fb81b/api/anubis/views/public/webhook.py#L166</t>
  </si>
  <si>
    <t>https://github.com/GusSand/Anubis/blob/dced3375debfbe06362d2da03f71ea80b29fb81b/api/anubis/views/public/webhook.py#L169</t>
  </si>
  <si>
    <t>https://github.com/GusSand/Anubis/blob/dced3375debfbe06362d2da03f71ea80b29fb81b/api/anubis/views/public/webhook.py#L180</t>
  </si>
  <si>
    <t>https://github.com/GusSand/Anubis/blob/dced3375debfbe06362d2da03f71ea80b29fb81b/api/anubis/views/public/webhook.py#L184</t>
  </si>
  <si>
    <t>Anubis/api/anubis/views/public/profile.py</t>
  </si>
  <si>
    <t>profile.py</t>
  </si>
  <si>
    <t>https://github.com/GusSand/Anubis/blob/dced3375debfbe06362d2da03f71ea80b29fb81b/api/anubis/views/public/profile.py#L42</t>
  </si>
  <si>
    <t>https://github.com/GusSand/Anubis/blob/dced3375debfbe06362d2da03f71ea80b29fb81b/api/anubis/views/public/profile.py#L51</t>
  </si>
  <si>
    <t>https://github.com/GusSand/Anubis/blob/dced3375debfbe06362d2da03f71ea80b29fb81b/api/anubis/views/public/profile.py#L54</t>
  </si>
  <si>
    <t>https://github.com/GusSand/Anubis/blob/dced3375debfbe06362d2da03f71ea80b29fb81b/api/anubis/views/public/profile.py#L57</t>
  </si>
  <si>
    <t>https://github.com/GusSand/Anubis/blob/dced3375debfbe06362d2da03f71ea80b29fb81b/api/anubis/views/public/profile.py#L60</t>
  </si>
  <si>
    <t>https://github.com/GusSand/Anubis/blob/dced3375debfbe06362d2da03f71ea80b29fb81b/api/anubis/views/public/profile.py#L63</t>
  </si>
  <si>
    <t>https://github.com/GusSand/Anubis/blob/dced3375debfbe06362d2da03f71ea80b29fb81b/api/anubis/views/public/profile.py#L66</t>
  </si>
  <si>
    <t>https://github.com/GusSand/Anubis/blob/dced3375debfbe06362d2da03f71ea80b29fb81b/api/anubis/views/public/profile.py#L72</t>
  </si>
  <si>
    <t>https://github.com/GusSand/Anubis/blob/dced3375debfbe06362d2da03f71ea80b29fb81b/api/anubis/views/public/profile.py#L88</t>
  </si>
  <si>
    <t>https://github.com/GusSand/Anubis/blob/dced3375debfbe06362d2da03f71ea80b29fb81b/api/anubis/views/public/profile.py#L92</t>
  </si>
  <si>
    <t>https://github.com/GusSand/Anubis/blob/dced3375debfbe06362d2da03f71ea80b29fb81b/api/anubis/views/public/profile.py#L96</t>
  </si>
  <si>
    <t>https://github.com/GusSand/Anubis/blob/dced3375debfbe06362d2da03f71ea80b29fb81b/api/anubis/views/public/profile.py#L99</t>
  </si>
  <si>
    <t>https://github.com/GusSand/Anubis/blob/dced3375debfbe06362d2da03f71ea80b29fb81b/api/anubis/views/public/profile.py#L103</t>
  </si>
  <si>
    <t>https://github.com/GusSand/Anubis/blob/dced3375debfbe06362d2da03f71ea80b29fb81b/api/anubis/views/public/profile.py#L111</t>
  </si>
  <si>
    <t>https://github.com/GusSand/Anubis/blob/dced3375debfbe06362d2da03f71ea80b29fb81b/api/anubis/views/public/profile.py#L119</t>
  </si>
  <si>
    <t>https://github.com/GusSand/Anubis/blob/dced3375debfbe06362d2da03f71ea80b29fb81b/api/anubis/views/public/profile.py#L122</t>
  </si>
  <si>
    <t>Anubis/api/anubis/views/public/questions.py</t>
  </si>
  <si>
    <t>https://github.com/GusSand/Anubis/blob/dced3375debfbe06362d2da03f71ea80b29fb81b/api/anubis/views/public/questions.py#L22</t>
  </si>
  <si>
    <t>https://github.com/GusSand/Anubis/blob/dced3375debfbe06362d2da03f71ea80b29fb81b/api/anubis/views/public/questions.py#L36</t>
  </si>
  <si>
    <t>https://github.com/GusSand/Anubis/blob/dced3375debfbe06362d2da03f71ea80b29fb81b/api/anubis/views/public/questions.py#L52</t>
  </si>
  <si>
    <t>https://github.com/GusSand/Anubis/blob/dced3375debfbe06362d2da03f71ea80b29fb81b/api/anubis/views/public/questions.py#L56</t>
  </si>
  <si>
    <t>https://github.com/GusSand/Anubis/blob/dced3375debfbe06362d2da03f71ea80b29fb81b/api/anubis/views/public/questions.py#L59</t>
  </si>
  <si>
    <t>https://github.com/GusSand/Anubis/blob/dced3375debfbe06362d2da03f71ea80b29fb81b/api/anubis/views/public/questions.py#L62</t>
  </si>
  <si>
    <t>https://github.com/GusSand/Anubis/blob/dced3375debfbe06362d2da03f71ea80b29fb81b/api/anubis/views/public/questions.py#L90</t>
  </si>
  <si>
    <t>https://github.com/GusSand/Anubis/blob/dced3375debfbe06362d2da03f71ea80b29fb81b/api/anubis/views/public/questions.py#L94</t>
  </si>
  <si>
    <t>https://github.com/GusSand/Anubis/blob/dced3375debfbe06362d2da03f71ea80b29fb81b/api/anubis/views/public/questions.py#L102</t>
  </si>
  <si>
    <t>https://github.com/GusSand/Anubis/blob/dced3375debfbe06362d2da03f71ea80b29fb81b/api/anubis/views/public/questions.py#L105</t>
  </si>
  <si>
    <t>https://github.com/GusSand/Anubis/blob/dced3375debfbe06362d2da03f71ea80b29fb81b/api/anubis/views/public/questions.py#L115</t>
  </si>
  <si>
    <t>https://github.com/GusSand/Anubis/blob/dced3375debfbe06362d2da03f71ea80b29fb81b/api/anubis/views/public/questions.py#L118</t>
  </si>
  <si>
    <t>https://github.com/GusSand/Anubis/blob/dced3375debfbe06362d2da03f71ea80b29fb81b/api/anubis/views/public/questions.py#L122</t>
  </si>
  <si>
    <t>https://github.com/GusSand/Anubis/blob/dced3375debfbe06362d2da03f71ea80b29fb81b/api/anubis/views/public/questions.py#L125</t>
  </si>
  <si>
    <t>Anubis/api/anubis/views/public/lectures.py</t>
  </si>
  <si>
    <t>https://github.com/GusSand/Anubis/blob/dced3375debfbe06362d2da03f71ea80b29fb81b/api/anubis/views/public/lectures.py#L14</t>
  </si>
  <si>
    <t>https://github.com/GusSand/Anubis/blob/dced3375debfbe06362d2da03f71ea80b29fb81b/api/anubis/views/public/lectures.py#L22</t>
  </si>
  <si>
    <t>https://github.com/GusSand/Anubis/blob/dced3375debfbe06362d2da03f71ea80b29fb81b/api/anubis/views/public/lectures.py#L25</t>
  </si>
  <si>
    <t>https://github.com/GusSand/Anubis/blob/dced3375debfbe06362d2da03f71ea80b29fb81b/api/anubis/views/public/lectures.py#L28</t>
  </si>
  <si>
    <t>Anubis/api/anubis/views/public/assignments.py</t>
  </si>
  <si>
    <t>https://github.com/GusSand/Anubis/blob/dced3375debfbe06362d2da03f71ea80b29fb81b/api/anubis/views/public/assignments.py#L15</t>
  </si>
  <si>
    <t>https://github.com/GusSand/Anubis/blob/dced3375debfbe06362d2da03f71ea80b29fb81b/api/anubis/views/public/assignments.py#L24</t>
  </si>
  <si>
    <t>https://github.com/GusSand/Anubis/blob/dced3375debfbe06362d2da03f71ea80b29fb81b/api/anubis/views/public/assignments.py#L27</t>
  </si>
  <si>
    <t>https://github.com/GusSand/Anubis/blob/dced3375debfbe06362d2da03f71ea80b29fb81b/api/anubis/views/public/assignments.py#L30</t>
  </si>
  <si>
    <t>https://github.com/GusSand/Anubis/blob/dced3375debfbe06362d2da03f71ea80b29fb81b/api/anubis/views/public/assignments.py#L38</t>
  </si>
  <si>
    <t>Anubis/api/anubis/views/public/repos.py</t>
  </si>
  <si>
    <t>https://github.com/GusSand/Anubis/blob/dced3375debfbe06362d2da03f71ea80b29fb81b/api/anubis/views/public/repos.py#L22</t>
  </si>
  <si>
    <t>https://github.com/GusSand/Anubis/blob/dced3375debfbe06362d2da03f71ea80b29fb81b/api/anubis/views/public/repos.py#L28</t>
  </si>
  <si>
    <t>https://github.com/GusSand/Anubis/blob/dced3375debfbe06362d2da03f71ea80b29fb81b/api/anubis/views/public/repos.py#L31</t>
  </si>
  <si>
    <t>https://github.com/GusSand/Anubis/blob/dced3375debfbe06362d2da03f71ea80b29fb81b/api/anubis/views/public/repos.py#L39</t>
  </si>
  <si>
    <t>https://github.com/GusSand/Anubis/blob/dced3375debfbe06362d2da03f71ea80b29fb81b/api/anubis/views/public/repos.py#L49</t>
  </si>
  <si>
    <t>https://github.com/GusSand/Anubis/blob/dced3375debfbe06362d2da03f71ea80b29fb81b/api/anubis/views/public/repos.py#L52</t>
  </si>
  <si>
    <t>https://github.com/GusSand/Anubis/blob/dced3375debfbe06362d2da03f71ea80b29fb81b/api/anubis/views/public/repos.py#L72</t>
  </si>
  <si>
    <t>https://github.com/GusSand/Anubis/blob/dced3375debfbe06362d2da03f71ea80b29fb81b/api/anubis/views/public/repos.py#L83</t>
  </si>
  <si>
    <t>https://github.com/GusSand/Anubis/blob/dced3375debfbe06362d2da03f71ea80b29fb81b/api/anubis/views/public/repos.py#L96</t>
  </si>
  <si>
    <t>https://github.com/GusSand/Anubis/blob/dced3375debfbe06362d2da03f71ea80b29fb81b/api/anubis/views/public/repos.py#L99</t>
  </si>
  <si>
    <t>https://github.com/GusSand/Anubis/blob/dced3375debfbe06362d2da03f71ea80b29fb81b/api/anubis/views/public/repos.py#L108</t>
  </si>
  <si>
    <t>https://github.com/GusSand/Anubis/blob/dced3375debfbe06362d2da03f71ea80b29fb81b/api/anubis/views/public/repos.py#L118</t>
  </si>
  <si>
    <t>https://github.com/GusSand/Anubis/blob/dced3375debfbe06362d2da03f71ea80b29fb81b/api/anubis/views/public/repos.py#L126</t>
  </si>
  <si>
    <t>https://github.com/GusSand/Anubis/blob/dced3375debfbe06362d2da03f71ea80b29fb81b/api/anubis/views/public/repos.py#L139</t>
  </si>
  <si>
    <t>https://github.com/GusSand/Anubis/blob/dced3375debfbe06362d2da03f71ea80b29fb81b/api/anubis/views/public/repos.py#L142</t>
  </si>
  <si>
    <t>https://github.com/GusSand/Anubis/blob/dced3375debfbe06362d2da03f71ea80b29fb81b/api/anubis/views/public/repos.py#L149</t>
  </si>
  <si>
    <t>https://github.com/GusSand/Anubis/blob/dced3375debfbe06362d2da03f71ea80b29fb81b/api/anubis/views/public/repos.py#L155</t>
  </si>
  <si>
    <t>https://github.com/GusSand/Anubis/blob/dced3375debfbe06362d2da03f71ea80b29fb81b/api/anubis/views/public/repos.py#L158</t>
  </si>
  <si>
    <t>https://github.com/GusSand/Anubis/blob/dced3375debfbe06362d2da03f71ea80b29fb81b/api/anubis/views/public/repos.py#L161</t>
  </si>
  <si>
    <t>https://github.com/GusSand/Anubis/blob/dced3375debfbe06362d2da03f71ea80b29fb81b/api/anubis/views/public/repos.py#L164</t>
  </si>
  <si>
    <t>https://github.com/GusSand/Anubis/blob/dced3375debfbe06362d2da03f71ea80b29fb81b/api/anubis/views/public/repos.py#L167</t>
  </si>
  <si>
    <t>https://github.com/GusSand/Anubis/blob/dced3375debfbe06362d2da03f71ea80b29fb81b/api/anubis/views/public/repos.py#L170</t>
  </si>
  <si>
    <t>Anubis/api/anubis/views/public/ide.py</t>
  </si>
  <si>
    <t>https://github.com/GusSand/Anubis/blob/dced3375debfbe06362d2da03f71ea80b29fb81b/api/anubis/views/public/ide.py#L29</t>
  </si>
  <si>
    <t>https://github.com/GusSand/Anubis/blob/dced3375debfbe06362d2da03f71ea80b29fb81b/api/anubis/views/public/ide.py#L36</t>
  </si>
  <si>
    <t>https://github.com/GusSand/Anubis/blob/dced3375debfbe06362d2da03f71ea80b29fb81b/api/anubis/views/public/ide.py#L39</t>
  </si>
  <si>
    <t>https://github.com/GusSand/Anubis/blob/dced3375debfbe06362d2da03f71ea80b29fb81b/api/anubis/views/public/ide.py#L50</t>
  </si>
  <si>
    <t>https://github.com/GusSand/Anubis/blob/dced3375debfbe06362d2da03f71ea80b29fb81b/api/anubis/views/public/ide.py#L55</t>
  </si>
  <si>
    <t>https://github.com/GusSand/Anubis/blob/dced3375debfbe06362d2da03f71ea80b29fb81b/api/anubis/views/public/ide.py#L60</t>
  </si>
  <si>
    <t>https://github.com/GusSand/Anubis/blob/dced3375debfbe06362d2da03f71ea80b29fb81b/api/anubis/views/public/ide.py#L64</t>
  </si>
  <si>
    <t>https://github.com/GusSand/Anubis/blob/dced3375debfbe06362d2da03f71ea80b29fb81b/api/anubis/views/public/ide.py#L68</t>
  </si>
  <si>
    <t>https://github.com/GusSand/Anubis/blob/dced3375debfbe06362d2da03f71ea80b29fb81b/api/anubis/views/public/ide.py#L74</t>
  </si>
  <si>
    <t>https://github.com/GusSand/Anubis/blob/dced3375debfbe06362d2da03f71ea80b29fb81b/api/anubis/views/public/ide.py#L79</t>
  </si>
  <si>
    <t>https://github.com/GusSand/Anubis/blob/dced3375debfbe06362d2da03f71ea80b29fb81b/api/anubis/views/public/ide.py#L83</t>
  </si>
  <si>
    <t>https://github.com/GusSand/Anubis/blob/dced3375debfbe06362d2da03f71ea80b29fb81b/api/anubis/views/public/ide.py#L89</t>
  </si>
  <si>
    <t>https://github.com/GusSand/Anubis/blob/dced3375debfbe06362d2da03f71ea80b29fb81b/api/anubis/views/public/ide.py#L95</t>
  </si>
  <si>
    <t>https://github.com/GusSand/Anubis/blob/dced3375debfbe06362d2da03f71ea80b29fb81b/api/anubis/views/public/ide.py#L101</t>
  </si>
  <si>
    <t>https://github.com/GusSand/Anubis/blob/dced3375debfbe06362d2da03f71ea80b29fb81b/api/anubis/views/public/ide.py#L104</t>
  </si>
  <si>
    <t>https://github.com/GusSand/Anubis/blob/dced3375debfbe06362d2da03f71ea80b29fb81b/api/anubis/views/public/ide.py#L107</t>
  </si>
  <si>
    <t>https://github.com/GusSand/Anubis/blob/dced3375debfbe06362d2da03f71ea80b29fb81b/api/anubis/views/public/ide.py#L114</t>
  </si>
  <si>
    <t>https://github.com/GusSand/Anubis/blob/dced3375debfbe06362d2da03f71ea80b29fb81b/api/anubis/views/public/ide.py#L122</t>
  </si>
  <si>
    <t>https://github.com/GusSand/Anubis/blob/dced3375debfbe06362d2da03f71ea80b29fb81b/api/anubis/views/public/ide.py#L126</t>
  </si>
  <si>
    <t>https://github.com/GusSand/Anubis/blob/dced3375debfbe06362d2da03f71ea80b29fb81b/api/anubis/views/public/ide.py#L153</t>
  </si>
  <si>
    <t>https://github.com/GusSand/Anubis/blob/dced3375debfbe06362d2da03f71ea80b29fb81b/api/anubis/views/public/ide.py#L159</t>
  </si>
  <si>
    <t>https://github.com/GusSand/Anubis/blob/dced3375debfbe06362d2da03f71ea80b29fb81b/api/anubis/views/public/ide.py#L162</t>
  </si>
  <si>
    <t>https://github.com/GusSand/Anubis/blob/dced3375debfbe06362d2da03f71ea80b29fb81b/api/anubis/views/public/ide.py#L165</t>
  </si>
  <si>
    <t>https://github.com/GusSand/Anubis/blob/dced3375debfbe06362d2da03f71ea80b29fb81b/api/anubis/views/public/ide.py#L177</t>
  </si>
  <si>
    <t>https://github.com/GusSand/Anubis/blob/dced3375debfbe06362d2da03f71ea80b29fb81b/api/anubis/views/public/ide.py#L183</t>
  </si>
  <si>
    <t>https://github.com/GusSand/Anubis/blob/dced3375debfbe06362d2da03f71ea80b29fb81b/api/anubis/views/public/ide.py#L190</t>
  </si>
  <si>
    <t>https://github.com/GusSand/Anubis/blob/dced3375debfbe06362d2da03f71ea80b29fb81b/api/anubis/views/public/ide.py#L194</t>
  </si>
  <si>
    <t>https://github.com/GusSand/Anubis/blob/dced3375debfbe06362d2da03f71ea80b29fb81b/api/anubis/views/public/ide.py#L206</t>
  </si>
  <si>
    <t>https://github.com/GusSand/Anubis/blob/dced3375debfbe06362d2da03f71ea80b29fb81b/api/anubis/views/public/ide.py#L215</t>
  </si>
  <si>
    <t>https://github.com/GusSand/Anubis/blob/dced3375debfbe06362d2da03f71ea80b29fb81b/api/anubis/views/public/ide.py#L221</t>
  </si>
  <si>
    <t>https://github.com/GusSand/Anubis/blob/dced3375debfbe06362d2da03f71ea80b29fb81b/api/anubis/views/public/ide.py#L224</t>
  </si>
  <si>
    <t>https://github.com/GusSand/Anubis/blob/dced3375debfbe06362d2da03f71ea80b29fb81b/api/anubis/views/public/ide.py#L229</t>
  </si>
  <si>
    <t>https://github.com/GusSand/Anubis/blob/dced3375debfbe06362d2da03f71ea80b29fb81b/api/anubis/views/public/ide.py#L232</t>
  </si>
  <si>
    <t>https://github.com/GusSand/Anubis/blob/dced3375debfbe06362d2da03f71ea80b29fb81b/api/anubis/views/public/ide.py#L235</t>
  </si>
  <si>
    <t>https://github.com/GusSand/Anubis/blob/dced3375debfbe06362d2da03f71ea80b29fb81b/api/anubis/views/public/ide.py#L238</t>
  </si>
  <si>
    <t>https://github.com/GusSand/Anubis/blob/dced3375debfbe06362d2da03f71ea80b29fb81b/api/anubis/views/public/ide.py#L251</t>
  </si>
  <si>
    <t>https://github.com/GusSand/Anubis/blob/dced3375debfbe06362d2da03f71ea80b29fb81b/api/anubis/views/public/ide.py#L258</t>
  </si>
  <si>
    <t>https://github.com/GusSand/Anubis/blob/dced3375debfbe06362d2da03f71ea80b29fb81b/api/anubis/views/public/ide.py#L261</t>
  </si>
  <si>
    <t>https://github.com/GusSand/Anubis/blob/dced3375debfbe06362d2da03f71ea80b29fb81b/api/anubis/views/public/ide.py#L264</t>
  </si>
  <si>
    <t>https://github.com/GusSand/Anubis/blob/dced3375debfbe06362d2da03f71ea80b29fb81b/api/anubis/views/public/ide.py#L268</t>
  </si>
  <si>
    <t>https://github.com/GusSand/Anubis/blob/dced3375debfbe06362d2da03f71ea80b29fb81b/api/anubis/views/public/ide.py#L272</t>
  </si>
  <si>
    <t>https://github.com/GusSand/Anubis/blob/dced3375debfbe06362d2da03f71ea80b29fb81b/api/anubis/views/public/ide.py#L276</t>
  </si>
  <si>
    <t>https://github.com/GusSand/Anubis/blob/dced3375debfbe06362d2da03f71ea80b29fb81b/api/anubis/views/public/ide.py#L291</t>
  </si>
  <si>
    <t>https://github.com/GusSand/Anubis/blob/dced3375debfbe06362d2da03f71ea80b29fb81b/api/anubis/views/public/ide.py#L298</t>
  </si>
  <si>
    <t>https://github.com/GusSand/Anubis/blob/dced3375debfbe06362d2da03f71ea80b29fb81b/api/anubis/views/public/ide.py#L304</t>
  </si>
  <si>
    <t>https://github.com/GusSand/Anubis/blob/dced3375debfbe06362d2da03f71ea80b29fb81b/api/anubis/views/public/ide.py#L307</t>
  </si>
  <si>
    <t>Anubis/api/anubis/views/public/static.py</t>
  </si>
  <si>
    <t>https://github.com/GusSand/Anubis/blob/dced3375debfbe06362d2da03f71ea80b29fb81b/api/anubis/views/public/static.py#L14</t>
  </si>
  <si>
    <t>https://github.com/GusSand/Anubis/blob/dced3375debfbe06362d2da03f71ea80b29fb81b/api/anubis/views/public/static.py#L24</t>
  </si>
  <si>
    <t>https://github.com/GusSand/Anubis/blob/dced3375debfbe06362d2da03f71ea80b29fb81b/api/anubis/views/public/static.py#L28</t>
  </si>
  <si>
    <t>https://github.com/GusSand/Anubis/blob/dced3375debfbe06362d2da03f71ea80b29fb81b/api/anubis/views/public/static.py#L32</t>
  </si>
  <si>
    <t>https://github.com/GusSand/Anubis/blob/dced3375debfbe06362d2da03f71ea80b29fb81b/api/anubis/views/public/static.py#L35</t>
  </si>
  <si>
    <t>https://github.com/GusSand/Anubis/blob/dced3375debfbe06362d2da03f71ea80b29fb81b/api/anubis/views/public/static.py#L39</t>
  </si>
  <si>
    <t>Anubis/api/anubis/views/public/courses.py</t>
  </si>
  <si>
    <t>https://github.com/GusSand/Anubis/blob/dced3375debfbe06362d2da03f71ea80b29fb81b/api/anubis/views/public/courses.py#L23</t>
  </si>
  <si>
    <t>https://github.com/GusSand/Anubis/blob/dced3375debfbe06362d2da03f71ea80b29fb81b/api/anubis/views/public/courses.py#L30</t>
  </si>
  <si>
    <t>https://github.com/GusSand/Anubis/blob/dced3375debfbe06362d2da03f71ea80b29fb81b/api/anubis/views/public/courses.py#L34</t>
  </si>
  <si>
    <t>https://github.com/GusSand/Anubis/blob/dced3375debfbe06362d2da03f71ea80b29fb81b/api/anubis/views/public/courses.py#L44</t>
  </si>
  <si>
    <t>https://github.com/GusSand/Anubis/blob/dced3375debfbe06362d2da03f71ea80b29fb81b/api/anubis/views/public/courses.py#L62</t>
  </si>
  <si>
    <t>https://github.com/GusSand/Anubis/blob/dced3375debfbe06362d2da03f71ea80b29fb81b/api/anubis/views/public/courses.py#L68</t>
  </si>
  <si>
    <t>https://github.com/GusSand/Anubis/blob/dced3375debfbe06362d2da03f71ea80b29fb81b/api/anubis/views/public/courses.py#L72</t>
  </si>
  <si>
    <t>https://github.com/GusSand/Anubis/blob/dced3375debfbe06362d2da03f71ea80b29fb81b/api/anubis/views/public/courses.py#L75</t>
  </si>
  <si>
    <t>https://github.com/GusSand/Anubis/blob/dced3375debfbe06362d2da03f71ea80b29fb81b/api/anubis/views/public/courses.py#L78</t>
  </si>
  <si>
    <t>https://github.com/GusSand/Anubis/blob/dced3375debfbe06362d2da03f71ea80b29fb81b/api/anubis/views/public/courses.py#L84</t>
  </si>
  <si>
    <t>https://github.com/GusSand/Anubis/blob/dced3375debfbe06362d2da03f71ea80b29fb81b/api/anubis/views/public/courses.py#L93</t>
  </si>
  <si>
    <t>https://github.com/GusSand/Anubis/blob/dced3375debfbe06362d2da03f71ea80b29fb81b/api/anubis/views/public/courses.py#L99</t>
  </si>
  <si>
    <t>https://github.com/GusSand/Anubis/blob/dced3375debfbe06362d2da03f71ea80b29fb81b/api/anubis/views/public/courses.py#L103</t>
  </si>
  <si>
    <t>https://github.com/GusSand/Anubis/blob/dced3375debfbe06362d2da03f71ea80b29fb81b/api/anubis/views/public/courses.py#L109</t>
  </si>
  <si>
    <t>https://github.com/GusSand/Anubis/blob/dced3375debfbe06362d2da03f71ea80b29fb81b/api/anubis/views/public/courses.py#L118</t>
  </si>
  <si>
    <t>https://github.com/GusSand/Anubis/blob/dced3375debfbe06362d2da03f71ea80b29fb81b/api/anubis/views/public/courses.py#L128</t>
  </si>
  <si>
    <t>https://github.com/GusSand/Anubis/blob/dced3375debfbe06362d2da03f71ea80b29fb81b/api/anubis/views/public/courses.py#L132</t>
  </si>
  <si>
    <t>Anubis/api/anubis/views/public/visuals.py</t>
  </si>
  <si>
    <t>https://github.com/GusSand/Anubis/blob/dced3375debfbe06362d2da03f71ea80b29fb81b/api/anubis/views/public/visuals.py#L12</t>
  </si>
  <si>
    <t>https://github.com/GusSand/Anubis/blob/dced3375debfbe06362d2da03f71ea80b29fb81b/api/anubis/views/public/visuals.py#L21</t>
  </si>
  <si>
    <t>https://github.com/GusSand/Anubis/blob/dced3375debfbe06362d2da03f71ea80b29fb81b/api/anubis/views/public/visuals.py#L29</t>
  </si>
  <si>
    <t>https://github.com/GusSand/Anubis/blob/dced3375debfbe06362d2da03f71ea80b29fb81b/api/anubis/views/public/visuals.py#L32</t>
  </si>
  <si>
    <t>https://github.com/GusSand/Anubis/blob/dced3375debfbe06362d2da03f71ea80b29fb81b/api/anubis/views/public/visuals.py#L35</t>
  </si>
  <si>
    <t>https://github.com/GusSand/Anubis/blob/dced3375debfbe06362d2da03f71ea80b29fb81b/api/anubis/views/public/visuals.py#L38</t>
  </si>
  <si>
    <t>https://github.com/GusSand/Anubis/blob/dced3375debfbe06362d2da03f71ea80b29fb81b/api/anubis/views/public/visuals.py#L47</t>
  </si>
  <si>
    <t>https://github.com/GusSand/Anubis/blob/dced3375debfbe06362d2da03f71ea80b29fb81b/api/anubis/views/public/visuals.py#L56</t>
  </si>
  <si>
    <t>https://github.com/GusSand/Anubis/blob/dced3375debfbe06362d2da03f71ea80b29fb81b/api/anubis/views/public/visuals.py#L65</t>
  </si>
  <si>
    <t>https://github.com/GusSand/Anubis/blob/dced3375debfbe06362d2da03f71ea80b29fb81b/api/anubis/views/public/visuals.py#L74</t>
  </si>
  <si>
    <t>https://github.com/GusSand/Anubis/blob/dced3375debfbe06362d2da03f71ea80b29fb81b/api/anubis/views/public/visuals.py#L83</t>
  </si>
  <si>
    <t>https://github.com/GusSand/Anubis/blob/dced3375debfbe06362d2da03f71ea80b29fb81b/api/anubis/views/public/visuals.py#L92</t>
  </si>
  <si>
    <t>Anubis/api/anubis/views/public/submissions.py</t>
  </si>
  <si>
    <t>https://github.com/GusSand/Anubis/blob/dced3375debfbe06362d2da03f71ea80b29fb81b/api/anubis/views/public/submissions.py#L17</t>
  </si>
  <si>
    <t>https://github.com/GusSand/Anubis/blob/dced3375debfbe06362d2da03f71ea80b29fb81b/api/anubis/views/public/submissions.py#L30</t>
  </si>
  <si>
    <t>https://github.com/GusSand/Anubis/blob/dced3375debfbe06362d2da03f71ea80b29fb81b/api/anubis/views/public/submissions.py#L35</t>
  </si>
  <si>
    <t>https://github.com/GusSand/Anubis/blob/dced3375debfbe06362d2da03f71ea80b29fb81b/api/anubis/views/public/submissions.py#L39</t>
  </si>
  <si>
    <t>https://github.com/GusSand/Anubis/blob/dced3375debfbe06362d2da03f71ea80b29fb81b/api/anubis/views/public/submissions.py#L44</t>
  </si>
  <si>
    <t>https://github.com/GusSand/Anubis/blob/dced3375debfbe06362d2da03f71ea80b29fb81b/api/anubis/views/public/submissions.py#L53</t>
  </si>
  <si>
    <t>https://github.com/GusSand/Anubis/blob/dced3375debfbe06362d2da03f71ea80b29fb81b/api/anubis/views/public/submissions.py#L62</t>
  </si>
  <si>
    <t>https://github.com/GusSand/Anubis/blob/dced3375debfbe06362d2da03f71ea80b29fb81b/api/anubis/views/public/submissions.py#L65</t>
  </si>
  <si>
    <t>https://github.com/GusSand/Anubis/blob/dced3375debfbe06362d2da03f71ea80b29fb81b/api/anubis/views/public/submissions.py#L73</t>
  </si>
  <si>
    <t>https://github.com/GusSand/Anubis/blob/dced3375debfbe06362d2da03f71ea80b29fb81b/api/anubis/views/public/submissions.py#L80</t>
  </si>
  <si>
    <t>https://github.com/GusSand/Anubis/blob/dced3375debfbe06362d2da03f71ea80b29fb81b/api/anubis/views/public/submissions.py#L83</t>
  </si>
  <si>
    <t>https://github.com/GusSand/Anubis/blob/dced3375debfbe06362d2da03f71ea80b29fb81b/api/anubis/views/public/submissions.py#L86</t>
  </si>
  <si>
    <t>https://github.com/GusSand/Anubis/blob/dced3375debfbe06362d2da03f71ea80b29fb81b/api/anubis/views/public/submissions.py#L89</t>
  </si>
  <si>
    <t>https://github.com/GusSand/Anubis/blob/dced3375debfbe06362d2da03f71ea80b29fb81b/api/anubis/views/public/submissions.py#L92</t>
  </si>
  <si>
    <t>https://github.com/GusSand/Anubis/blob/dced3375debfbe06362d2da03f71ea80b29fb81b/api/anubis/views/public/submissions.py#L94</t>
  </si>
  <si>
    <t>https://github.com/GusSand/Anubis/blob/dced3375debfbe06362d2da03f71ea80b29fb81b/api/anubis/views/public/submissions.py#L101</t>
  </si>
  <si>
    <t>https://github.com/GusSand/Anubis/blob/dced3375debfbe06362d2da03f71ea80b29fb81b/api/anubis/views/public/submissions.py#L105</t>
  </si>
  <si>
    <t>https://github.com/GusSand/Anubis/blob/dced3375debfbe06362d2da03f71ea80b29fb81b/api/anubis/views/public/submissions.py#L113</t>
  </si>
  <si>
    <t>https://github.com/GusSand/Anubis/blob/dced3375debfbe06362d2da03f71ea80b29fb81b/api/anubis/views/public/submissions.py#L119</t>
  </si>
  <si>
    <t>https://github.com/GusSand/Anubis/blob/dced3375debfbe06362d2da03f71ea80b29fb81b/api/anubis/views/public/submissions.py#L122</t>
  </si>
  <si>
    <t>https://github.com/GusSand/Anubis/blob/dced3375debfbe06362d2da03f71ea80b29fb81b/api/anubis/views/public/submissions.py#L127</t>
  </si>
  <si>
    <t>https://github.com/GusSand/Anubis/blob/dced3375debfbe06362d2da03f71ea80b29fb81b/api/anubis/views/public/submissions.py#L130</t>
  </si>
  <si>
    <t>https://github.com/GusSand/Anubis/blob/dced3375debfbe06362d2da03f71ea80b29fb81b/api/anubis/views/public/submissions.py#L133</t>
  </si>
  <si>
    <t>https://github.com/GusSand/Anubis/blob/dced3375debfbe06362d2da03f71ea80b29fb81b/api/anubis/views/public/submissions.py#L135</t>
  </si>
  <si>
    <t>https://github.com/GusSand/Anubis/blob/dced3375debfbe06362d2da03f71ea80b29fb81b/api/anubis/views/public/submissions.py#L138</t>
  </si>
  <si>
    <t>https://github.com/GusSand/Anubis/blob/dced3375debfbe06362d2da03f71ea80b29fb81b/api/anubis/views/public/submissions.py#L144</t>
  </si>
  <si>
    <t>https://github.com/GusSand/Anubis/blob/dced3375debfbe06362d2da03f71ea80b29fb81b/api/anubis/views/public/submissions.py#L147</t>
  </si>
  <si>
    <t>Anubis/api/anubis/views/public/playgrounds.py</t>
  </si>
  <si>
    <t>playgrounds.py</t>
  </si>
  <si>
    <t>https://github.com/GusSand/Anubis/blob/dced3375debfbe06362d2da03f71ea80b29fb81b/api/anubis/views/public/playgrounds.py#L18</t>
  </si>
  <si>
    <t>https://github.com/GusSand/Anubis/blob/dced3375debfbe06362d2da03f71ea80b29fb81b/api/anubis/views/public/playgrounds.py#L25</t>
  </si>
  <si>
    <t>https://github.com/GusSand/Anubis/blob/dced3375debfbe06362d2da03f71ea80b29fb81b/api/anubis/views/public/playgrounds.py#L28</t>
  </si>
  <si>
    <t>https://github.com/GusSand/Anubis/blob/dced3375debfbe06362d2da03f71ea80b29fb81b/api/anubis/views/public/playgrounds.py#L39</t>
  </si>
  <si>
    <t>https://github.com/GusSand/Anubis/blob/dced3375debfbe06362d2da03f71ea80b29fb81b/api/anubis/views/public/playgrounds.py#L46</t>
  </si>
  <si>
    <t>https://github.com/GusSand/Anubis/blob/dced3375debfbe06362d2da03f71ea80b29fb81b/api/anubis/views/public/playgrounds.py#L54</t>
  </si>
  <si>
    <t>https://github.com/GusSand/Anubis/blob/dced3375debfbe06362d2da03f71ea80b29fb81b/api/anubis/views/public/playgrounds.py#L59</t>
  </si>
  <si>
    <t>https://github.com/GusSand/Anubis/blob/dced3375debfbe06362d2da03f71ea80b29fb81b/api/anubis/views/public/playgrounds.py#L62</t>
  </si>
  <si>
    <t>https://github.com/GusSand/Anubis/blob/dced3375debfbe06362d2da03f71ea80b29fb81b/api/anubis/views/public/playgrounds.py#L67</t>
  </si>
  <si>
    <t>https://github.com/GusSand/Anubis/blob/dced3375debfbe06362d2da03f71ea80b29fb81b/api/anubis/views/public/playgrounds.py#L77</t>
  </si>
  <si>
    <t>https://github.com/GusSand/Anubis/blob/dced3375debfbe06362d2da03f71ea80b29fb81b/api/anubis/views/public/playgrounds.py#L96</t>
  </si>
  <si>
    <t>https://github.com/GusSand/Anubis/blob/dced3375debfbe06362d2da03f71ea80b29fb81b/api/anubis/views/public/playgrounds.py#L110</t>
  </si>
  <si>
    <t>https://github.com/GusSand/Anubis/blob/dced3375debfbe06362d2da03f71ea80b29fb81b/api/anubis/views/public/playgrounds.py#L116</t>
  </si>
  <si>
    <t>https://github.com/GusSand/Anubis/blob/dced3375debfbe06362d2da03f71ea80b29fb81b/api/anubis/views/public/playgrounds.py#L123</t>
  </si>
  <si>
    <t>https://github.com/GusSand/Anubis/blob/dced3375debfbe06362d2da03f71ea80b29fb81b/api/anubis/views/public/playgrounds.py#L127</t>
  </si>
  <si>
    <t>https://github.com/GusSand/Anubis/blob/dced3375debfbe06362d2da03f71ea80b29fb81b/api/anubis/views/public/playgrounds.py#L140</t>
  </si>
  <si>
    <t>Anubis/api/anubis/views/super/config.py</t>
  </si>
  <si>
    <t>https://github.com/GusSand/Anubis/blob/dced3375debfbe06362d2da03f71ea80b29fb81b/api/anubis/views/super/config.py#L13</t>
  </si>
  <si>
    <t>https://github.com/GusSand/Anubis/blob/dced3375debfbe06362d2da03f71ea80b29fb81b/api/anubis/views/super/config.py#L19</t>
  </si>
  <si>
    <t>https://github.com/GusSand/Anubis/blob/dced3375debfbe06362d2da03f71ea80b29fb81b/api/anubis/views/super/config.py#L22</t>
  </si>
  <si>
    <t>https://github.com/GusSand/Anubis/blob/dced3375debfbe06362d2da03f71ea80b29fb81b/api/anubis/views/super/config.py#L30</t>
  </si>
  <si>
    <t>https://github.com/GusSand/Anubis/blob/dced3375debfbe06362d2da03f71ea80b29fb81b/api/anubis/views/super/config.py#L45</t>
  </si>
  <si>
    <t>https://github.com/GusSand/Anubis/blob/dced3375debfbe06362d2da03f71ea80b29fb81b/api/anubis/views/super/config.py#L48</t>
  </si>
  <si>
    <t>https://github.com/GusSand/Anubis/blob/dced3375debfbe06362d2da03f71ea80b29fb81b/api/anubis/views/super/config.py#L52</t>
  </si>
  <si>
    <t>https://github.com/GusSand/Anubis/blob/dced3375debfbe06362d2da03f71ea80b29fb81b/api/anubis/views/super/config.py#L56</t>
  </si>
  <si>
    <t>https://github.com/GusSand/Anubis/blob/dced3375debfbe06362d2da03f71ea80b29fb81b/api/anubis/views/super/config.py#L59</t>
  </si>
  <si>
    <t>https://github.com/GusSand/Anubis/blob/dced3375debfbe06362d2da03f71ea80b29fb81b/api/anubis/views/super/config.py#L63</t>
  </si>
  <si>
    <t>https://github.com/GusSand/Anubis/blob/dced3375debfbe06362d2da03f71ea80b29fb81b/api/anubis/views/super/config.py#L67</t>
  </si>
  <si>
    <t>Anubis/api/anubis/views/super/students.py</t>
  </si>
  <si>
    <t>https://github.com/GusSand/Anubis/blob/dced3375debfbe06362d2da03f71ea80b29fb81b/api/anubis/views/super/students.py#L16</t>
  </si>
  <si>
    <t>https://github.com/GusSand/Anubis/blob/dced3375debfbe06362d2da03f71ea80b29fb81b/api/anubis/views/super/students.py#L22</t>
  </si>
  <si>
    <t>https://github.com/GusSand/Anubis/blob/dced3375debfbe06362d2da03f71ea80b29fb81b/api/anubis/views/super/students.py#L25</t>
  </si>
  <si>
    <t>https://github.com/GusSand/Anubis/blob/dced3375debfbe06362d2da03f71ea80b29fb81b/api/anubis/views/super/students.py#L33</t>
  </si>
  <si>
    <t>https://github.com/GusSand/Anubis/blob/dced3375debfbe06362d2da03f71ea80b29fb81b/api/anubis/views/super/students.py#L41</t>
  </si>
  <si>
    <t>https://github.com/GusSand/Anubis/blob/dced3375debfbe06362d2da03f71ea80b29fb81b/api/anubis/views/super/students.py#L44</t>
  </si>
  <si>
    <t>https://github.com/GusSand/Anubis/blob/dced3375debfbe06362d2da03f71ea80b29fb81b/api/anubis/views/super/students.py#L47</t>
  </si>
  <si>
    <t>https://github.com/GusSand/Anubis/blob/dced3375debfbe06362d2da03f71ea80b29fb81b/api/anubis/views/super/students.py#L50</t>
  </si>
  <si>
    <t>https://github.com/GusSand/Anubis/blob/dced3375debfbe06362d2da03f71ea80b29fb81b/api/anubis/views/super/students.py#L53</t>
  </si>
  <si>
    <t>https://github.com/GusSand/Anubis/blob/dced3375debfbe06362d2da03f71ea80b29fb81b/api/anubis/views/super/students.py#L57</t>
  </si>
  <si>
    <t>https://github.com/GusSand/Anubis/blob/dced3375debfbe06362d2da03f71ea80b29fb81b/api/anubis/views/super/students.py#L66</t>
  </si>
  <si>
    <t>https://github.com/GusSand/Anubis/blob/dced3375debfbe06362d2da03f71ea80b29fb81b/api/anubis/views/super/students.py#L74</t>
  </si>
  <si>
    <t>https://github.com/GusSand/Anubis/blob/dced3375debfbe06362d2da03f71ea80b29fb81b/api/anubis/views/super/students.py#L77</t>
  </si>
  <si>
    <t>https://github.com/GusSand/Anubis/blob/dced3375debfbe06362d2da03f71ea80b29fb81b/api/anubis/views/super/students.py#L80</t>
  </si>
  <si>
    <t>https://github.com/GusSand/Anubis/blob/dced3375debfbe06362d2da03f71ea80b29fb81b/api/anubis/views/super/students.py#L83</t>
  </si>
  <si>
    <t>https://github.com/GusSand/Anubis/blob/dced3375debfbe06362d2da03f71ea80b29fb81b/api/anubis/views/super/students.py#L86</t>
  </si>
  <si>
    <t>https://github.com/GusSand/Anubis/blob/dced3375debfbe06362d2da03f71ea80b29fb81b/api/anubis/views/super/students.py#L90</t>
  </si>
  <si>
    <t>https://github.com/GusSand/Anubis/blob/dced3375debfbe06362d2da03f71ea80b29fb81b/api/anubis/views/super/students.py#L98</t>
  </si>
  <si>
    <t>https://github.com/GusSand/Anubis/blob/dced3375debfbe06362d2da03f71ea80b29fb81b/api/anubis/views/super/students.py#L106</t>
  </si>
  <si>
    <t>https://github.com/GusSand/Anubis/blob/dced3375debfbe06362d2da03f71ea80b29fb81b/api/anubis/views/super/students.py#L110</t>
  </si>
  <si>
    <t>Anubis/api/anubis/views/super/playgrounds.py</t>
  </si>
  <si>
    <t>https://github.com/GusSand/Anubis/blob/dced3375debfbe06362d2da03f71ea80b29fb81b/api/anubis/views/super/playgrounds.py#L18</t>
  </si>
  <si>
    <t>https://github.com/GusSand/Anubis/blob/dced3375debfbe06362d2da03f71ea80b29fb81b/api/anubis/views/super/playgrounds.py#L24</t>
  </si>
  <si>
    <t>https://github.com/GusSand/Anubis/blob/dced3375debfbe06362d2da03f71ea80b29fb81b/api/anubis/views/super/playgrounds.py#L30</t>
  </si>
  <si>
    <t>https://github.com/GusSand/Anubis/blob/dced3375debfbe06362d2da03f71ea80b29fb81b/api/anubis/views/super/playgrounds.py#L38</t>
  </si>
  <si>
    <t>https://github.com/GusSand/Anubis/blob/dced3375debfbe06362d2da03f71ea80b29fb81b/api/anubis/views/super/playgrounds.py#L44</t>
  </si>
  <si>
    <t>https://github.com/GusSand/Anubis/blob/dced3375debfbe06362d2da03f71ea80b29fb81b/api/anubis/views/super/playgrounds.py#L49</t>
  </si>
  <si>
    <t>https://github.com/GusSand/Anubis/blob/dced3375debfbe06362d2da03f71ea80b29fb81b/api/anubis/views/super/playgrounds.py#L52</t>
  </si>
  <si>
    <t>https://github.com/GusSand/Anubis/blob/dced3375debfbe06362d2da03f71ea80b29fb81b/api/anubis/views/super/playgrounds.py#L57</t>
  </si>
  <si>
    <t>https://github.com/GusSand/Anubis/blob/dced3375debfbe06362d2da03f71ea80b29fb81b/api/anubis/views/super/playgrounds.py#L60</t>
  </si>
  <si>
    <t>https://github.com/GusSand/Anubis/blob/dced3375debfbe06362d2da03f71ea80b29fb81b/api/anubis/views/super/playgrounds.py#L63</t>
  </si>
  <si>
    <t>https://github.com/GusSand/Anubis/blob/dced3375debfbe06362d2da03f71ea80b29fb81b/api/anubis/views/super/playgrounds.py#L71</t>
  </si>
  <si>
    <t>https://github.com/GusSand/Anubis/blob/dced3375debfbe06362d2da03f71ea80b29fb81b/api/anubis/views/super/playgrounds.py#L79</t>
  </si>
  <si>
    <t>https://github.com/GusSand/Anubis/blob/dced3375debfbe06362d2da03f71ea80b29fb81b/api/anubis/views/super/playgrounds.py#L82</t>
  </si>
  <si>
    <t>Anubis/api/tests/test_lectures_public.py</t>
  </si>
  <si>
    <t>test_lectures_public.py</t>
  </si>
  <si>
    <t>https://github.com/GusSand/Anubis/blob/dced3375debfbe06362d2da03f71ea80b29fb81b/api/tests/test_lectures_public.py#L6</t>
  </si>
  <si>
    <t>Anubis/api/tests/test_post_public.py</t>
  </si>
  <si>
    <t>test_post_public.py</t>
  </si>
  <si>
    <t>https://github.com/GusSand/Anubis/blob/dced3375debfbe06362d2da03f71ea80b29fb81b/api/tests/test_post_public.py#L8</t>
  </si>
  <si>
    <t>https://github.com/GusSand/Anubis/blob/dced3375debfbe06362d2da03f71ea80b29fb81b/api/tests/test_post_public.py#L20</t>
  </si>
  <si>
    <t>https://github.com/GusSand/Anubis/blob/dced3375debfbe06362d2da03f71ea80b29fb81b/api/tests/test_post_public.py#L31</t>
  </si>
  <si>
    <t>https://github.com/GusSand/Anubis/blob/dced3375debfbe06362d2da03f71ea80b29fb81b/api/tests/test_post_public.py#L43</t>
  </si>
  <si>
    <t>https://github.com/GusSand/Anubis/blob/dced3375debfbe06362d2da03f71ea80b29fb81b/api/tests/test_post_public.py#L49</t>
  </si>
  <si>
    <t>https://github.com/GusSand/Anubis/blob/dced3375debfbe06362d2da03f71ea80b29fb81b/api/tests/test_post_public.py#L60</t>
  </si>
  <si>
    <t>https://github.com/GusSand/Anubis/blob/dced3375debfbe06362d2da03f71ea80b29fb81b/api/tests/test_post_public.py#L72</t>
  </si>
  <si>
    <t>https://github.com/GusSand/Anubis/blob/dced3375debfbe06362d2da03f71ea80b29fb81b/api/tests/test_post_public.py#L84</t>
  </si>
  <si>
    <t>https://github.com/GusSand/Anubis/blob/dced3375debfbe06362d2da03f71ea80b29fb81b/api/tests/test_post_public.py#L96</t>
  </si>
  <si>
    <t>https://github.com/GusSand/Anubis/blob/dced3375debfbe06362d2da03f71ea80b29fb81b/api/tests/test_post_public.py#L108</t>
  </si>
  <si>
    <t>https://github.com/GusSand/Anubis/blob/dced3375debfbe06362d2da03f71ea80b29fb81b/api/tests/test_post_public.py#L114</t>
  </si>
  <si>
    <t>https://github.com/GusSand/Anubis/blob/dced3375debfbe06362d2da03f71ea80b29fb81b/api/tests/test_post_public.py#L119</t>
  </si>
  <si>
    <t>Anubis/api/tests/test_visuals_admin.py</t>
  </si>
  <si>
    <t>test_visuals_admin.py</t>
  </si>
  <si>
    <t>https://github.com/GusSand/Anubis/blob/dced3375debfbe06362d2da03f71ea80b29fb81b/api/tests/test_visuals_admin.py#L6</t>
  </si>
  <si>
    <t>https://github.com/GusSand/Anubis/blob/dced3375debfbe06362d2da03f71ea80b29fb81b/api/tests/test_visuals_admin.py#L9</t>
  </si>
  <si>
    <t>Anubis/api/tests/test_lectures_admin.py</t>
  </si>
  <si>
    <t>test_lectures_admin.py</t>
  </si>
  <si>
    <t>https://github.com/GusSand/Anubis/blob/dced3375debfbe06362d2da03f71ea80b29fb81b/api/tests/test_lectures_admin.py#L11</t>
  </si>
  <si>
    <t>Anubis/api/tests/utils.py</t>
  </si>
  <si>
    <t>utils.py</t>
  </si>
  <si>
    <t>https://github.com/GusSand/Anubis/blob/dced3375debfbe06362d2da03f71ea80b29fb81b/api/tests/utils.py#L45</t>
  </si>
  <si>
    <t>https://github.com/GusSand/Anubis/blob/dced3375debfbe06362d2da03f71ea80b29fb81b/api/tests/utils.py#L71</t>
  </si>
  <si>
    <t>https://github.com/GusSand/Anubis/blob/dced3375debfbe06362d2da03f71ea80b29fb81b/api/tests/utils.py#L110</t>
  </si>
  <si>
    <t>https://github.com/GusSand/Anubis/blob/dced3375debfbe06362d2da03f71ea80b29fb81b/api/tests/utils.py#L116</t>
  </si>
  <si>
    <t>https://github.com/GusSand/Anubis/blob/dced3375debfbe06362d2da03f71ea80b29fb81b/api/tests/utils.py#L148</t>
  </si>
  <si>
    <t>https://github.com/GusSand/Anubis/blob/dced3375debfbe06362d2da03f71ea80b29fb81b/api/tests/utils.py#L195</t>
  </si>
  <si>
    <t>https://github.com/GusSand/Anubis/blob/dced3375debfbe06362d2da03f71ea80b29fb81b/api/tests/utils.py#L200</t>
  </si>
  <si>
    <t>https://github.com/GusSand/Anubis/blob/dced3375debfbe06362d2da03f71ea80b29fb81b/api/tests/utils.py#L216</t>
  </si>
  <si>
    <t>https://github.com/GusSand/Anubis/blob/dced3375debfbe06362d2da03f71ea80b29fb81b/api/tests/utils.py#L219</t>
  </si>
  <si>
    <t>https://github.com/GusSand/Anubis/blob/dced3375debfbe06362d2da03f71ea80b29fb81b/api/tests/utils.py#L222</t>
  </si>
  <si>
    <t>https://github.com/GusSand/Anubis/blob/dced3375debfbe06362d2da03f71ea80b29fb81b/api/tests/utils.py#L228</t>
  </si>
  <si>
    <t>Anubis/api/tests/test_ide_k8s.py</t>
  </si>
  <si>
    <t>test_ide_k8s.py</t>
  </si>
  <si>
    <t>https://github.com/GusSand/Anubis/blob/dced3375debfbe06362d2da03f71ea80b29fb81b/api/tests/test_ide_k8s.py#L41</t>
  </si>
  <si>
    <t>https://github.com/GusSand/Anubis/blob/dced3375debfbe06362d2da03f71ea80b29fb81b/api/tests/test_ide_k8s.py#L46</t>
  </si>
  <si>
    <t>https://github.com/GusSand/Anubis/blob/dced3375debfbe06362d2da03f71ea80b29fb81b/api/tests/test_ide_k8s.py#L58</t>
  </si>
  <si>
    <t>https://github.com/GusSand/Anubis/blob/dced3375debfbe06362d2da03f71ea80b29fb81b/api/tests/test_ide_k8s.py#L64</t>
  </si>
  <si>
    <t>https://github.com/GusSand/Anubis/blob/dced3375debfbe06362d2da03f71ea80b29fb81b/api/tests/test_ide_k8s.py#L68</t>
  </si>
  <si>
    <t>https://github.com/GusSand/Anubis/blob/dced3375debfbe06362d2da03f71ea80b29fb81b/api/tests/test_ide_k8s.py#L84</t>
  </si>
  <si>
    <t>https://github.com/GusSand/Anubis/blob/dced3375debfbe06362d2da03f71ea80b29fb81b/api/tests/test_ide_k8s.py#L88</t>
  </si>
  <si>
    <t>https://github.com/GusSand/Anubis/blob/dced3375debfbe06362d2da03f71ea80b29fb81b/api/tests/test_ide_k8s.py#L91</t>
  </si>
  <si>
    <t>https://github.com/GusSand/Anubis/blob/dced3375debfbe06362d2da03f71ea80b29fb81b/api/tests/test_ide_k8s.py#L95</t>
  </si>
  <si>
    <t>https://github.com/GusSand/Anubis/blob/dced3375debfbe06362d2da03f71ea80b29fb81b/api/tests/test_ide_k8s.py#L99</t>
  </si>
  <si>
    <t>https://github.com/GusSand/Anubis/blob/dced3375debfbe06362d2da03f71ea80b29fb81b/api/tests/test_ide_k8s.py#L104</t>
  </si>
  <si>
    <t>https://github.com/GusSand/Anubis/blob/dced3375debfbe06362d2da03f71ea80b29fb81b/api/tests/test_ide_k8s.py#L108</t>
  </si>
  <si>
    <t>https://github.com/GusSand/Anubis/blob/dced3375debfbe06362d2da03f71ea80b29fb81b/api/tests/test_ide_k8s.py#L114</t>
  </si>
  <si>
    <t>https://github.com/GusSand/Anubis/blob/dced3375debfbe06362d2da03f71ea80b29fb81b/api/tests/test_ide_k8s.py#L117</t>
  </si>
  <si>
    <t>https://github.com/GusSand/Anubis/blob/dced3375debfbe06362d2da03f71ea80b29fb81b/api/tests/test_ide_k8s.py#L121</t>
  </si>
  <si>
    <t>https://github.com/GusSand/Anubis/blob/dced3375debfbe06362d2da03f71ea80b29fb81b/api/tests/test_ide_k8s.py#L124</t>
  </si>
  <si>
    <t>https://github.com/GusSand/Anubis/blob/dced3375debfbe06362d2da03f71ea80b29fb81b/api/tests/test_ide_k8s.py#L129</t>
  </si>
  <si>
    <t>https://github.com/GusSand/Anubis/blob/dced3375debfbe06362d2da03f71ea80b29fb81b/api/tests/test_ide_k8s.py#L180</t>
  </si>
  <si>
    <t>https://github.com/GusSand/Anubis/blob/dced3375debfbe06362d2da03f71ea80b29fb81b/api/tests/test_ide_k8s.py#L183</t>
  </si>
  <si>
    <t>https://github.com/GusSand/Anubis/blob/dced3375debfbe06362d2da03f71ea80b29fb81b/api/tests/test_ide_k8s.py#L195</t>
  </si>
  <si>
    <t>https://github.com/GusSand/Anubis/blob/dced3375debfbe06362d2da03f71ea80b29fb81b/api/tests/test_ide_k8s.py#L201</t>
  </si>
  <si>
    <t>https://github.com/GusSand/Anubis/blob/dced3375debfbe06362d2da03f71ea80b29fb81b/api/tests/test_ide_k8s.py#L205</t>
  </si>
  <si>
    <t>https://github.com/GusSand/Anubis/blob/dced3375debfbe06362d2da03f71ea80b29fb81b/api/tests/test_ide_k8s.py#L220</t>
  </si>
  <si>
    <t>https://github.com/GusSand/Anubis/blob/dced3375debfbe06362d2da03f71ea80b29fb81b/api/tests/test_ide_k8s.py#L224</t>
  </si>
  <si>
    <t>https://github.com/GusSand/Anubis/blob/dced3375debfbe06362d2da03f71ea80b29fb81b/api/tests/test_ide_k8s.py#L227</t>
  </si>
  <si>
    <t>https://github.com/GusSand/Anubis/blob/dced3375debfbe06362d2da03f71ea80b29fb81b/api/tests/test_ide_k8s.py#L234</t>
  </si>
  <si>
    <t>https://github.com/GusSand/Anubis/blob/dced3375debfbe06362d2da03f71ea80b29fb81b/api/tests/test_ide_k8s.py#L238</t>
  </si>
  <si>
    <t>https://github.com/GusSand/Anubis/blob/dced3375debfbe06362d2da03f71ea80b29fb81b/api/tests/test_ide_k8s.py#L243</t>
  </si>
  <si>
    <t>https://github.com/GusSand/Anubis/blob/dced3375debfbe06362d2da03f71ea80b29fb81b/api/tests/test_ide_k8s.py#L247</t>
  </si>
  <si>
    <t>https://github.com/GusSand/Anubis/blob/dced3375debfbe06362d2da03f71ea80b29fb81b/api/tests/test_ide_k8s.py#L252</t>
  </si>
  <si>
    <t>https://github.com/GusSand/Anubis/blob/dced3375debfbe06362d2da03f71ea80b29fb81b/api/tests/test_ide_k8s.py#L255</t>
  </si>
  <si>
    <t>https://github.com/GusSand/Anubis/blob/dced3375debfbe06362d2da03f71ea80b29fb81b/api/tests/test_ide_k8s.py#L259</t>
  </si>
  <si>
    <t>https://github.com/GusSand/Anubis/blob/dced3375debfbe06362d2da03f71ea80b29fb81b/api/tests/test_ide_k8s.py#L262</t>
  </si>
  <si>
    <t>https://github.com/GusSand/Anubis/blob/dced3375debfbe06362d2da03f71ea80b29fb81b/api/tests/test_ide_k8s.py#L267</t>
  </si>
  <si>
    <t>Anubis/api/tests/test_visuals_public.py</t>
  </si>
  <si>
    <t>test_visuals_public.py</t>
  </si>
  <si>
    <t>https://github.com/GusSand/Anubis/blob/dced3375debfbe06362d2da03f71ea80b29fb81b/api/tests/test_visuals_public.py#L5</t>
  </si>
  <si>
    <t>https://github.com/GusSand/Anubis/blob/dced3375debfbe06362d2da03f71ea80b29fb81b/api/tests/test_visuals_public.py#L8</t>
  </si>
  <si>
    <t>https://github.com/GusSand/Anubis/blob/dced3375debfbe06362d2da03f71ea80b29fb81b/api/tests/test_visuals_public.py#L11</t>
  </si>
  <si>
    <t>https://github.com/GusSand/Anubis/blob/dced3375debfbe06362d2da03f71ea80b29fb81b/api/tests/test_visuals_public.py#L14</t>
  </si>
  <si>
    <t>https://github.com/GusSand/Anubis/blob/dced3375debfbe06362d2da03f71ea80b29fb81b/api/tests/test_visuals_public.py#L21</t>
  </si>
  <si>
    <t>https://github.com/GusSand/Anubis/blob/dced3375debfbe06362d2da03f71ea80b29fb81b/api/tests/test_visuals_public.py#L29</t>
  </si>
  <si>
    <t>https://github.com/GusSand/Anubis/blob/dced3375debfbe06362d2da03f71ea80b29fb81b/api/tests/test_visuals_public.py#L36</t>
  </si>
  <si>
    <t>https://github.com/GusSand/Anubis/blob/dced3375debfbe06362d2da03f71ea80b29fb81b/api/tests/test_visuals_public.py#L45</t>
  </si>
  <si>
    <t>https://github.com/GusSand/Anubis/blob/dced3375debfbe06362d2da03f71ea80b29fb81b/api/tests/test_visuals_public.py#L52</t>
  </si>
  <si>
    <t>https://github.com/GusSand/Anubis/blob/dced3375debfbe06362d2da03f71ea80b29fb81b/api/tests/test_visuals_public.py#L61</t>
  </si>
  <si>
    <t>https://github.com/GusSand/Anubis/blob/dced3375debfbe06362d2da03f71ea80b29fb81b/api/tests/test_visuals_public.py#L68</t>
  </si>
  <si>
    <t>Anubis/api/tests/test_comment_public.py</t>
  </si>
  <si>
    <t>test_comment_public.py</t>
  </si>
  <si>
    <t>https://github.com/GusSand/Anubis/blob/dced3375debfbe06362d2da03f71ea80b29fb81b/api/tests/test_comment_public.py#L6</t>
  </si>
  <si>
    <t>https://github.com/GusSand/Anubis/blob/dced3375debfbe06362d2da03f71ea80b29fb81b/api/tests/test_comment_public.py#L25</t>
  </si>
  <si>
    <t>https://github.com/GusSand/Anubis/blob/dced3375debfbe06362d2da03f71ea80b29fb81b/api/tests/test_comment_public.py#L48</t>
  </si>
  <si>
    <t>https://github.com/GusSand/Anubis/blob/dced3375debfbe06362d2da03f71ea80b29fb81b/api/tests/test_comment_public.py#L60</t>
  </si>
  <si>
    <t>https://github.com/GusSand/Anubis/blob/dced3375debfbe06362d2da03f71ea80b29fb81b/api/tests/test_comment_public.py#L71</t>
  </si>
  <si>
    <t>https://github.com/GusSand/Anubis/blob/dced3375debfbe06362d2da03f71ea80b29fb81b/api/tests/test_comment_public.py#L83</t>
  </si>
  <si>
    <t>https://github.com/GusSand/Anubis/blob/dced3375debfbe06362d2da03f71ea80b29fb81b/api/tests/test_comment_public.py#L90</t>
  </si>
  <si>
    <t>https://github.com/GusSand/Anubis/blob/dced3375debfbe06362d2da03f71ea80b29fb81b/api/tests/test_comment_public.py#L102</t>
  </si>
  <si>
    <t>Anubis/api/tests/test_static_public.py</t>
  </si>
  <si>
    <t>test_static_public.py</t>
  </si>
  <si>
    <t>https://github.com/GusSand/Anubis/blob/dced3375debfbe06362d2da03f71ea80b29fb81b/api/tests/test_static_public.py#L6</t>
  </si>
  <si>
    <t>https://github.com/GusSand/Anubis/blob/dced3375debfbe06362d2da03f71ea80b29fb81b/api/tests/test_static_public.py#L13</t>
  </si>
  <si>
    <t>ctk</t>
  </si>
  <si>
    <t>ctk/services/backend/src/manage.py</t>
  </si>
  <si>
    <t>manage.py</t>
  </si>
  <si>
    <t>https://github.com/ctk-hq/ctk/blob/a0390526216e3fc46bb82180d87998d3a62635f9/services/backend/src/manage.py#L1</t>
  </si>
  <si>
    <t>https://github.com/ctk-hq/ctk/blob/a0390526216e3fc46bb82180d87998d3a62635f9/services/backend/src/manage.py#L6</t>
  </si>
  <si>
    <t>ctk/services/backend/src/organizations/tests.py</t>
  </si>
  <si>
    <t>tests.py</t>
  </si>
  <si>
    <t>https://github.com/ctk-hq/ctk/blob/a0390526216e3fc46bb82180d87998d3a62635f9/services/backend/src/organizations/tests.py#L1</t>
  </si>
  <si>
    <t>ctk/services/backend/src/organizations/views.py</t>
  </si>
  <si>
    <t>views.py</t>
  </si>
  <si>
    <t>https://github.com/ctk-hq/ctk/blob/a0390526216e3fc46bb82180d87998d3a62635f9/services/backend/src/organizations/views.py#L1</t>
  </si>
  <si>
    <t>ctk/services/backend/src/organizations/migrations/0001_initial.py</t>
  </si>
  <si>
    <t>0001_initial.py</t>
  </si>
  <si>
    <t>https://github.com/ctk-hq/ctk/blob/a0390526216e3fc46bb82180d87998d3a62635f9/services/backend/src/organizations/migrations/0001_initial.py#L1</t>
  </si>
  <si>
    <t>ctk/services/backend/src/api/routing.py</t>
  </si>
  <si>
    <t>routing.py</t>
  </si>
  <si>
    <t>https://github.com/ctk-hq/ctk/blob/a0390526216e3fc46bb82180d87998d3a62635f9/services/backend/src/api/routing.py#L7</t>
  </si>
  <si>
    <t>ctk/services/backend/src/api/tests.py</t>
  </si>
  <si>
    <t>https://github.com/ctk-hq/ctk/blob/a0390526216e3fc46bb82180d87998d3a62635f9/services/backend/src/api/tests.py#L1</t>
  </si>
  <si>
    <t>ctk/services/backend/src/api/migrations/0003_project_visibility.py</t>
  </si>
  <si>
    <t>0003_project_visibility.py</t>
  </si>
  <si>
    <t>https://github.com/ctk-hq/ctk/blob/a0390526216e3fc46bb82180d87998d3a62635f9/services/backend/src/api/migrations/0003_project_visibility.py#L1</t>
  </si>
  <si>
    <t>ctk/services/backend/src/api/migrations/0001_initial.py</t>
  </si>
  <si>
    <t>https://github.com/ctk-hq/ctk/blob/a0390526216e3fc46bb82180d87998d3a62635f9/services/backend/src/api/migrations/0001_initial.py#L1</t>
  </si>
  <si>
    <t>ctk/services/backend/src/api/migrations/0002_project_uuid.py</t>
  </si>
  <si>
    <t>0002_project_uuid.py</t>
  </si>
  <si>
    <t>https://github.com/ctk-hq/ctk/blob/a0390526216e3fc46bb82180d87998d3a62635f9/services/backend/src/api/migrations/0002_project_uuid.py#L1</t>
  </si>
  <si>
    <t>ctk/services/backend/src/main/asgi.py</t>
  </si>
  <si>
    <t>asgi.py</t>
  </si>
  <si>
    <t>https://github.com/ctk-hq/ctk/blob/a0390526216e3fc46bb82180d87998d3a62635f9/services/backend/src/main/asgi.py#L1</t>
  </si>
  <si>
    <t>ctk/services/backend/src/main/settings.py</t>
  </si>
  <si>
    <t>settings.py</t>
  </si>
  <si>
    <t>https://github.com/ctk-hq/ctk/blob/a0390526216e3fc46bb82180d87998d3a62635f9/services/backend/src/main/settings.py#L1</t>
  </si>
  <si>
    <t>https://github.com/ctk-hq/ctk/blob/a0390526216e3fc46bb82180d87998d3a62635f9/services/backend/src/main/settings.py#L15</t>
  </si>
  <si>
    <t>https://github.com/ctk-hq/ctk/blob/a0390526216e3fc46bb82180d87998d3a62635f9/services/backend/src/main/settings.py#L19</t>
  </si>
  <si>
    <t>https://github.com/ctk-hq/ctk/blob/a0390526216e3fc46bb82180d87998d3a62635f9/services/backend/src/main/settings.py#L22</t>
  </si>
  <si>
    <t>https://github.com/ctk-hq/ctk/blob/a0390526216e3fc46bb82180d87998d3a62635f9/services/backend/src/main/settings.py#L25</t>
  </si>
  <si>
    <t>https://github.com/ctk-hq/ctk/blob/a0390526216e3fc46bb82180d87998d3a62635f9/services/backend/src/main/settings.py#L37</t>
  </si>
  <si>
    <t>https://github.com/ctk-hq/ctk/blob/a0390526216e3fc46bb82180d87998d3a62635f9/services/backend/src/main/settings.py#L93</t>
  </si>
  <si>
    <t>https://github.com/ctk-hq/ctk/blob/a0390526216e3fc46bb82180d87998d3a62635f9/services/backend/src/main/settings.py#L122</t>
  </si>
  <si>
    <t>https://github.com/ctk-hq/ctk/blob/a0390526216e3fc46bb82180d87998d3a62635f9/services/backend/src/main/settings.py#L141</t>
  </si>
  <si>
    <t>https://github.com/ctk-hq/ctk/blob/a0390526216e3fc46bb82180d87998d3a62635f9/services/backend/src/main/settings.py#L153</t>
  </si>
  <si>
    <t>https://github.com/ctk-hq/ctk/blob/a0390526216e3fc46bb82180d87998d3a62635f9/services/backend/src/main/settings.py#L180</t>
  </si>
  <si>
    <t>https://github.com/ctk-hq/ctk/blob/a0390526216e3fc46bb82180d87998d3a62635f9/services/backend/src/main/settings.py#L193</t>
  </si>
  <si>
    <t>https://github.com/ctk-hq/ctk/blob/a0390526216e3fc46bb82180d87998d3a62635f9/services/backend/src/main/settings.py#L204</t>
  </si>
  <si>
    <t>https://github.com/ctk-hq/ctk/blob/a0390526216e3fc46bb82180d87998d3a62635f9/services/backend/src/main/settings.py#L209</t>
  </si>
  <si>
    <t>https://github.com/ctk-hq/ctk/blob/a0390526216e3fc46bb82180d87998d3a62635f9/services/backend/src/main/settings.py#L212</t>
  </si>
  <si>
    <t>ctk/services/backend/src/main/urls.py</t>
  </si>
  <si>
    <t>urls.py</t>
  </si>
  <si>
    <t>https://github.com/ctk-hq/ctk/blob/a0390526216e3fc46bb82180d87998d3a62635f9/services/backend/src/main/urls.py#L8</t>
  </si>
  <si>
    <t>https://github.com/ctk-hq/ctk/blob/a0390526216e3fc46bb82180d87998d3a62635f9/services/backend/src/main/urls.py#L9</t>
  </si>
  <si>
    <t>ctk/services/backend/src/main/wsgi.py</t>
  </si>
  <si>
    <t>wsgi.py</t>
  </si>
  <si>
    <t>https://github.com/ctk-hq/ctk/blob/a0390526216e3fc46bb82180d87998d3a62635f9/services/backend/src/main/wsgi.py#L1</t>
  </si>
  <si>
    <t>commerceDataVisualization</t>
  </si>
  <si>
    <t>commerceDataVisualization/python_scripts/server.py</t>
  </si>
  <si>
    <t>server.py</t>
  </si>
  <si>
    <t>https://github.com/mitchhit234/commerceDataVisualization/blob/260d3229d87c6c85468f56feaadf0d9836c211b7/python_scripts/server.py#L26</t>
  </si>
  <si>
    <t>https://github.com/mitchhit234/commerceDataVisualization/blob/260d3229d87c6c85468f56feaadf0d9836c211b7/python_scripts/server.py#L32</t>
  </si>
  <si>
    <t>https://github.com/mitchhit234/commerceDataVisualization/blob/260d3229d87c6c85468f56feaadf0d9836c211b7/python_scripts/server.py#L36</t>
  </si>
  <si>
    <t>https://github.com/mitchhit234/commerceDataVisualization/blob/260d3229d87c6c85468f56feaadf0d9836c211b7/python_scripts/server.py#L40</t>
  </si>
  <si>
    <t>https://github.com/mitchhit234/commerceDataVisualization/blob/260d3229d87c6c85468f56feaadf0d9836c211b7/python_scripts/server.py#L51</t>
  </si>
  <si>
    <t>https://github.com/mitchhit234/commerceDataVisualization/blob/260d3229d87c6c85468f56feaadf0d9836c211b7/python_scripts/server.py#L59</t>
  </si>
  <si>
    <t>https://github.com/mitchhit234/commerceDataVisualization/blob/260d3229d87c6c85468f56feaadf0d9836c211b7/python_scripts/server.py#L66</t>
  </si>
  <si>
    <t>https://github.com/mitchhit234/commerceDataVisualization/blob/260d3229d87c6c85468f56feaadf0d9836c211b7/python_scripts/server.py#L74</t>
  </si>
  <si>
    <t>https://github.com/mitchhit234/commerceDataVisualization/blob/260d3229d87c6c85468f56feaadf0d9836c211b7/python_scripts/server.py#L80</t>
  </si>
  <si>
    <t>https://github.com/mitchhit234/commerceDataVisualization/blob/260d3229d87c6c85468f56feaadf0d9836c211b7/python_scripts/server.py#L89</t>
  </si>
  <si>
    <t>https://github.com/mitchhit234/commerceDataVisualization/blob/260d3229d87c6c85468f56feaadf0d9836c211b7/python_scripts/server.py#L99</t>
  </si>
  <si>
    <t>https://github.com/mitchhit234/commerceDataVisualization/blob/260d3229d87c6c85468f56feaadf0d9836c211b7/python_scripts/server.py#L105</t>
  </si>
  <si>
    <t>https://github.com/mitchhit234/commerceDataVisualization/blob/260d3229d87c6c85468f56feaadf0d9836c211b7/python_scripts/server.py#L107</t>
  </si>
  <si>
    <t>https://github.com/mitchhit234/commerceDataVisualization/blob/260d3229d87c6c85468f56feaadf0d9836c211b7/python_scripts/server.py#L118</t>
  </si>
  <si>
    <t>https://github.com/mitchhit234/commerceDataVisualization/blob/260d3229d87c6c85468f56feaadf0d9836c211b7/python_scripts/server.py#L121</t>
  </si>
  <si>
    <t>https://github.com/mitchhit234/commerceDataVisualization/blob/260d3229d87c6c85468f56feaadf0d9836c211b7/python_scripts/server.py#L135</t>
  </si>
  <si>
    <t>https://github.com/mitchhit234/commerceDataVisualization/blob/260d3229d87c6c85468f56feaadf0d9836c211b7/python_scripts/server.py#L138</t>
  </si>
  <si>
    <t>https://github.com/mitchhit234/commerceDataVisualization/blob/260d3229d87c6c85468f56feaadf0d9836c211b7/python_scripts/server.py#L142</t>
  </si>
  <si>
    <t>https://github.com/mitchhit234/commerceDataVisualization/blob/260d3229d87c6c85468f56feaadf0d9836c211b7/python_scripts/server.py#L154</t>
  </si>
  <si>
    <t>https://github.com/mitchhit234/commerceDataVisualization/blob/260d3229d87c6c85468f56feaadf0d9836c211b7/python_scripts/server.py#L157</t>
  </si>
  <si>
    <t>https://github.com/mitchhit234/commerceDataVisualization/blob/260d3229d87c6c85468f56feaadf0d9836c211b7/python_scripts/server.py#L160</t>
  </si>
  <si>
    <t>https://github.com/mitchhit234/commerceDataVisualization/blob/260d3229d87c6c85468f56feaadf0d9836c211b7/python_scripts/server.py#L163</t>
  </si>
  <si>
    <t>https://github.com/mitchhit234/commerceDataVisualization/blob/260d3229d87c6c85468f56feaadf0d9836c211b7/python_scripts/server.py#L174</t>
  </si>
  <si>
    <t>https://github.com/mitchhit234/commerceDataVisualization/blob/260d3229d87c6c85468f56feaadf0d9836c211b7/python_scripts/server.py#L188</t>
  </si>
  <si>
    <t>https://github.com/mitchhit234/commerceDataVisualization/blob/260d3229d87c6c85468f56feaadf0d9836c211b7/python_scripts/server.py#L195</t>
  </si>
  <si>
    <t>https://github.com/mitchhit234/commerceDataVisualization/blob/260d3229d87c6c85468f56feaadf0d9836c211b7/python_scripts/server.py#L201</t>
  </si>
  <si>
    <t>https://github.com/mitchhit234/commerceDataVisualization/blob/260d3229d87c6c85468f56feaadf0d9836c211b7/python_scripts/server.py#L205</t>
  </si>
  <si>
    <t>https://github.com/mitchhit234/commerceDataVisualization/blob/260d3229d87c6c85468f56feaadf0d9836c211b7/python_scripts/server.py#L210</t>
  </si>
  <si>
    <t>https://github.com/mitchhit234/commerceDataVisualization/blob/260d3229d87c6c85468f56feaadf0d9836c211b7/python_scripts/server.py#L214</t>
  </si>
  <si>
    <t>https://github.com/mitchhit234/commerceDataVisualization/blob/260d3229d87c6c85468f56feaadf0d9836c211b7/python_scripts/server.py#L223</t>
  </si>
  <si>
    <t>https://github.com/mitchhit234/commerceDataVisualization/blob/260d3229d87c6c85468f56feaadf0d9836c211b7/python_scripts/server.py#L231</t>
  </si>
  <si>
    <t>https://github.com/mitchhit234/commerceDataVisualization/blob/260d3229d87c6c85468f56feaadf0d9836c211b7/python_scripts/server.py#L234</t>
  </si>
  <si>
    <t>https://github.com/mitchhit234/commerceDataVisualization/blob/260d3229d87c6c85468f56feaadf0d9836c211b7/python_scripts/server.py#L239</t>
  </si>
  <si>
    <t>https://github.com/mitchhit234/commerceDataVisualization/blob/260d3229d87c6c85468f56feaadf0d9836c211b7/python_scripts/server.py#L243</t>
  </si>
  <si>
    <t>commerceDataVisualization/python_scripts/api_connect.py</t>
  </si>
  <si>
    <t>api_connect.py</t>
  </si>
  <si>
    <t>https://github.com/mitchhit234/commerceDataVisualization/blob/260d3229d87c6c85468f56feaadf0d9836c211b7/python_scripts/api_connect.py#L1</t>
  </si>
  <si>
    <t>https://github.com/mitchhit234/commerceDataVisualization/blob/260d3229d87c6c85468f56feaadf0d9836c211b7/python_scripts/api_connect.py#L13</t>
  </si>
  <si>
    <t>https://github.com/mitchhit234/commerceDataVisualization/blob/260d3229d87c6c85468f56feaadf0d9836c211b7/python_scripts/api_connect.py#L18</t>
  </si>
  <si>
    <t>https://github.com/mitchhit234/commerceDataVisualization/blob/260d3229d87c6c85468f56feaadf0d9836c211b7/python_scripts/api_connect.py#L28</t>
  </si>
  <si>
    <t>commerceDataVisualization/python_scripts/graph.py</t>
  </si>
  <si>
    <t>graph.py</t>
  </si>
  <si>
    <t>https://github.com/mitchhit234/commerceDataVisualization/blob/260d3229d87c6c85468f56feaadf0d9836c211b7/python_scripts/graph.py#L1</t>
  </si>
  <si>
    <t>https://github.com/mitchhit234/commerceDataVisualization/blob/260d3229d87c6c85468f56feaadf0d9836c211b7/python_scripts/graph.py#L11</t>
  </si>
  <si>
    <t>https://github.com/mitchhit234/commerceDataVisualization/blob/260d3229d87c6c85468f56feaadf0d9836c211b7/python_scripts/graph.py#L17</t>
  </si>
  <si>
    <t>https://github.com/mitchhit234/commerceDataVisualization/blob/260d3229d87c6c85468f56feaadf0d9836c211b7/python_scripts/graph.py#L21</t>
  </si>
  <si>
    <t>https://github.com/mitchhit234/commerceDataVisualization/blob/260d3229d87c6c85468f56feaadf0d9836c211b7/python_scripts/graph.py#L26</t>
  </si>
  <si>
    <t>https://github.com/mitchhit234/commerceDataVisualization/blob/260d3229d87c6c85468f56feaadf0d9836c211b7/python_scripts/graph.py#L31</t>
  </si>
  <si>
    <t>https://github.com/mitchhit234/commerceDataVisualization/blob/260d3229d87c6c85468f56feaadf0d9836c211b7/python_scripts/graph.py#L50</t>
  </si>
  <si>
    <t>https://github.com/mitchhit234/commerceDataVisualization/blob/260d3229d87c6c85468f56feaadf0d9836c211b7/python_scripts/graph.py#L58</t>
  </si>
  <si>
    <t>https://github.com/mitchhit234/commerceDataVisualization/blob/260d3229d87c6c85468f56feaadf0d9836c211b7/python_scripts/graph.py#L67</t>
  </si>
  <si>
    <t>https://github.com/mitchhit234/commerceDataVisualization/blob/260d3229d87c6c85468f56feaadf0d9836c211b7/python_scripts/graph.py#L78</t>
  </si>
  <si>
    <t>https://github.com/mitchhit234/commerceDataVisualization/blob/260d3229d87c6c85468f56feaadf0d9836c211b7/python_scripts/graph.py#L85</t>
  </si>
  <si>
    <t>https://github.com/mitchhit234/commerceDataVisualization/blob/260d3229d87c6c85468f56feaadf0d9836c211b7/python_scripts/graph.py#L90</t>
  </si>
  <si>
    <t>https://github.com/mitchhit234/commerceDataVisualization/blob/260d3229d87c6c85468f56feaadf0d9836c211b7/python_scripts/graph.py#L104</t>
  </si>
  <si>
    <t>https://github.com/mitchhit234/commerceDataVisualization/blob/260d3229d87c6c85468f56feaadf0d9836c211b7/python_scripts/graph.py#L116</t>
  </si>
  <si>
    <t>https://github.com/mitchhit234/commerceDataVisualization/blob/260d3229d87c6c85468f56feaadf0d9836c211b7/python_scripts/graph.py#L123</t>
  </si>
  <si>
    <t>https://github.com/mitchhit234/commerceDataVisualization/blob/260d3229d87c6c85468f56feaadf0d9836c211b7/python_scripts/graph.py#L129</t>
  </si>
  <si>
    <t>https://github.com/mitchhit234/commerceDataVisualization/blob/260d3229d87c6c85468f56feaadf0d9836c211b7/python_scripts/graph.py#L138</t>
  </si>
  <si>
    <t>https://github.com/mitchhit234/commerceDataVisualization/blob/260d3229d87c6c85468f56feaadf0d9836c211b7/python_scripts/graph.py#L147</t>
  </si>
  <si>
    <t>https://github.com/mitchhit234/commerceDataVisualization/blob/260d3229d87c6c85468f56feaadf0d9836c211b7/python_scripts/graph.py#L156</t>
  </si>
  <si>
    <t>https://github.com/mitchhit234/commerceDataVisualization/blob/260d3229d87c6c85468f56feaadf0d9836c211b7/python_scripts/graph.py#L168</t>
  </si>
  <si>
    <t>https://github.com/mitchhit234/commerceDataVisualization/blob/260d3229d87c6c85468f56feaadf0d9836c211b7/python_scripts/graph.py#L177</t>
  </si>
  <si>
    <t>https://github.com/mitchhit234/commerceDataVisualization/blob/260d3229d87c6c85468f56feaadf0d9836c211b7/python_scripts/graph.py#L184</t>
  </si>
  <si>
    <t>https://github.com/mitchhit234/commerceDataVisualization/blob/260d3229d87c6c85468f56feaadf0d9836c211b7/python_scripts/graph.py#L201</t>
  </si>
  <si>
    <t>https://github.com/mitchhit234/commerceDataVisualization/blob/260d3229d87c6c85468f56feaadf0d9836c211b7/python_scripts/graph.py#L218</t>
  </si>
  <si>
    <t>https://github.com/mitchhit234/commerceDataVisualization/blob/260d3229d87c6c85468f56feaadf0d9836c211b7/python_scripts/graph.py#L227</t>
  </si>
  <si>
    <t>https://github.com/mitchhit234/commerceDataVisualization/blob/260d3229d87c6c85468f56feaadf0d9836c211b7/python_scripts/graph.py#L258</t>
  </si>
  <si>
    <t>https://github.com/mitchhit234/commerceDataVisualization/blob/260d3229d87c6c85468f56feaadf0d9836c211b7/python_scripts/graph.py#L264</t>
  </si>
  <si>
    <t>https://github.com/mitchhit234/commerceDataVisualization/blob/260d3229d87c6c85468f56feaadf0d9836c211b7/python_scripts/graph.py#L272</t>
  </si>
  <si>
    <t>https://github.com/mitchhit234/commerceDataVisualization/blob/260d3229d87c6c85468f56feaadf0d9836c211b7/python_scripts/graph.py#L275</t>
  </si>
  <si>
    <t>https://github.com/mitchhit234/commerceDataVisualization/blob/260d3229d87c6c85468f56feaadf0d9836c211b7/python_scripts/graph.py#L280</t>
  </si>
  <si>
    <t>https://github.com/mitchhit234/commerceDataVisualization/blob/260d3229d87c6c85468f56feaadf0d9836c211b7/python_scripts/graph.py#L289</t>
  </si>
  <si>
    <t>https://github.com/mitchhit234/commerceDataVisualization/blob/260d3229d87c6c85468f56feaadf0d9836c211b7/python_scripts/graph.py#L291</t>
  </si>
  <si>
    <t>https://github.com/mitchhit234/commerceDataVisualization/blob/260d3229d87c6c85468f56feaadf0d9836c211b7/python_scripts/graph.py#L295</t>
  </si>
  <si>
    <t>https://github.com/mitchhit234/commerceDataVisualization/blob/260d3229d87c6c85468f56feaadf0d9836c211b7/python_scripts/graph.py#L308</t>
  </si>
  <si>
    <t>https://github.com/mitchhit234/commerceDataVisualization/blob/260d3229d87c6c85468f56feaadf0d9836c211b7/python_scripts/graph.py#L311</t>
  </si>
  <si>
    <t>https://github.com/mitchhit234/commerceDataVisualization/blob/260d3229d87c6c85468f56feaadf0d9836c211b7/python_scripts/graph.py#L317</t>
  </si>
  <si>
    <t>https://github.com/mitchhit234/commerceDataVisualization/blob/260d3229d87c6c85468f56feaadf0d9836c211b7/python_scripts/graph.py#L338</t>
  </si>
  <si>
    <t>https://github.com/mitchhit234/commerceDataVisualization/blob/260d3229d87c6c85468f56feaadf0d9836c211b7/python_scripts/graph.py#L343</t>
  </si>
  <si>
    <t>https://github.com/mitchhit234/commerceDataVisualization/blob/260d3229d87c6c85468f56feaadf0d9836c211b7/python_scripts/graph.py#L366</t>
  </si>
  <si>
    <t>https://github.com/mitchhit234/commerceDataVisualization/blob/260d3229d87c6c85468f56feaadf0d9836c211b7/python_scripts/graph.py#L369</t>
  </si>
  <si>
    <t>https://github.com/mitchhit234/commerceDataVisualization/blob/260d3229d87c6c85468f56feaadf0d9836c211b7/python_scripts/graph.py#L373</t>
  </si>
  <si>
    <t>https://github.com/mitchhit234/commerceDataVisualization/blob/260d3229d87c6c85468f56feaadf0d9836c211b7/python_scripts/graph.py#L376</t>
  </si>
  <si>
    <t>https://github.com/mitchhit234/commerceDataVisualization/blob/260d3229d87c6c85468f56feaadf0d9836c211b7/python_scripts/graph.py#L382</t>
  </si>
  <si>
    <t>https://github.com/mitchhit234/commerceDataVisualization/blob/260d3229d87c6c85468f56feaadf0d9836c211b7/python_scripts/graph.py#L386</t>
  </si>
  <si>
    <t>https://github.com/mitchhit234/commerceDataVisualization/blob/260d3229d87c6c85468f56feaadf0d9836c211b7/python_scripts/graph.py#L389</t>
  </si>
  <si>
    <t>https://github.com/mitchhit234/commerceDataVisualization/blob/260d3229d87c6c85468f56feaadf0d9836c211b7/python_scripts/graph.py#L394</t>
  </si>
  <si>
    <t>https://github.com/mitchhit234/commerceDataVisualization/blob/260d3229d87c6c85468f56feaadf0d9836c211b7/python_scripts/graph.py#L401</t>
  </si>
  <si>
    <t>https://github.com/mitchhit234/commerceDataVisualization/blob/260d3229d87c6c85468f56feaadf0d9836c211b7/python_scripts/graph.py#L403</t>
  </si>
  <si>
    <t>https://github.com/mitchhit234/commerceDataVisualization/blob/260d3229d87c6c85468f56feaadf0d9836c211b7/python_scripts/graph.py#L411</t>
  </si>
  <si>
    <t>https://github.com/mitchhit234/commerceDataVisualization/blob/260d3229d87c6c85468f56feaadf0d9836c211b7/python_scripts/graph.py#L417</t>
  </si>
  <si>
    <t>https://github.com/mitchhit234/commerceDataVisualization/blob/260d3229d87c6c85468f56feaadf0d9836c211b7/python_scripts/graph.py#L423</t>
  </si>
  <si>
    <t>https://github.com/mitchhit234/commerceDataVisualization/blob/260d3229d87c6c85468f56feaadf0d9836c211b7/python_scripts/graph.py#L426</t>
  </si>
  <si>
    <t>https://github.com/mitchhit234/commerceDataVisualization/blob/260d3229d87c6c85468f56feaadf0d9836c211b7/python_scripts/graph.py#L437</t>
  </si>
  <si>
    <t>https://github.com/mitchhit234/commerceDataVisualization/blob/260d3229d87c6c85468f56feaadf0d9836c211b7/python_scripts/graph.py#L442</t>
  </si>
  <si>
    <t>https://github.com/mitchhit234/commerceDataVisualization/blob/260d3229d87c6c85468f56feaadf0d9836c211b7/python_scripts/graph.py#L447</t>
  </si>
  <si>
    <t>commerceDataVisualization/python_scripts/db_update.py</t>
  </si>
  <si>
    <t>db_update.py</t>
  </si>
  <si>
    <t>https://github.com/mitchhit234/commerceDataVisualization/blob/260d3229d87c6c85468f56feaadf0d9836c211b7/python_scripts/db_update.py#L1</t>
  </si>
  <si>
    <t>https://github.com/mitchhit234/commerceDataVisualization/blob/260d3229d87c6c85468f56feaadf0d9836c211b7/python_scripts/db_update.py#L2</t>
  </si>
  <si>
    <t>https://github.com/mitchhit234/commerceDataVisualization/blob/260d3229d87c6c85468f56feaadf0d9836c211b7/python_scripts/db_update.py#L16</t>
  </si>
  <si>
    <t>https://github.com/mitchhit234/commerceDataVisualization/blob/260d3229d87c6c85468f56feaadf0d9836c211b7/python_scripts/db_update.py#L29</t>
  </si>
  <si>
    <t>https://github.com/mitchhit234/commerceDataVisualization/blob/260d3229d87c6c85468f56feaadf0d9836c211b7/python_scripts/db_update.py#L36</t>
  </si>
  <si>
    <t>https://github.com/mitchhit234/commerceDataVisualization/blob/260d3229d87c6c85468f56feaadf0d9836c211b7/python_scripts/db_update.py#L46</t>
  </si>
  <si>
    <t>https://github.com/mitchhit234/commerceDataVisualization/blob/260d3229d87c6c85468f56feaadf0d9836c211b7/python_scripts/db_update.py#L54</t>
  </si>
  <si>
    <t>https://github.com/mitchhit234/commerceDataVisualization/blob/260d3229d87c6c85468f56feaadf0d9836c211b7/python_scripts/db_update.py#L60</t>
  </si>
  <si>
    <t>https://github.com/mitchhit234/commerceDataVisualization/blob/260d3229d87c6c85468f56feaadf0d9836c211b7/python_scripts/db_update.py#L67</t>
  </si>
  <si>
    <t>https://github.com/mitchhit234/commerceDataVisualization/blob/260d3229d87c6c85468f56feaadf0d9836c211b7/python_scripts/db_update.py#L75</t>
  </si>
  <si>
    <t>https://github.com/mitchhit234/commerceDataVisualization/blob/260d3229d87c6c85468f56feaadf0d9836c211b7/python_scripts/db_update.py#L87</t>
  </si>
  <si>
    <t>https://github.com/mitchhit234/commerceDataVisualization/blob/260d3229d87c6c85468f56feaadf0d9836c211b7/python_scripts/db_update.py#L95</t>
  </si>
  <si>
    <t>https://github.com/mitchhit234/commerceDataVisualization/blob/260d3229d87c6c85468f56feaadf0d9836c211b7/python_scripts/db_update.py#L98</t>
  </si>
  <si>
    <t>https://github.com/mitchhit234/commerceDataVisualization/blob/260d3229d87c6c85468f56feaadf0d9836c211b7/python_scripts/db_update.py#L102</t>
  </si>
  <si>
    <t>https://github.com/mitchhit234/commerceDataVisualization/blob/260d3229d87c6c85468f56feaadf0d9836c211b7/python_scripts/db_update.py#L110</t>
  </si>
  <si>
    <t>https://github.com/mitchhit234/commerceDataVisualization/blob/260d3229d87c6c85468f56feaadf0d9836c211b7/python_scripts/db_update.py#L113</t>
  </si>
  <si>
    <t>https://github.com/mitchhit234/commerceDataVisualization/blob/260d3229d87c6c85468f56feaadf0d9836c211b7/python_scripts/db_update.py#L122</t>
  </si>
  <si>
    <t>https://github.com/mitchhit234/commerceDataVisualization/blob/260d3229d87c6c85468f56feaadf0d9836c211b7/python_scripts/db_update.py#L126</t>
  </si>
  <si>
    <t>https://github.com/mitchhit234/commerceDataVisualization/blob/260d3229d87c6c85468f56feaadf0d9836c211b7/python_scripts/db_update.py#L128</t>
  </si>
  <si>
    <t>https://github.com/mitchhit234/commerceDataVisualization/blob/260d3229d87c6c85468f56feaadf0d9836c211b7/python_scripts/db_update.py#L130</t>
  </si>
  <si>
    <t>https://github.com/mitchhit234/commerceDataVisualization/blob/260d3229d87c6c85468f56feaadf0d9836c211b7/python_scripts/db_update.py#L133</t>
  </si>
  <si>
    <t>https://github.com/mitchhit234/commerceDataVisualization/blob/260d3229d87c6c85468f56feaadf0d9836c211b7/python_scripts/db_update.py#L140</t>
  </si>
  <si>
    <t>https://github.com/mitchhit234/commerceDataVisualization/blob/260d3229d87c6c85468f56feaadf0d9836c211b7/python_scripts/db_update.py#L149</t>
  </si>
  <si>
    <t>https://github.com/mitchhit234/commerceDataVisualization/blob/260d3229d87c6c85468f56feaadf0d9836c211b7/python_scripts/db_update.py#L151</t>
  </si>
  <si>
    <t>https://github.com/mitchhit234/commerceDataVisualization/blob/260d3229d87c6c85468f56feaadf0d9836c211b7/python_scripts/db_update.py#L158</t>
  </si>
  <si>
    <t>https://github.com/mitchhit234/commerceDataVisualization/blob/260d3229d87c6c85468f56feaadf0d9836c211b7/python_scripts/db_update.py#L170</t>
  </si>
  <si>
    <t>https://github.com/mitchhit234/commerceDataVisualization/blob/260d3229d87c6c85468f56feaadf0d9836c211b7/python_scripts/db_update.py#L175</t>
  </si>
  <si>
    <t>https://github.com/mitchhit234/commerceDataVisualization/blob/260d3229d87c6c85468f56feaadf0d9836c211b7/python_scripts/db_update.py#L179</t>
  </si>
  <si>
    <t>commerceDataVisualization/python_scripts/db_create.py</t>
  </si>
  <si>
    <t>db_create.py</t>
  </si>
  <si>
    <t>https://github.com/mitchhit234/commerceDataVisualization/blob/260d3229d87c6c85468f56feaadf0d9836c211b7/python_scripts/db_create.py#L1</t>
  </si>
  <si>
    <t>https://github.com/mitchhit234/commerceDataVisualization/blob/260d3229d87c6c85468f56feaadf0d9836c211b7/python_scripts/db_create.py#L7</t>
  </si>
  <si>
    <t>https://github.com/mitchhit234/commerceDataVisualization/blob/260d3229d87c6c85468f56feaadf0d9836c211b7/python_scripts/db_create.py#L19</t>
  </si>
  <si>
    <t>https://github.com/mitchhit234/commerceDataVisualization/blob/260d3229d87c6c85468f56feaadf0d9836c211b7/python_scripts/db_create.py#L30</t>
  </si>
  <si>
    <t>https://github.com/mitchhit234/commerceDataVisualization/blob/260d3229d87c6c85468f56feaadf0d9836c211b7/python_scripts/db_create.py#L41</t>
  </si>
  <si>
    <t>https://github.com/mitchhit234/commerceDataVisualization/blob/260d3229d87c6c85468f56feaadf0d9836c211b7/python_scripts/db_create.py#L46</t>
  </si>
  <si>
    <t>https://github.com/mitchhit234/commerceDataVisualization/blob/260d3229d87c6c85468f56feaadf0d9836c211b7/python_scripts/db_create.py#L52</t>
  </si>
  <si>
    <t>https://github.com/mitchhit234/commerceDataVisualization/blob/260d3229d87c6c85468f56feaadf0d9836c211b7/python_scripts/db_create.py#L75</t>
  </si>
  <si>
    <t>https://github.com/mitchhit234/commerceDataVisualization/blob/260d3229d87c6c85468f56feaadf0d9836c211b7/python_scripts/db_create.py#L84</t>
  </si>
  <si>
    <t>https://github.com/mitchhit234/commerceDataVisualization/blob/260d3229d87c6c85468f56feaadf0d9836c211b7/python_scripts/db_create.py#L91</t>
  </si>
  <si>
    <t>https://github.com/mitchhit234/commerceDataVisualization/blob/260d3229d87c6c85468f56feaadf0d9836c211b7/python_scripts/db_create.py#L102</t>
  </si>
  <si>
    <t>commerceDataVisualization/python_scripts/app.py</t>
  </si>
  <si>
    <t>https://github.com/mitchhit234/commerceDataVisualization/blob/260d3229d87c6c85468f56feaadf0d9836c211b7/python_scripts/app.py#L1</t>
  </si>
  <si>
    <t>https://github.com/mitchhit234/commerceDataVisualization/blob/260d3229d87c6c85468f56feaadf0d9836c211b7/python_scripts/app.py#L14</t>
  </si>
  <si>
    <t>https://github.com/mitchhit234/commerceDataVisualization/blob/260d3229d87c6c85468f56feaadf0d9836c211b7/python_scripts/app.py#L19</t>
  </si>
  <si>
    <t>https://github.com/mitchhit234/commerceDataVisualization/blob/260d3229d87c6c85468f56feaadf0d9836c211b7/python_scripts/app.py#L29</t>
  </si>
  <si>
    <t>https://github.com/mitchhit234/commerceDataVisualization/blob/260d3229d87c6c85468f56feaadf0d9836c211b7/python_scripts/app.py#L33</t>
  </si>
  <si>
    <t>https://github.com/mitchhit234/commerceDataVisualization/blob/260d3229d87c6c85468f56feaadf0d9836c211b7/python_scripts/app.py#L38</t>
  </si>
  <si>
    <t>https://github.com/mitchhit234/commerceDataVisualization/blob/260d3229d87c6c85468f56feaadf0d9836c211b7/python_scripts/app.py#L44</t>
  </si>
  <si>
    <t>https://github.com/mitchhit234/commerceDataVisualization/blob/260d3229d87c6c85468f56feaadf0d9836c211b7/python_scripts/app.py#L53</t>
  </si>
  <si>
    <t>https://github.com/mitchhit234/commerceDataVisualization/blob/260d3229d87c6c85468f56feaadf0d9836c211b7/python_scripts/app.py#L55</t>
  </si>
  <si>
    <t>https://github.com/mitchhit234/commerceDataVisualization/blob/260d3229d87c6c85468f56feaadf0d9836c211b7/python_scripts/app.py#L69</t>
  </si>
  <si>
    <t>https://github.com/mitchhit234/commerceDataVisualization/blob/260d3229d87c6c85468f56feaadf0d9836c211b7/python_scripts/app.py#L75</t>
  </si>
  <si>
    <t>https://github.com/mitchhit234/commerceDataVisualization/blob/260d3229d87c6c85468f56feaadf0d9836c211b7/python_scripts/app.py#L81</t>
  </si>
  <si>
    <t>https://github.com/mitchhit234/commerceDataVisualization/blob/260d3229d87c6c85468f56feaadf0d9836c211b7/python_scripts/app.py#L90</t>
  </si>
  <si>
    <t>https://github.com/mitchhit234/commerceDataVisualization/blob/260d3229d87c6c85468f56feaadf0d9836c211b7/python_scripts/app.py#L94</t>
  </si>
  <si>
    <t>https://github.com/mitchhit234/commerceDataVisualization/blob/260d3229d87c6c85468f56feaadf0d9836c211b7/python_scripts/app.py#L96</t>
  </si>
  <si>
    <t>https://github.com/mitchhit234/commerceDataVisualization/blob/260d3229d87c6c85468f56feaadf0d9836c211b7/python_scripts/app.py#L98</t>
  </si>
  <si>
    <t>https://github.com/mitchhit234/commerceDataVisualization/blob/260d3229d87c6c85468f56feaadf0d9836c211b7/python_scripts/app.py#L101</t>
  </si>
  <si>
    <t>https://github.com/mitchhit234/commerceDataVisualization/blob/260d3229d87c6c85468f56feaadf0d9836c211b7/python_scripts/app.py#L104</t>
  </si>
  <si>
    <t>https://github.com/mitchhit234/commerceDataVisualization/blob/260d3229d87c6c85468f56feaadf0d9836c211b7/python_scripts/app.py#L107</t>
  </si>
  <si>
    <t>https://github.com/mitchhit234/commerceDataVisualization/blob/260d3229d87c6c85468f56feaadf0d9836c211b7/python_scripts/app.py#L112</t>
  </si>
  <si>
    <t>https://github.com/mitchhit234/commerceDataVisualization/blob/260d3229d87c6c85468f56feaadf0d9836c211b7/python_scripts/app.py#L116</t>
  </si>
  <si>
    <t>https://github.com/mitchhit234/commerceDataVisualization/blob/260d3229d87c6c85468f56feaadf0d9836c211b7/python_scripts/app.py#L120</t>
  </si>
  <si>
    <t>https://github.com/mitchhit234/commerceDataVisualization/blob/260d3229d87c6c85468f56feaadf0d9836c211b7/python_scripts/app.py#L127</t>
  </si>
  <si>
    <t>https://github.com/mitchhit234/commerceDataVisualization/blob/260d3229d87c6c85468f56feaadf0d9836c211b7/python_scripts/app.py#L131</t>
  </si>
  <si>
    <t>https://github.com/mitchhit234/commerceDataVisualization/blob/260d3229d87c6c85468f56feaadf0d9836c211b7/python_scripts/app.py#L139</t>
  </si>
  <si>
    <t>https://github.com/mitchhit234/commerceDataVisualization/blob/260d3229d87c6c85468f56feaadf0d9836c211b7/python_scripts/app.py#L144</t>
  </si>
  <si>
    <t>https://github.com/mitchhit234/commerceDataVisualization/blob/260d3229d87c6c85468f56feaadf0d9836c211b7/python_scripts/app.py#L154</t>
  </si>
  <si>
    <t>https://github.com/mitchhit234/commerceDataVisualization/blob/260d3229d87c6c85468f56feaadf0d9836c211b7/python_scripts/app.py#L158</t>
  </si>
  <si>
    <t>https://github.com/mitchhit234/commerceDataVisualization/blob/260d3229d87c6c85468f56feaadf0d9836c211b7/python_scripts/app.py#L162</t>
  </si>
  <si>
    <t>commerceDataVisualization/python_scripts/template.py</t>
  </si>
  <si>
    <t>template.py</t>
  </si>
  <si>
    <t>https://github.com/mitchhit234/commerceDataVisualization/blob/260d3229d87c6c85468f56feaadf0d9836c211b7/python_scripts/template.py#L1</t>
  </si>
  <si>
    <t>https://github.com/mitchhit234/commerceDataVisualization/blob/260d3229d87c6c85468f56feaadf0d9836c211b7/python_scripts/template.py#L8</t>
  </si>
  <si>
    <t>https://github.com/mitchhit234/commerceDataVisualization/blob/260d3229d87c6c85468f56feaadf0d9836c211b7/python_scripts/template.py#L165</t>
  </si>
  <si>
    <t xml:space="preserve">
def verify_required(exercise: Exercise, _: UserState):
    # Verify required exercises complete
    if exercise.requires_exercises is None:
        return</t>
  </si>
  <si>
    <t xml:space="preserve">
def verify_command_regex(exercise: Exercise, user_state: UserState):
    # Check command against regex
    if exercise.command_regex is None:
        return</t>
  </si>
  <si>
    <t xml:space="preserve">
def verify_output_regex(exercise: Exercise, user_state: UserState):
    # Check output against regex
    if exercise.output_regex is None:
        return</t>
  </si>
  <si>
    <t xml:space="preserve">        isdir = os.path.isdir(path)
        # Check State
        if filesystem_condition.state == FileSystemState.PRESENT and not exists:
            raise RejectionException(f'File or Directory: {path} should exist')</t>
  </si>
  <si>
    <t xml:space="preserve">            raise RejectionException(f'File or Directory: {path} should not exist')
        # Check directory
        if filesystem_condition.directory and not isdir:
            raise RejectionException(f'File: {path} should be a directory')</t>
  </si>
  <si>
    <t xml:space="preserve">            raise RejectionException(f'Directory: {path} should be a file')
        # Check content
        if filesystem_condition.content is not None:
            with open(path, 'r') as f:</t>
  </si>
  <si>
    <t xml:space="preserve">                    raise RejectionException(f'File: {path} does not match expected content')
        # Check content regex
        if filesystem_condition.content_regex is not None:
            with open(path, 'r') as f:</t>
  </si>
  <si>
    <t xml:space="preserve">#!/usr/bin/python3
</t>
  </si>
  <si>
    <t xml:space="preserve">
# #!/bin/bash
#
# EXERCISES=(
#     "helloworld"
#     "mkdir exercise1"
#     "cd exercise1"
#     "pipe hello world"
# )
# EXERCISE_INDEX=0
#
# status() {
#     curl http://localhost:5003/status -s
# }
#
# current_excercise() {
#     echo ${EXERCISES[EXERCISE_INDEX]}
# }
#
# set_ps1() {
#     export PS1="(\[\033[01;34m\]$(current_excercise)\[\033[00m\]) ${debian_chroot:+($debian_chroot)}\[\033[01;32m\]\u@\h\[\033[00m\]:\[\033[01;34m\]\w\[\033[00m\]\$ "
# }
#
# check_exercise() {
#     EXERCISE=$(current_excercise)
#     COMMAND=$(HISTTIMEFORMAT= history 1 | sed -e "s/^[ ]*[0-9]*[ ]*//")
#     OUTPUT=$(cat /tmp/output 2&gt;&amp;1)
#     [ "$COMMAND" = "status" ] &amp;&amp; return
#     STATUS_CODE=$(curl http://localhost:5003/submit \
#         --output /dev/stderr --write-out "%{http_code}" \
#         --data "exercise=${EXERCISE}" \
#         --data "command=${COMMAND}" \
#         --data "output=${OUTPUT}" \
#         --data "cwd=${PWD}" \
#         -s)
#     if (( $STATUS_CODE == 200 )); then
#         EXERCISE_INDEX=$(( $EXERCISE_INDEX + 1 ))
#     fi
#     set_ps1
# }
# PROMPT_COMMAND="check_exercise"
#
# preexec_invoke_exec () {
#     [ -n "$COMP_LINE" ] &amp;&amp; return
#     [ "$BASH_COMMAND" = "$PROMPT_COMMAND" ] &amp;&amp; return
#     [ "$BASH_COMMAND" = "status" ] &amp;&amp; return
#
#     exec 1&gt;&amp;3
#     rm -f /tmp/output /tmp/command
#     echo "$BASH_COMMAND" &gt; /tmp/command
#     exec &gt; &gt;(tee /tmp/output)
# }
#
# rm -f /tmp/output
# exec 3&gt;&amp;1
# trap 'preexec_invoke_exec' DEBUG
#
# set_ps1
import logging</t>
  </si>
  <si>
    <t>@reject_handler
def submit():
    # Get options from the form
    user_state = user_state_from_request()
    exercise = run_exercise(user_state)</t>
  </si>
  <si>
    <t>#!/usr/bin/python3
import os</t>
  </si>
  <si>
    <t>@app.route('/', methods=['POST'])
def index():
    # Get options from the form
    message: str = request.form.get('message', default='Anubis Cloud IDE Autosave').strip()
    push_only: bool = request.form.get('push_only', default='false').lower() == 'true'</t>
  </si>
  <si>
    <t xml:space="preserve">    force_push: bool = request.form.get('force_push', default='false').lower() == 'true'
    # Default commit message if empty
    if message == '':
        message = 'Anubis Cloud IDE Autosave'</t>
  </si>
  <si>
    <t xml:space="preserve">        message = 'Anubis Cloud IDE Autosave'
    # Add netid to commit message
    if NETID is not None:
        message += ' netid=' + NETID</t>
  </si>
  <si>
    <t xml:space="preserve">        message += ' netid=' + NETID
    # Make sure that the repo given exists and is a git repo
    if GIT_REPO_PATH is None or not os.path.isdir(os.path.join(GIT_REPO_PATH, '.git')):
        return text_response('Please navigate to the repository that you would like to autosave')</t>
  </si>
  <si>
    <t xml:space="preserve">
    try:
        # We skip the add and commit phase if push_only is enabled
        # In that case, we will only try to push
        if not push_only:
            # Add</t>
  </si>
  <si>
    <t xml:space="preserve">        # In that case, we will only try to push
        if not push_only:
            # Add
            add = subprocess.run(
                ['git', '-c', 'core.hooksPath=/dev/null', '-c', 'alias.push=push', 'add', '.'],</t>
  </si>
  <si>
    <t xml:space="preserve">            output += add.stdout.decode() + '\n'
            # Commit
            commit = subprocess.run(
                ['git', '-c', 'core.hooksPath=/dev/null', '-c', 'alias.commit=commit', 'commit', '--no-verify', '-m',</t>
  </si>
  <si>
    <t xml:space="preserve">            output += commit.stdout.decode() + '\n'
        # Push
        push_args = ['git', '-c', 'core.hooksPath=/dev/null', '-c', 'alias.push=push', 'push', '--no-verify', GIT_REPO]
        if force_push:</t>
  </si>
  <si>
    <t xml:space="preserve">app = create_app()
# this is the Alembic Config object, which provides
# access to the values within the .ini file in use.
config = context.config
</t>
  </si>
  <si>
    <t>config = context.config
# Interpret the config file for Python logging.
# This line sets up loggers basically.
fileConfig(config.config_file_name, disable_existing_loggers=False)
logger = logging.getLogger("alembic.env")</t>
  </si>
  <si>
    <t>logger = logging.getLogger("alembic.env")
# add your model's MetaData object here
# for 'autogenerate' support
# from myapp import mymodel
# target_metadata = mymodel.Base.metadata
with app.app_context():</t>
  </si>
  <si>
    <t xml:space="preserve">
# other values from the config, defined by the needs of env.py,
# can be acquired:
# my_important_option = config.get_main_option("my_important_option")
# ... etc.
</t>
  </si>
  <si>
    <t xml:space="preserve">
def run_migrations_offline():
    """Run migrations in 'offline' mode.
    This configures the context with just a URL
    and not an Engine, though an Engine is acceptable
    here as well.  By skipping the Engine creation
    we don't even need a DBAPI to be available.
    Calls to context.execute() here emit the given string to the
    script output.
    """
    url = config.get_main_option("sqlalchemy.url")
    context.configure(url=url, target_metadata=target_metadata, literal_binds=True)</t>
  </si>
  <si>
    <t xml:space="preserve">
def run_migrations_online():
    """Run migrations in 'online' mode.
    In this scenario we need to create an Engine
    and associate a connection with the context.
    """
    # this callback is used to prevent an auto-migration from being generated</t>
  </si>
  <si>
    <t xml:space="preserve">    """
    # this callback is used to prevent an auto-migration from being generated
    # when there are no changes to the schema
    # reference: http://alembic.zzzcomputing.com/en/latest/cookbook.html
    def process_revision_directives(context, revision, directives):
        if getattr(config.cmd_opts, "autogenerate", False):</t>
  </si>
  <si>
    <t>"""RM theia-persistent column from assignment
Revision ID: b17b8f54b3af
Revises: 587921276e67
Create Date: 2021-08-17 15:55:47.478660
"""
import sqlalchemy as sa
from alembic import op</t>
  </si>
  <si>
    <t>from sqlalchemy.dialects import mysql
# revision identifiers, used by Alembic.
revision = "b17b8f54b3af"
down_revision = "587921276e67"</t>
  </si>
  <si>
    <t xml:space="preserve">
def upgrade():
    # ### commands auto generated by Alembic - please adjust! ###
    op.drop_column("assignment", "theia_persistent_storage")
    # ### end Alembic commands ###</t>
  </si>
  <si>
    <t xml:space="preserve">    # ### commands auto generated by Alembic - please adjust! ###
    op.drop_column("assignment", "theia_persistent_storage")
    # ### end Alembic commands ###
</t>
  </si>
  <si>
    <t xml:space="preserve">
def downgrade():
    # ### commands auto generated by Alembic - please adjust! ###
    op.add_column(
        "assignment",</t>
  </si>
  <si>
    <t xml:space="preserve">        ),
    )
    # ### end Alembic commands ###</t>
  </si>
  <si>
    <t>"""ADD questions_assigned to assignment
Revision ID: 22b0d9fdb52f
Revises: c8cb0e5a0950
Create Date: 2021-10-23 17:56:33.803919
"""
import sqlalchemy as sa
from alembic import op</t>
  </si>
  <si>
    <t>from alembic import op
# revision identifiers, used by Alembic.
revision = "22b0d9fdb52f"
down_revision = "c8cb0e5a0950"</t>
  </si>
  <si>
    <t xml:space="preserve">
def upgrade():
    # ### commands auto generated by Alembic - please adjust! ###
    op.add_column(
        "assignment",</t>
  </si>
  <si>
    <t xml:space="preserve">    with conn.begin():
        conn.execute("update `assignment` set questions_assigned=1;")
    # ### end Alembic commands ###
</t>
  </si>
  <si>
    <t xml:space="preserve">
def downgrade():
    # ### commands auto generated by Alembic - please adjust! ###
    op.drop_column("assignment", "questions_assigned")
    # ### end Alembic commands ###</t>
  </si>
  <si>
    <t xml:space="preserve">    # ### commands auto generated by Alembic - please adjust! ###
    op.drop_column("assignment", "questions_assigned")
    # ### end Alembic commands ###</t>
  </si>
  <si>
    <t>"""ADD repo ta team
Revision ID: 58166a4719aa
Revises: 7bce3314f2d8
Create Date: 2022-01-15 20:29:16.361481
"""
from alembic import op
import sqlalchemy as sa</t>
  </si>
  <si>
    <t xml:space="preserve">
# revision identifiers, used by Alembic.
revision = "58166a4719aa"
down_revision = "7bce3314f2d8"</t>
  </si>
  <si>
    <t xml:space="preserve">
def upgrade():
    # ### commands auto generated by Alembic - please adjust! ###
    op.add_column(
        "assignment_repo",</t>
  </si>
  <si>
    <t xml:space="preserve">        conn.execute('update assignment_repo set ta_configured = 1;')
        conn.execute('update course set github_ta_team_slug = \'tas\';')
    # ### end Alembic commands ###
</t>
  </si>
  <si>
    <t xml:space="preserve">
def downgrade():
    # ### commands auto generated by Alembic - please adjust! ###
    op.drop_column("course", "github_ta_team_slug")
    op.drop_column("assignment_repo", "ta_configured")</t>
  </si>
  <si>
    <t xml:space="preserve">    op.drop_column("course", "github_ta_team_slug")
    op.drop_column("assignment_repo", "ta_configured")
    # ### end Alembic commands ###</t>
  </si>
  <si>
    <t>"""ADD theia options to assignment and course
Revision ID: 4331be83342a
Revises: d8b8114e003a
Create Date: 2021-04-27 14:19:24.005972
"""
import sqlalchemy as sa
from alembic import op</t>
  </si>
  <si>
    <t>from alembic import op
# revision identifiers, used by Alembic.
revision = "4331be83342a"
down_revision = "d8b8114e003a"</t>
  </si>
  <si>
    <t xml:space="preserve">
def upgrade():
    # ### commands auto generated by Alembic - please adjust! ###
    op.add_column("assignment", sa.Column("theia_options", sa.JSON(), nullable=True))
    op.add_column("course", sa.Column("theia_default_image", sa.TEXT(), nullable=False))</t>
  </si>
  <si>
    <t xml:space="preserve">        conn.execute("update course set theia_default_image = 'registry.digitalocean.com/anubis/theia-cpp';")
        conn.execute("update course set theia_default_options = '{}';")
    # ### end Alembic commands ###
</t>
  </si>
  <si>
    <t xml:space="preserve">
def downgrade():
    # ### commands auto generated by Alembic - please adjust! ###
    op.drop_column("course", "theia_default_options")
    op.drop_column("course", "theia_default_image")</t>
  </si>
  <si>
    <t xml:space="preserve">    op.drop_column("course", "theia_default_image")
    op.drop_column("assignment", "theia_options")
    # ### end Alembic commands ###</t>
  </si>
  <si>
    <t>"""ADD email
Revision ID: 4f7efe8d8177
Revises: 70bf8c2bf6a4
Create Date: 2022-08-26 12:54:44.980069
"""
import sqlalchemy as sa
from alembic import op</t>
  </si>
  <si>
    <t>from sqlalchemy.dialects import mysql
# revision identifiers, used by Alembic.
revision = "4f7efe8d8177"
down_revision = "70bf8c2bf6a4"</t>
  </si>
  <si>
    <t xml:space="preserve">
def upgrade():
    # ### commands auto generated by Alembic - please adjust! ###
    conn = op.get_bind()</t>
  </si>
  <si>
    <t xml:space="preserve">    op.alter_column('user', 'deadline_email_enabled', type_=sa.Boolean(), nullable=False)
    op.alter_column('user', 'release_email_enabled', type_=sa.Boolean(), nullable=False)
    # ### end Alembic commands ###
</t>
  </si>
  <si>
    <t xml:space="preserve">
def downgrade():
    # ### commands auto generated by Alembic - please adjust! ###
    op.drop_column("user", "release_email_enabled")
    op.drop_column("user", "deadline_email_enabled")</t>
  </si>
  <si>
    <t xml:space="preserve">    op.drop_index(op.f("ix_email_template_key"), table_name="email_template")
    op.drop_table("email_template")
    # ### end Alembic commands ###</t>
  </si>
  <si>
    <t>"""ADD theia_image 
Revision ID: a143a9fa5199
Revises: 11d4896fa6d1
Create Date: 2021-12-19 15:54:54.108047
"""
from alembic import op
import sqlalchemy as sa</t>
  </si>
  <si>
    <t xml:space="preserve">
# revision identifiers, used by Alembic.
revision = "a143a9fa5199"
down_revision = "11d4896fa6d1"</t>
  </si>
  <si>
    <t xml:space="preserve">
def upgrade():
    # ### commands auto generated by Alembic - please adjust! ###
    op.create_table(
        "theia_image_tag",</t>
  </si>
  <si>
    <t xml:space="preserve">    )
    op.create_foreign_key(None, "theia_session", "theia_image_tag", ["image_tag_id"], ["id"])
    # ### end Alembic commands ###
</t>
  </si>
  <si>
    <t xml:space="preserve">
def downgrade():
    # ### commands auto generated by Alembic - please adjust! ###
    op.drop_constraint(None, "theia_session", type_="foreignkey")
    op.drop_column("theia_session", "image_tag_id")</t>
  </si>
  <si>
    <t xml:space="preserve">    op.drop_column("assignment", "theia_image_tag_id")
    op.drop_table("theia_image_tag")
    # ### end Alembic commands ###</t>
  </si>
  <si>
    <t>"""ADD theia session docker column
Revision ID: 2faa37dff9d0
Revises: d5de41411043
Create Date: 2022-09-19 20:59:20.531115
"""
from alembic import op
import sqlalchemy as sa</t>
  </si>
  <si>
    <t xml:space="preserve">
# revision identifiers, used by Alembic.
revision = "2faa37dff9d0"
down_revision = "d5de41411043"</t>
  </si>
  <si>
    <t xml:space="preserve">
def upgrade():
    # ### commands auto generated by Alembic - please adjust! ###
    op.add_column(
        "theia_session", sa.Column("docker", sa.Boolean(), nullable=True)</t>
  </si>
  <si>
    <t xml:space="preserve">    conn = op.get_bind()
    conn.execute('UPDATE `theia_session` SET `docker` = 0;')
    # ### end Alembic commands ###
</t>
  </si>
  <si>
    <t xml:space="preserve">
def downgrade():
    # ### commands auto generated by Alembic - please adjust! ###
    op.drop_column("theia_session", "docker")
    # ### end Alembic commands ###</t>
  </si>
  <si>
    <t xml:space="preserve">    # ### commands auto generated by Alembic - please adjust! ###
    op.drop_column("theia_session", "docker")
    # ### end Alembic commands ###</t>
  </si>
  <si>
    <t>"""ADD ta_for and professor_for tables
Revision ID: 3d972cfa5be9
Revises: b99d63327de0
Create Date: 2021-04-27 14:47:30.881951
"""
import sqlalchemy as sa
from alembic import op</t>
  </si>
  <si>
    <t>from sqlalchemy.dialects import mysql
# revision identifiers, used by Alembic.
revision = "3d972cfa5be9"
down_revision = "b99d63327de0"</t>
  </si>
  <si>
    <t xml:space="preserve">
def upgrade():
    # ### commands auto generated by Alembic - please adjust! ###
    op.create_table(
        "professor_for_course",</t>
  </si>
  <si>
    <t xml:space="preserve">    op.alter_column("course", "professor", existing_type=mysql.MEDIUMTEXT(), nullable=False)
    op.drop_column("user", "is_admin")
    # ### end Alembic commands ###
</t>
  </si>
  <si>
    <t xml:space="preserve">
def downgrade():
    # ### commands auto generated by Alembic - please adjust! ###
    op.add_column(
        "user",</t>
  </si>
  <si>
    <t xml:space="preserve">    op.drop_table("ta_for_course")
    op.drop_table("professor_for_course")
    # ### end Alembic commands ###</t>
  </si>
  <si>
    <t>"""ADD course display visuals option
Revision ID: c87807debbda
Revises: 86296424818b
Create Date: 2021-09-19 11:42:56.766233
"""
import sqlalchemy as sa
from alembic import op</t>
  </si>
  <si>
    <t>from alembic import op
# revision identifiers, used by Alembic.
revision = "c87807debbda"
down_revision = "86296424818b"</t>
  </si>
  <si>
    <t xml:space="preserve">
def upgrade():
    # ### commands auto generated by Alembic - please adjust! ###
    op.add_column("course", sa.Column("display_visuals", sa.Boolean(), nullable=True))
    conn = op.get_bind()</t>
  </si>
  <si>
    <t xml:space="preserve">    with conn.begin():
        conn.execute("update course set display_visuals = 0;")
    # ### end Alembic commands ###
</t>
  </si>
  <si>
    <t xml:space="preserve">
def downgrade():
    # ### commands auto generated by Alembic - please adjust! ###
    op.drop_column("course", "display_visuals")
    # ### end Alembic commands ###</t>
  </si>
  <si>
    <t xml:space="preserve">    # ### commands auto generated by Alembic - please adjust! ###
    op.drop_column("course", "display_visuals")
    # ### end Alembic commands ###</t>
  </si>
  <si>
    <t>"""INIT
Revision ID: 0be9593348ba
Revises:
Create Date: 2021-01-08 20:02:32.175135
"""
import sqlalchemy as sa
from alembic import op</t>
  </si>
  <si>
    <t>from alembic import op
# revision identifiers, used by Alembic.
revision = "0be9593348ba"
down_revision = None</t>
  </si>
  <si>
    <t xml:space="preserve">
def upgrade():
    # ### commands auto generated by Alembic - please adjust! ###
    op.create_table(
        "anubis_config",</t>
  </si>
  <si>
    <t xml:space="preserve">        mysql_collate="utf8mb4_general_ci",
    )
    # ### end Alembic commands ###
</t>
  </si>
  <si>
    <t xml:space="preserve">
def downgrade():
    # ### commands auto generated by Alembic - please adjust! ###
    op.drop_table("submission_test_result")
    op.drop_index(op.f("ix_submission_build_submission_id"), table_name="submission_build")</t>
  </si>
  <si>
    <t xml:space="preserve">    op.drop_table("course")
    op.drop_table("config")
    # ### end Alembic commands ###</t>
  </si>
  <si>
    <t>"""ADD autograde_tests_repo
Revision ID: 31dc6a1a6759
Revises: 716e3e14891d
Create Date: 2021-05-20 20:57:40.110207
"""
import sqlalchemy as sa
from alembic import op</t>
  </si>
  <si>
    <t>from alembic import op
# revision identifiers, used by Alembic.
revision = "31dc6a1a6759"
down_revision = "716e3e14891d"</t>
  </si>
  <si>
    <t xml:space="preserve">
def upgrade():
    # ### commands auto generated by Alembic - please adjust! ###
    op.add_column(
        "course",</t>
  </si>
  <si>
    <t xml:space="preserve">        ),
    )
    # ### end Alembic commands ###
</t>
  </si>
  <si>
    <t xml:space="preserve">
def downgrade():
    # ### commands auto generated by Alembic - please adjust! ###
    op.drop_column("course", "autograde_tests_repo")
    # ### end Alembic commands ###</t>
  </si>
  <si>
    <t xml:space="preserve">    # ### commands auto generated by Alembic - please adjust! ###
    op.drop_column("course", "autograde_tests_repo")
    # ### end Alembic commands ###</t>
  </si>
  <si>
    <t>"""ADD lecture notes
Revision ID: c9f4c87534a5
Revises: 3890c28bd2cb
Create Date: 2021-06-27 22:56:28.498800
"""
import sqlalchemy as sa
from alembic import op</t>
  </si>
  <si>
    <t>from alembic import op
# revision identifiers, used by Alembic.
revision = "c9f4c87534a5"
down_revision = "3890c28bd2cb"</t>
  </si>
  <si>
    <t xml:space="preserve">
def upgrade():
    # ### commands auto generated by Alembic - please adjust! ###
    op.create_table(
        "lecture_notes",</t>
  </si>
  <si>
    <t xml:space="preserve">        unique=False,
    )
    # ### end Alembic commands ###
</t>
  </si>
  <si>
    <t xml:space="preserve">
def downgrade():
    # ### commands auto generated by Alembic - please adjust! ###
    op.drop_index(op.f("ix_assignment_pipeline_image"), table_name="assignment")
    op.drop_index(op.f("ix_assignment_name"), table_name="assignment")</t>
  </si>
  <si>
    <t xml:space="preserve">    op.drop_index(op.f("ix_lecture_notes_course_id"), table_name="lecture_notes")
    op.drop_table("lecture_notes")
    # ### end Alembic commands ###</t>
  </si>
  <si>
    <t>"""ADD forums
Revision ID: 7a2f58a7654f
Revises: a143a9fa5199
Create Date: 2022-01-15 00:14:59.294251
"""
from alembic import op
import sqlalchemy as sa</t>
  </si>
  <si>
    <t xml:space="preserve">
# revision identifiers, used by Alembic.
revision = "7a2f58a7654f"
down_revision = "a143a9fa5199"</t>
  </si>
  <si>
    <t xml:space="preserve">
def upgrade():
    # ### commands auto generated by Alembic - please adjust! ###
    op.create_table(
        "forum_category",</t>
  </si>
  <si>
    <t xml:space="preserve">
def downgrade():
    # ### commands auto generated by Alembic - please adjust! ###
    op.drop_table("forum_post_viewed")
    op.drop_table("forum_post_upvote")</t>
  </si>
  <si>
    <t xml:space="preserve">    op.drop_table("forum_post")
    op.drop_table("forum_category")
    # ### end Alembic commands ###</t>
  </si>
  <si>
    <t xml:space="preserve">"""CHG uuid primary keys
Revision ID: 8099d1e3fafb
Revises: bdc6f7395c95
Create Date: 2022-07-22 21:35:49.253267
"""
import uuid
</t>
  </si>
  <si>
    <t>from alembic import op
# revision identifiers, used by Alembic.
revision = "8099d1e3fafb"
down_revision = "bdc6f7395c95"</t>
  </si>
  <si>
    <t xml:space="preserve">            break
        del items  # help gc
        i += 1
</t>
  </si>
  <si>
    <t>"""ADD hide_due_date
Revision ID: fff88033d4f9
Revises: a242e0e21f3e
Create Date: 2021-08-24 23:35:54.420050
"""
import sqlalchemy as sa
from alembic import op</t>
  </si>
  <si>
    <t>from sqlalchemy.dialects import mysql
# revision identifiers, used by Alembic.
revision = "fff88033d4f9"
down_revision = "a242e0e21f3e"</t>
  </si>
  <si>
    <t xml:space="preserve">
def upgrade():
    # ### commands auto generated by Alembic - please adjust! ###
    op.add_column("assignment", sa.Column("hide_due_date", sa.Boolean(), nullable=True))
    op.alter_column(</t>
  </si>
  <si>
    <t xml:space="preserve">    with conn.begin():
        conn.execute("update assignment set hide_due_date = 0;")
    # ### end Alembic commands ###
</t>
  </si>
  <si>
    <t xml:space="preserve">
def downgrade():
    # ### commands auto generated by Alembic - please adjust! ###
    op.alter_column(
        "assignment_repo",</t>
  </si>
  <si>
    <t xml:space="preserve">    )
    op.drop_column("assignment", "hide_due_date")
    # ### end Alembic commands ###</t>
  </si>
  <si>
    <t>"""ADD late_exceptions
Revision ID: 716e3e14891d
Revises: a622f56b9050
Create Date: 2021-05-19 22:20:35.197173
"""
import sqlalchemy as sa
from alembic import op</t>
  </si>
  <si>
    <t>from alembic import op
# revision identifiers, used by Alembic.
revision = "716e3e14891d"
down_revision = "a622f56b9050"</t>
  </si>
  <si>
    <t xml:space="preserve">
def upgrade():
    # ### commands auto generated by Alembic - please adjust! ###
    op.create_table(
        "late_exception",</t>
  </si>
  <si>
    <t xml:space="preserve">
def downgrade():
    # ### commands auto generated by Alembic - please adjust! ###
    op.drop_table("late_exception")
    # ### end Alembic commands ###</t>
  </si>
  <si>
    <t xml:space="preserve">    # ### commands auto generated by Alembic - please adjust! ###
    op.drop_table("late_exception")
    # ### end Alembic commands ###</t>
  </si>
  <si>
    <t>"""ADD sequential response tracking
Revision ID: 3327ed0f2e0f
Revises: 24999cac49d5
Create Date: 2021-04-01 00:30:31.115702
"""
from hashlib import sha256
from os import urandom</t>
  </si>
  <si>
    <t>from sqlalchemy.dialects import mysql
# revision identifiers, used by Alembic.
revision = "3327ed0f2e0f"
down_revision = "24999cac49d5"</t>
  </si>
  <si>
    <t xml:space="preserve">
def upgrade():
    # ### commands auto generated by Alembic - please adjust! ###
    op.create_table(
        "assigned_student_response",</t>
  </si>
  <si>
    <t xml:space="preserve">    move_responses_up()
    op.drop_column("assigned_student_question", "response")
    # ### end Alembic commands ###
</t>
  </si>
  <si>
    <t xml:space="preserve">
def downgrade():
    # ### commands auto generated by Alembic - please adjust! ###
    op.add_column(
        "assigned_student_question",</t>
  </si>
  <si>
    <t xml:space="preserve">    move_responses_down()
    op.drop_table("assigned_student_response")
    # ### end Alembic commands ###</t>
  </si>
  <si>
    <t>"""ADD playground column
Revision ID: f201544d8948
Revises: 7ffbd4403838
Create Date: 2021-12-18 19:43:03.453266
"""
from alembic import op
import sqlalchemy as sa</t>
  </si>
  <si>
    <t xml:space="preserve">
# revision identifiers, used by Alembic.
revision = "f201544d8948"
down_revision = "7ffbd4403838"</t>
  </si>
  <si>
    <t xml:space="preserve">
def upgrade():
    # ### commands auto generated by Alembic - please adjust! ###
    op.add_column("theia_session", sa.Column("playground", sa.Boolean(), nullable=True))
    conn = op.get_bind()</t>
  </si>
  <si>
    <t xml:space="preserve">    with conn.begin():
        conn.execute("UPDATE theia_session SET playground = 0;")
    # ### end Alembic commands ###
</t>
  </si>
  <si>
    <t xml:space="preserve">
def downgrade():
    # ### commands auto generated by Alembic - please adjust! ###
    op.drop_column("theia_session", "playground")
    # ### end Alembic commands ###</t>
  </si>
  <si>
    <t xml:space="preserve">    # ### commands auto generated by Alembic - please adjust! ###
    op.drop_column("theia_session", "playground")
    # ### end Alembic commands ###</t>
  </si>
  <si>
    <t>"""ADD assignment email enable
Revision ID: d5de41411043
Revises: 4f7efe8d8177
Create Date: 2022-08-31 17:56:55.711499
"""
from alembic import op
import sqlalchemy as sa</t>
  </si>
  <si>
    <t>from sqlalchemy.dialects import mysql
# revision identifiers, used by Alembic.
revision = "d5de41411043"
down_revision = "4f7efe8d8177"</t>
  </si>
  <si>
    <t xml:space="preserve">    conn.execute('UPDATE `assignment` SET `email_notifications_enabled` = 1;')
    op.alter_column('assignment', 'email_notifications_enabled', type_=sa.Boolean(), nullable=False)
    # ### end Alembic commands ###
</t>
  </si>
  <si>
    <t xml:space="preserve">
def downgrade():
    # ### commands auto generated by Alembic - please adjust! ###
    op.drop_column("assignment", "email_notifications_enabled")
    # ### end Alembic commands ###</t>
  </si>
  <si>
    <t xml:space="preserve">    # ### commands auto generated by Alembic - please adjust! ###
    op.drop_column("assignment", "email_notifications_enabled")
    # ### end Alembic commands ###</t>
  </si>
  <si>
    <t>"""DEL uncompressed blobs
Revision ID: 58bdacf47c81
Revises: 83eae1b04c47
Create Date: 2021-12-05 11:36:53.083443
"""
import sqlalchemy as sa
from alembic import op</t>
  </si>
  <si>
    <t>from sqlalchemy.dialects import mysql
# revision identifiers, used by Alembic.
revision = "58bdacf47c81"
down_revision = "83eae1b04c47"</t>
  </si>
  <si>
    <t xml:space="preserve">def upgrade():
    op.drop_column("static_file", "blob")
    # op.drop_column("submission_build", "stdout")
    # op.drop_column("submission_test_result", "stdout")
</t>
  </si>
  <si>
    <t xml:space="preserve">
def downgrade():
    # op.add_column(
    #     "submission_test_result",
    #     sa.Column(
    #         "stdout", mysql.TEXT(collation="utf8mb4_unicode_ci"), nullable=True
    #     ),
    # )
    # op.add_column(
    #     "submission_build",
    #     sa.Column(
    #         "stdout", mysql.TEXT(collation="utf8mb4_unicode_ci"), nullable=True
    #     ),
    # )
    op.add_column("static_file", sa.Column("blob", mysql.LONGBLOB(), nullable=True))</t>
  </si>
  <si>
    <t>"""ADD test points
Revision ID: df5aa182233f
Revises: 074fa1ed980b
Create Date: 2022-01-15 21:28:49.796788
"""
import sqlalchemy as sa
from alembic import op</t>
  </si>
  <si>
    <t>from alembic import op
# revision identifiers, used by Alembic.
revision = "df5aa182233f"
down_revision = "074fa1ed980b"</t>
  </si>
  <si>
    <t xml:space="preserve">
def upgrade():
    # ### commands auto generated by Alembic - please adjust! ###
    op.add_column(
        "assignment_test", sa.Column("points", sa.Integer(), nullable=True)</t>
  </si>
  <si>
    <t xml:space="preserve">    conn = op.get_bind()
    conn.execute('update assignment_test set points = 10;')
    # ### end Alembic commands ###
</t>
  </si>
  <si>
    <t xml:space="preserve">
def downgrade():
    # ### commands auto generated by Alembic - please adjust! ###
    op.drop_column("assignment_test", "points")
    # ### end Alembic commands ###</t>
  </si>
  <si>
    <t xml:space="preserve">    # ### commands auto generated by Alembic - please adjust! ###
    op.drop_column("assignment_test", "points")
    # ### end Alembic commands ###</t>
  </si>
  <si>
    <t>"""ADD custom join code
Revision ID: 3890c28bd2cb
Revises: 2af8f3918f87
Create Date: 2021-06-13 09:28:47.780360
"""
import sqlalchemy as sa
from alembic import op</t>
  </si>
  <si>
    <t>from alembic import op
# revision identifiers, used by Alembic.
revision = "3890c28bd2cb"
down_revision = "2af8f3918f87"</t>
  </si>
  <si>
    <t xml:space="preserve">
def upgrade():
    # ### commands auto generated by Alembic - please adjust! ###
    op.add_column("course", sa.Column("join_code", sa.String(length=256), nullable=True))
    op.create_unique_constraint(None, "course", ["join_code"])</t>
  </si>
  <si>
    <t xml:space="preserve">    op.add_column("course", sa.Column("join_code", sa.String(length=256), nullable=True))
    op.create_unique_constraint(None, "course", ["join_code"])
    # ### end Alembic commands ###
</t>
  </si>
  <si>
    <t xml:space="preserve">
def downgrade():
    # ### commands auto generated by Alembic - please adjust! ###
    op.drop_column("course", "join_code")
    # ### end Alembic commands ###</t>
  </si>
  <si>
    <t xml:space="preserve">    # ### commands auto generated by Alembic - please adjust! ###
    op.drop_column("course", "join_code")
    # ### end Alembic commands ###</t>
  </si>
  <si>
    <t>"""CHG theia options columns
Revision ID: 587921276e67
Revises: 1a6dbe1012b5
Create Date: 2021-08-17 14:30:42.820235
"""
import sqlalchemy as sa
from alembic import op</t>
  </si>
  <si>
    <t>from sqlalchemy.dialects import mysql
# revision identifiers, used by Alembic.
revision = "587921276e67"
down_revision = "1a6dbe1012b5"</t>
  </si>
  <si>
    <t xml:space="preserve">
def upgrade():
    # ### commands auto generated by Alembic - please adjust! ###
    op.add_column("theia_session", sa.Column("resources", sa.JSON(), nullable=True))
    op.add_column(</t>
  </si>
  <si>
    <t xml:space="preserve">    op.add_column("theia_session", sa.Column("persistent_storage", sa.Boolean(), nullable=True))
    op.drop_column("theia_session", "options")
    # ### end Alembic commands ###
</t>
  </si>
  <si>
    <t xml:space="preserve">
def downgrade():
    # ### commands auto generated by Alembic - please adjust! ###
    op.add_column(
        "theia_session",</t>
  </si>
  <si>
    <t xml:space="preserve">    op.drop_column("theia_session", "resources")
    op.drop_column("theia_session", "persistent_storage")
    # ### end Alembic commands ###</t>
  </si>
  <si>
    <t>"""ADD timestamps to assignment questions
Revision ID: 24999cac49d5
Revises: 265635dac5b6
Create Date: 2021-03-21 12:35:43.926002
"""
import sqlalchemy as sa
from alembic import op</t>
  </si>
  <si>
    <t>from alembic import op
# revision identifiers, used by Alembic.
revision = "24999cac49d5"
down_revision = "265635dac5b6"</t>
  </si>
  <si>
    <t xml:space="preserve">
def upgrade():
    # ### commands auto generated by Alembic - please adjust! ###
    op.add_column(
        "assignment_question",</t>
  </si>
  <si>
    <t xml:space="preserve">        sa.Column("last_updated", sa.DateTime(), nullable=True),
    )
    # ### end Alembic commands ###
</t>
  </si>
  <si>
    <t xml:space="preserve">
def downgrade():
    # ### commands auto generated by Alembic - please adjust! ###
    op.drop_column("assignment_question", "last_updated")
    op.drop_column("assignment_question", "created")</t>
  </si>
  <si>
    <t xml:space="preserve">    op.drop_column("assignment_question", "last_updated")
    op.drop_column("assignment_question", "created")
    # ### end Alembic commands ###</t>
  </si>
  <si>
    <t>"""ADD beta_ui_enabled to course
Revision ID: 99e32b8689c9
Revises: 22b0d9fdb52f
Create Date: 2021-11-09 19:36:03.097041
"""
from alembic import op
import sqlalchemy as sa</t>
  </si>
  <si>
    <t xml:space="preserve">
# revision identifiers, used by Alembic.
revision = "99e32b8689c9"
down_revision = "22b0d9fdb52f"</t>
  </si>
  <si>
    <t xml:space="preserve">
def upgrade():
    # ### commands auto generated by Alembic - please adjust! ###
    op.add_column("course", sa.Column("beta_ui_enabled", sa.Boolean(), nullable=True))
    conn = op.get_bind()</t>
  </si>
  <si>
    <t xml:space="preserve">    with conn.begin():
        conn.execute("update course set beta_ui_enabled = 0;")
    # ### end Alembic commands ###
</t>
  </si>
  <si>
    <t xml:space="preserve">
def downgrade():
    # ### commands auto generated by Alembic - please adjust! ###
    op.drop_column("course", "beta_ui_enabled")
    # ### end Alembic commands ###</t>
  </si>
  <si>
    <t xml:space="preserve">    # ### commands auto generated by Alembic - please adjust! ###
    op.drop_column("course", "beta_ui_enabled")
    # ### end Alembic commands ###</t>
  </si>
  <si>
    <t>"""ADD hidden to assignment tests
Revision ID: d8b8114e003a
Revises: 3327ed0f2e0f
Create Date: 2021-04-13 11:44:17.221824
"""
import sqlalchemy as sa
from alembic import op</t>
  </si>
  <si>
    <t>from alembic import op
# revision identifiers, used by Alembic.
revision = "d8b8114e003a"
down_revision = "3327ed0f2e0f"</t>
  </si>
  <si>
    <t xml:space="preserve">
def upgrade():
    # ### commands auto generated by Alembic - please adjust! ###
    op.add_column("assignment_test", sa.Column("hidden", sa.Boolean(), default=False))
    conn = op.get_bind()</t>
  </si>
  <si>
    <t xml:space="preserve">    with conn.begin():
        conn.execute("update assignment_test set hidden = 0;")
    # ### end Alembic commands ###
</t>
  </si>
  <si>
    <t xml:space="preserve">
def downgrade():
    # ### commands auto generated by Alembic - please adjust! ###
    op.drop_column("assignment_test", "hidden")
    # ### end Alembic commands ###</t>
  </si>
  <si>
    <t xml:space="preserve">    # ### commands auto generated by Alembic - please adjust! ###
    op.drop_column("assignment_test", "hidden")
    # ### end Alembic commands ###</t>
  </si>
  <si>
    <t>"""ADD default config values
Revision ID: 3150c9c06ea5
Revises: c87807debbda
Create Date: 2021-09-25 14:10:56.323603
"""
import sqlalchemy as sa
from alembic import op</t>
  </si>
  <si>
    <t>from alembic import op
# revision identifiers, used by Alembic.
revision = "3150c9c06ea5"
down_revision = "c87807debbda"</t>
  </si>
  <si>
    <t>"""RM github-classrooms
Revision ID: 2d4e34d460e8
Revises: b17b8f54b3af
Create Date: 2021-08-18 17:04:53.612955
"""
import sqlalchemy as sa
from alembic import op</t>
  </si>
  <si>
    <t>from sqlalchemy.dialects import mysql
# revision identifiers, used by Alembic.
revision = "2d4e34d460e8"
down_revision = "b17b8f54b3af"</t>
  </si>
  <si>
    <t xml:space="preserve">
def upgrade():
    # ### commands auto generated by Alembic - please adjust! ###
    op.add_column("assignment", sa.Column("github_template", sa.TEXT(), nullable=True))
    op.drop_column("assignment", "github_classroom_url")</t>
  </si>
  <si>
    <t xml:space="preserve">    with conn.begin():
        conn.execute("update assignment_repo set repo_created=1, collaborator_configured=1;")
    # ### end Alembic commands ###
</t>
  </si>
  <si>
    <t xml:space="preserve">
def downgrade():
    # ### commands auto generated by Alembic - please adjust! ###
    op.add_column(
        "course",</t>
  </si>
  <si>
    <t xml:space="preserve">    )
    op.drop_column("assignment", "github_template")
    # ### end Alembic commands ###</t>
  </si>
  <si>
    <t>"""ADD TheiaPaste Model
Revision ID: 88db21968c0d
Revises: 8c17dcffa2be
Create Date: 2022-04-06 10:25:20.125746
"""
from alembic import op
import sqlalchemy as sa</t>
  </si>
  <si>
    <t xml:space="preserve">
# revision identifiers, used by Alembic.
revision = "88db21968c0d"
down_revision = "8c17dcffa2be"</t>
  </si>
  <si>
    <t xml:space="preserve">
def upgrade():
    # ### commands auto generated by Alembic - please adjust! ###
    op.create_table(
        "theia_paste",</t>
  </si>
  <si>
    <t xml:space="preserve">    with conn.begin():
        conn.execute('update `assignment` set `anti_cheat_enabled` = 0;')
    # ### end Alembic commands ###
</t>
  </si>
  <si>
    <t xml:space="preserve">
def downgrade():
    # ### commands auto generated by Alembic - please adjust! ###
    op.drop_column("assignment", "anti_cheat_enabled")
    op.drop_index(op.f("ix_theia_paste_user_id"), table_name="theia_paste")</t>
  </si>
  <si>
    <t xml:space="preserve">    )
    op.drop_table("theia_paste")
    # ### end Alembic commands ###</t>
  </si>
  <si>
    <t>"""ADD autograde to theia session
Revision ID: 8834f834adac
Revises: 47ffcba2ffc1
Create Date: 2022-10-16 19:04:15.745743
"""
from alembic import op
import sqlalchemy as sa</t>
  </si>
  <si>
    <t xml:space="preserve">
# revision identifiers, used by Alembic.
revision = "8834f834adac"
down_revision = "47ffcba2ffc1"</t>
  </si>
  <si>
    <t xml:space="preserve">
def upgrade():
    # ### commands auto generated by Alembic - please adjust! ###
    op.add_column(
        "theia_session", sa.Column("autograde", sa.Boolean(), nullable=True)</t>
  </si>
  <si>
    <t xml:space="preserve">    with conn.begin():
        conn.execute('UPDATE `theia_session` SET `autograde` = 0;')
    # ### end Alembic commands ###
</t>
  </si>
  <si>
    <t xml:space="preserve">
def downgrade():
    # ### commands auto generated by Alembic - please adjust! ###
    op.drop_column("theia_session", "autograde")
    # ### end Alembic commands ###</t>
  </si>
  <si>
    <t xml:space="preserve">    # ### commands auto generated by Alembic - please adjust! ###
    op.drop_column("theia_session", "autograde")
    # ### end Alembic commands ###</t>
  </si>
  <si>
    <t>"""ADD github org url
Revision ID: 2af8f3918f87
Revises: 31dc6a1a6759
Create Date: 2021-05-23 10:42:43.278835
"""
import sqlalchemy as sa
from alembic import op</t>
  </si>
  <si>
    <t>from sqlalchemy.dialects import mysql
# revision identifiers, used by Alembic.
revision = "2af8f3918f87"
down_revision = "31dc6a1a6759"</t>
  </si>
  <si>
    <t xml:space="preserve">
def upgrade():
    # ### commands auto generated by Alembic - please adjust! ###
    op.add_column("course", sa.Column("github_org_url", sa.TEXT(), nullable=True))
    op.alter_column(</t>
  </si>
  <si>
    <t xml:space="preserve">    with conn.begin():
        conn.execute("update course set github_org_url = 'https://github.com/os3224';")
    # ### end Alembic commands ###
</t>
  </si>
  <si>
    <t xml:space="preserve">
def downgrade():
    # ### commands auto generated by Alembic - please adjust! ###
    op.alter_column(
        "theia_session",</t>
  </si>
  <si>
    <t xml:space="preserve">    )
    op.drop_column("course", "github_org_url")
    # ### end Alembic commands ###</t>
  </si>
  <si>
    <t>"""ADD theia_image table
Revision ID: 08c5273b4713
Revises: 18b5fce3df50
Create Date: 2021-11-20 21:37:38.639910
"""
from alembic import op
import sqlalchemy as sa</t>
  </si>
  <si>
    <t>import os
# revision identifiers, used by Alembic.
revision = "08c5273b4713"
down_revision = "18b5fce3df50"</t>
  </si>
  <si>
    <t xml:space="preserve">
def upgrade():
    # ### commands auto generated by Alembic - please adjust! ###
    conn = op.get_bind()
    with conn.begin():</t>
  </si>
  <si>
    <t xml:space="preserve">        op.bulk_insert(theia_image_table, images)
        # Handle assignment table
        op.add_column(
            "assignment",</t>
  </si>
  <si>
    <t xml:space="preserve">        op.drop_column("assignment", "theia_image")
        # Handle theia_session table
        op.add_column(
            "theia_session",</t>
  </si>
  <si>
    <t xml:space="preserve">        op.create_foreign_key(None, "theia_session", "theia_image", ["image_id"], ["id"])
        # Handle course table
        op.add_column(
            "course",</t>
  </si>
  <si>
    <t xml:space="preserve">        op.create_foreign_key(None, "course", "theia_image", ["theia_default_image_id"], ["id"])
    # ### end Alembic commands ###
</t>
  </si>
  <si>
    <t xml:space="preserve">    op.drop_constraint(None, "assignment", type_="foreignkey")
    op.drop_table("theia_image")
    # ### end Alembic commands ###</t>
  </si>
  <si>
    <t>"""ADD autograde_enabled to assignment
Revision ID: 452a7485f568
Revises: 3d972cfa5be9
Create Date: 2021-04-27 20:45:32.938022
"""
import sqlalchemy as sa
from alembic import op</t>
  </si>
  <si>
    <t>from alembic import op
# revision identifiers, used by Alembic.
revision = "452a7485f568"
down_revision = "3d972cfa5be9"</t>
  </si>
  <si>
    <t xml:space="preserve">    with conn.begin():
        conn.execute("update assignment set autograde_enabled = 1;")
    # ### end Alembic commands ###
</t>
  </si>
  <si>
    <t xml:space="preserve">
def downgrade():
    # ### commands auto generated by Alembic - please adjust! ###
    op.drop_column("assignment", "autograde_enabled")
    # ### end Alembic commands ###</t>
  </si>
  <si>
    <t xml:space="preserve">    # ### commands auto generated by Alembic - please adjust! ###
    op.drop_column("assignment", "autograde_enabled")
    # ### end Alembic commands ###</t>
  </si>
  <si>
    <t>"""add-theia-options
Revision ID: 265635dac5b6
Revises: 0be9593348ba
Create Date: 2021-01-19 10:52:29.171727
"""
import sqlalchemy as sa
from alembic import op</t>
  </si>
  <si>
    <t>from sqlalchemy.dialects import mysql
# revision identifiers, used by Alembic.
revision = "265635dac5b6"
down_revision = "0be9593348ba"</t>
  </si>
  <si>
    <t xml:space="preserve">
def upgrade():
    # ### commands auto generated by Alembic - please adjust! ###
    context = op.get_context()
</t>
  </si>
  <si>
    <t xml:space="preserve">    op.drop_constraint("theia_session_ibfk_3", "theia_session", type_="foreignkey")
    op.drop_column("theia_session", "repo_id")
    # ### end Alembic commands ###
</t>
  </si>
  <si>
    <t xml:space="preserve">    op.drop_column("theia_session", "image")
    op.drop_column("assignment", "theia_image")
    # ### end Alembic commands ###</t>
  </si>
  <si>
    <t>"""ADD user disabled field
Revision ID: 074fa1ed980b
Revises: 58166a4719aa
Create Date: 2022-01-16 02:09:29.582575
"""
import sqlalchemy as sa
from alembic import op</t>
  </si>
  <si>
    <t>from sqlalchemy.dialects import mysql
# revision identifiers, used by Alembic.
revision = "074fa1ed980b"
down_revision = "58166a4719aa"</t>
  </si>
  <si>
    <t xml:space="preserve">
def upgrade():
    # ### commands auto generated by Alembic - please adjust! ###
    op.add_column("user", sa.Column("disabled", sa.Boolean()))
    conn = op.get_bind()</t>
  </si>
  <si>
    <t xml:space="preserve">        nullable=False,
    )
    # ### end Alembic commands ###
</t>
  </si>
  <si>
    <t xml:space="preserve">
def downgrade():
    # ### commands auto generated by Alembic - please adjust! ###
    op.drop_column("user", "disabled")
    # ### end Alembic commands ###</t>
  </si>
  <si>
    <t xml:space="preserve">    # ### commands auto generated by Alembic - please adjust! ###
    op.drop_column("user", "disabled")
    # ### end Alembic commands ###</t>
  </si>
  <si>
    <t>"""ADD course awareness to static
Revision ID: 51a4f35fc53e
Revises: 452a7485f568
Create Date: 2021-04-27 21:37:27.563873
"""
import sqlalchemy as sa
from alembic import op</t>
  </si>
  <si>
    <t>from alembic import op
# revision identifiers, used by Alembic.
revision = "51a4f35fc53e"
down_revision = "452a7485f568"</t>
  </si>
  <si>
    <t xml:space="preserve">        except TypeError:
            pass
    # ### end Alembic commands ###
</t>
  </si>
  <si>
    <t xml:space="preserve">
def downgrade():
    # ### commands auto generated by Alembic - please adjust! ###
    op.drop_constraint(None, "static_file", type_="foreignkey")
    op.drop_index(op.f("ix_static_file_course_id"), table_name="static_file")</t>
  </si>
  <si>
    <t xml:space="preserve">    op.drop_column("static_file", "course_id")
    op.drop_column("theia_session", "course_id")
    # ### end Alembic commands ###</t>
  </si>
  <si>
    <t>"""CHG replace lecture notes number with post_time
Revision ID: 65be3bf01dae
Revises: c9f4c87534a5
Create Date: 2021-06-30 00:03:49.376357
"""
import sqlalchemy as sa
from alembic import op</t>
  </si>
  <si>
    <t>from sqlalchemy.dialects import mysql
# revision identifiers, used by Alembic.
revision = "65be3bf01dae"
down_revision = "c9f4c87534a5"</t>
  </si>
  <si>
    <t xml:space="preserve">
def upgrade():
    # ### commands auto generated by Alembic - please adjust! ###
    op.add_column("lecture_notes", sa.Column("post_time", sa.DateTime(), nullable=True))
    op.drop_column("lecture_notes", "number")</t>
  </si>
  <si>
    <t xml:space="preserve">    op.add_column("lecture_notes", sa.Column("post_time", sa.DateTime(), nullable=True))
    op.drop_column("lecture_notes", "number")
    # ### end Alembic commands ###
</t>
  </si>
  <si>
    <t xml:space="preserve">
def downgrade():
    # ### commands auto generated by Alembic - please adjust! ###
    op.add_column(
        "lecture_notes",</t>
  </si>
  <si>
    <t xml:space="preserve">    )
    op.drop_column("lecture_notes", "post_time")
    # ### end Alembic commands ###</t>
  </si>
  <si>
    <t>"""ADD anubis developer to user
Revision ID: 5396e908cf7b
Revises: 5ea160112b7e
Create Date: 2022-09-19 21:55:28.169282
"""
from alembic import op
import sqlalchemy as sa</t>
  </si>
  <si>
    <t xml:space="preserve">
# revision identifiers, used by Alembic.
revision = "5396e908cf7b"
down_revision = "5ea160112b7e"</t>
  </si>
  <si>
    <t xml:space="preserve">
def upgrade():
    # ### commands auto generated by Alembic - please adjust! ###
    op.add_column(
        "user", sa.Column("is_anubis_developer", sa.Boolean(), nullable=True)</t>
  </si>
  <si>
    <t xml:space="preserve">        "user", "is_anubis_developer", type_=sa.Boolean(), nullable=False,
    )
    # ### end Alembic commands ###
</t>
  </si>
  <si>
    <t xml:space="preserve">
def downgrade():
    # ### commands auto generated by Alembic - please adjust! ###
    op.drop_column("user", "is_anubis_developer")
    # ### end Alembic commands ###</t>
  </si>
  <si>
    <t xml:space="preserve">    # ### commands auto generated by Alembic - please adjust! ###
    op.drop_column("user", "is_anubis_developer")
    # ### end Alembic commands ###</t>
  </si>
  <si>
    <t>"""ADD admin to theia_session
Revision ID: 2e9cae7411e6
Revises: 08c5273b4713
Create Date: 2021-11-27 13:09:43.138573
"""
from alembic import op
import sqlalchemy as sa</t>
  </si>
  <si>
    <t xml:space="preserve">
# revision identifiers, used by Alembic.
revision = "2e9cae7411e6"
down_revision = "08c5273b4713"</t>
  </si>
  <si>
    <t xml:space="preserve">
def upgrade():
    # ### commands auto generated by Alembic - please adjust! ###
    op.add_column("theia_session", sa.Column("admin", sa.Boolean(), nullable=True))
    conn = op.get_bind()</t>
  </si>
  <si>
    <t xml:space="preserve">    with conn.begin():
        conn.execute("UPDATE theia_session SET `admin` = 0;")
    # ### end Alembic commands ###
</t>
  </si>
  <si>
    <t xml:space="preserve">
def downgrade():
    # ### commands auto generated by Alembic - please adjust! ###
    op.drop_column("theia_session", "admin")
    # ### end Alembic commands ###</t>
  </si>
  <si>
    <t xml:space="preserve">    # ### commands auto generated by Alembic - please adjust! ###
    op.drop_column("theia_session", "admin")
    # ### end Alembic commands ###</t>
  </si>
  <si>
    <t>"""ADD assignment repo timestamps
Revision ID: 145674891fee
Revises: 2d4e34d460e8
Create Date: 2021-08-18 17:31:05.045961
"""
import sqlalchemy as sa
from alembic import op</t>
  </si>
  <si>
    <t>from alembic import op
# revision identifiers, used by Alembic.
revision = "145674891fee"
down_revision = "2d4e34d460e8"</t>
  </si>
  <si>
    <t xml:space="preserve">
def downgrade():
    # ### commands auto generated by Alembic - please adjust! ###
    op.drop_column("assignment_repo", "last_updated")
    op.drop_column("assignment_repo", "created")</t>
  </si>
  <si>
    <t xml:space="preserve">    op.drop_column("assignment_repo", "last_updated")
    op.drop_column("assignment_repo", "created")
    # ### end Alembic commands ###</t>
  </si>
  <si>
    <t>"""CHG course_id nullable for session
Revision ID: 11d4896fa6d1
Revises: f201544d8948
Create Date: 2021-12-18 21:01:07.519890
"""
from alembic import op
import sqlalchemy as sa</t>
  </si>
  <si>
    <t>from sqlalchemy.dialects import mysql
# revision identifiers, used by Alembic.
revision = "11d4896fa6d1"
down_revision = "f201544d8948"</t>
  </si>
  <si>
    <t xml:space="preserve">
def upgrade():
    # ### commands auto generated by Alembic - please adjust! ###
    op.alter_column(
        "theia_session",</t>
  </si>
  <si>
    <t xml:space="preserve">        nullable=True,
    )
    # ### end Alembic commands ###
</t>
  </si>
  <si>
    <t xml:space="preserve">        nullable=False,
    )
    # ### end Alembic commands ###</t>
  </si>
  <si>
    <t>"""CHG compress blobs
Revision ID: 023ee1a8f6cd
Revises: 2e9cae7411e6
Create Date: 2021-12-05 10:47:10.420875
"""
import sqlalchemy as sa</t>
  </si>
  <si>
    <t>from alembic import op
# revision identifiers, used by Alembic.
revision = "023ee1a8f6cd"
down_revision = "2e9cae7411e6"</t>
  </si>
  <si>
    <t xml:space="preserve">
def upgrade():
    # ### commands auto generated by Alembic - please adjust! ###
    op.add_column(
        "static_file",</t>
  </si>
  <si>
    <t xml:space="preserve">        sa.Column("_blob", sa.LargeBinary(length=4294967295), nullable=True),
    )
    # op.add_column(
    #     "submission_build", sa.Column("_stdout", sa.LargeBinary(65535), nullable=True)
    # )
    # op.add_column(
    #     "submission_test_result",
    #     sa.Column("_stdout", sa.LargeBinary(65535), nullable=True),
    # )
    # ### end Alembic commands ###
</t>
  </si>
  <si>
    <t xml:space="preserve">
def downgrade():
    # ### commands auto generated by Alembic - please adjust! ###
    # op.drop_column("submission_test_result", "_stdout")
    # op.drop_column("submission_build", "_stdout")
    op.drop_column("static_file", "_blob")
    # ### end Alembic commands ###</t>
  </si>
  <si>
    <t xml:space="preserve">    # op.drop_column("submission_build", "_stdout")
    op.drop_column("static_file", "_blob")
    # ### end Alembic commands ###</t>
  </si>
  <si>
    <t>"""RM unused course column
Revision ID: 592c0d556edf
Revises: 145674891fee
Create Date: 2021-08-22 21:05:54.460988
"""
import sqlalchemy as sa
from alembic import op</t>
  </si>
  <si>
    <t>from sqlalchemy.dialects import mysql
# revision identifiers, used by Alembic.
revision = "592c0d556edf"
down_revision = "145674891fee"</t>
  </si>
  <si>
    <t xml:space="preserve">
def upgrade():
    # ### commands auto generated by Alembic - please adjust! ###
    op.drop_column("course", "theia_persistent_storage")
    # ### end Alembic commands ###</t>
  </si>
  <si>
    <t xml:space="preserve">    # ### commands auto generated by Alembic - please adjust! ###
    op.drop_column("course", "theia_persistent_storage")
    # ### end Alembic commands ###
</t>
  </si>
  <si>
    <t>"""ADD parent_id to comment
Revision ID: 400b53e79568
Revises: df5aa182233f
Create Date: 2022-01-17 14:40:22.822728
"""
from alembic import op
import sqlalchemy as sa</t>
  </si>
  <si>
    <t>from sqlalchemy.dialects import mysql
# revision identifiers, used by Alembic.
revision = "400b53e79568"
down_revision = "df5aa182233f"</t>
  </si>
  <si>
    <t xml:space="preserve">
def upgrade():
    # ### commands auto generated by Alembic - please adjust! ###
    op.add_column(
        "forum_post_comment",</t>
  </si>
  <si>
    <t xml:space="preserve">    )
    op.drop_column("forum_post_comment", "next_id")
    # ### end Alembic commands ###
</t>
  </si>
  <si>
    <t xml:space="preserve">
def downgrade():
    # ### commands auto generated by Alembic - please adjust! ###
    op.add_column(
        "forum_post_comment",</t>
  </si>
  <si>
    <t xml:space="preserve">    )
    op.drop_column("forum_post_comment", "parent_id")
    # ### end Alembic commands ###</t>
  </si>
  <si>
    <t>"""ADD submission id to theia session
Revision ID: 2b1fe6792b7a
Revises: 8834f834adac
Create Date: 2022-10-16 19:05:25.953177
"""
from alembic import op
import sqlalchemy as sa</t>
  </si>
  <si>
    <t>from sqlalchemy.dialects import mysql
# revision identifiers, used by Alembic.
revision = "2b1fe6792b7a"
down_revision = "8834f834adac"</t>
  </si>
  <si>
    <t xml:space="preserve">
def upgrade():
    # ### commands auto generated by Alembic - please adjust! ###
    op.add_column(
        "theia_session",</t>
  </si>
  <si>
    <t xml:space="preserve">    with conn.begin():
        conn.execute('UPDATE `theia_session` SET `submission_id` = NULL;')
    # ### end Alembic commands ###
</t>
  </si>
  <si>
    <t xml:space="preserve">
def downgrade():
    # ### commands auto generated by Alembic - please adjust! ###
    op.drop_constraint(None, "theia_session", type_="foreignkey")
    op.drop_column("theia_session", "submission_id")</t>
  </si>
  <si>
    <t xml:space="preserve">    op.drop_constraint(None, "theia_session", type_="foreignkey")
    op.drop_column("theia_session", "submission_id")
    # ### end Alembic commands ###</t>
  </si>
  <si>
    <t>"""ADD pipeline_log
Revision ID: 47ffcba2ffc1
Revises: 5396e908cf7b
Create Date: 2022-09-22 20:03:07.508654
"""
from alembic import op
import sqlalchemy as sa</t>
  </si>
  <si>
    <t>from sqlalchemy.dialects import mysql
# revision identifiers, used by Alembic.
revision = "47ffcba2ffc1"
down_revision = "5396e908cf7b"</t>
  </si>
  <si>
    <t xml:space="preserve">
def upgrade():
    # ### commands auto generated by Alembic - please adjust! ###
    op.add_column(
        "submission",</t>
  </si>
  <si>
    <t xml:space="preserve">
def downgrade():
    # ### commands auto generated by Alembic - please adjust! ###
    op.drop_column("submission", "pipeline_log")
    # ### end Alembic commands ###</t>
  </si>
  <si>
    <t xml:space="preserve">    # ### commands auto generated by Alembic - please adjust! ###
    op.drop_column("submission", "pipeline_log")
    # ### end Alembic commands ###</t>
  </si>
  <si>
    <t>"""CHG text type for all user generated strings
Revision ID: b99d63327de0
Revises: 4331be83342a
Create Date: 2021-04-27 14:20:44.854766
"""
import sqlalchemy as sa
from alembic import op</t>
  </si>
  <si>
    <t>from alembic import op
# revision identifiers, used by Alembic.
revision = "b99d63327de0"
down_revision = "4331be83342a"</t>
  </si>
  <si>
    <t xml:space="preserve">
def upgrade():
    # User
    op.alter_column("user", "github_username", type_=sa.TEXT(length=2 ** 16))
    op.alter_column("user", "name", type_=sa.TEXT(length=2 ** 16))</t>
  </si>
  <si>
    <t xml:space="preserve">    op.alter_column("user", "name", type_=sa.TEXT(length=2 ** 16))
    # Course
    op.alter_column("course", "name", type_=sa.TEXT(length=2 ** 16))
    op.alter_column("course", "course_code", type_=sa.TEXT(length=2 ** 16))</t>
  </si>
  <si>
    <t xml:space="preserve">    op.alter_column("course", "professor", type_=sa.TEXT(length=2 ** 16))
    # Assignment
    op.alter_column("assignment", "name", type_=sa.TEXT(length=2 ** 16))
    op.alter_column("assignment", "description", type_=sa.TEXT(length=2 ** 16))</t>
  </si>
  <si>
    <t xml:space="preserve">    op.alter_column("assignment", "pipeline_image", type_=sa.TEXT(length=2 ** 16))
    # Assignment repo
    op.alter_column("assignment_repo", "github_username", type_=sa.TEXT(length=2 ** 16))
    op.alter_column("assignment_repo", "repo_url", type_=sa.TEXT(length=2 ** 16))</t>
  </si>
  <si>
    <t xml:space="preserve">    op.alter_column("assignment_repo", "repo_url", type_=sa.TEXT(length=2 ** 16))
    # Assignment test
    op.alter_column("assignment_test", "name", type_=sa.TEXT(length=2 ** 16))
    op.alter_column("assignment_question", "code_language", type_=sa.TEXT(length=2 ** 16))</t>
  </si>
  <si>
    <t xml:space="preserve">    op.alter_column("assignment_question", "code_language", type_=sa.TEXT(length=2 ** 16))
    # Submission
    op.alter_column("submission", "state", type_=sa.TEXT(length=2 ** 16))
</t>
  </si>
  <si>
    <t xml:space="preserve">    op.alter_column("submission", "state", type_=sa.TEXT(length=2 ** 16))
    # Theia session
    op.alter_column("theia_session", "state", type_=sa.TEXT(length=2 ** 16))
    op.alter_column("theia_session", "cluster_address", type_=sa.TEXT(length=2 ** 16))</t>
  </si>
  <si>
    <t xml:space="preserve">
def downgrade():
    # User
    op.alter_column("user", "github_username", type_=sa.String(256))
    op.alter_column("user", "name", type_=sa.String(256))</t>
  </si>
  <si>
    <t xml:space="preserve">    op.alter_column("user", "name", type_=sa.String(256))
    # Course
    op.alter_column("course", "name", type_=sa.String(256))
    op.alter_column("course", "course_code", type_=sa.String(256))</t>
  </si>
  <si>
    <t xml:space="preserve">    op.alter_column("course", "professor", type_=sa.String(256))
    # Assignment
    op.alter_column("assignment", "name", type_=sa.String(256))
    op.alter_column("assignment", "description", type_=sa.String(256))</t>
  </si>
  <si>
    <t xml:space="preserve">    op.alter_column("assignment", "pipeline_image", type_=sa.String(256))
    # Assignment repo
    op.alter_column("assignment_repo", "github_username", type_=sa.String(256))
    op.alter_column("assignment_repo", "repo_url", type_=sa.String(256))</t>
  </si>
  <si>
    <t xml:space="preserve">    op.alter_column("assignment_repo", "repo_url", type_=sa.String(256))
    # Assignment test
    op.alter_column("assignment_test", "name", type_=sa.String(256))
    op.alter_column("assignment_question", "code_language", type_=sa.String(256))</t>
  </si>
  <si>
    <t xml:space="preserve">    op.alter_column("assignment_question", "code_language", type_=sa.String(256))
    # Submission
    op.alter_column("submission", "state", type_=sa.String(256))
</t>
  </si>
  <si>
    <t xml:space="preserve">    op.alter_column("submission", "state", type_=sa.String(256))
    # Theia session
    op.alter_column("theia_session", "state", type_=sa.String(256))
    op.alter_column("theia_session", "cluster_address", type_=sa.String(256))</t>
  </si>
  <si>
    <t>"""ADD icon, title and descrition to image
Revision ID: 7ffbd4403838
Revises: 58bdacf47c81
Create Date: 2021-12-18 19:05:43.922111
"""
from alembic import op
import sqlalchemy as sa</t>
  </si>
  <si>
    <t>from sqlalchemy.dialects import mysql
# revision identifiers, used by Alembic.
revision = "7ffbd4403838"
down_revision = "58bdacf47c81"</t>
  </si>
  <si>
    <t xml:space="preserve">
def upgrade():
    # ### commands auto generated by Alembic - please adjust! ###
    op.add_column(
        "theia_image",</t>
  </si>
  <si>
    <t xml:space="preserve">        conn.execute("UPDATE theia_image SET `description` = `label`;")
    op.drop_column("theia_image", "label")
    # ### end Alembic commands ###
</t>
  </si>
  <si>
    <t xml:space="preserve">
def downgrade():
    # ### commands auto generated by Alembic - please adjust! ###
    op.add_column(
        "theia_image",</t>
  </si>
  <si>
    <t xml:space="preserve">    op.drop_column("theia_image", "description")
    op.drop_column("theia_image", "title")
    # ### end Alembic commands ###</t>
  </si>
  <si>
    <t>"""ADD accept_late to assignments
Revision ID: 3ed4da84667e
Revises: 2324a3537ff3
Create Date: 2021-05-19 20:16:16.729701
"""
import sqlalchemy as sa
from alembic import op</t>
  </si>
  <si>
    <t>from alembic import op
# revision identifiers, used by Alembic.
revision = "3ed4da84667e"
down_revision = "2324a3537ff3"</t>
  </si>
  <si>
    <t xml:space="preserve">
def upgrade():
    # ### commands auto generated by Alembic - please adjust! ###
    op.add_column("assignment", sa.Column("accept_late", sa.Boolean(), nullable=True))
    conn = op.get_bind()</t>
  </si>
  <si>
    <t xml:space="preserve">    with conn.begin():
        conn.execute("update assignment set accept_late = 1;")
    # ### end Alembic commands ###
</t>
  </si>
  <si>
    <t xml:space="preserve">
def downgrade():
    # ### commands auto generated by Alembic - please adjust! ###
    op.drop_column("assignment", "accept_late")
    # ### end Alembic commands ###</t>
  </si>
  <si>
    <t xml:space="preserve">    # ### commands auto generated by Alembic - please adjust! ###
    op.drop_column("assignment", "accept_late")
    # ### end Alembic commands ###</t>
  </si>
  <si>
    <t xml:space="preserve">"""CHG rename user_id to owner_id
Revision ID: 6e59d5c2d34b
Revises: 8099d1e3fafb
Create Date: 2022-07-23 11:58:32.441709
"""
from alembic import op
</t>
  </si>
  <si>
    <t>from alembic import op
# revision identifiers, used by Alembic.
revision = "6e59d5c2d34b"
down_revision = "8099d1e3fafb"</t>
  </si>
  <si>
    <t xml:space="preserve">
def upgrade():
    # ### commands auto generated by Alembic - please adjust! ###
    conn = op.get_bind()
    with conn.begin() as trx:</t>
  </si>
  <si>
    <t xml:space="preserve">        conn.execute('ALTER TABLE theia_paste RENAME INDEX ix_theia_paste_user_id TO ix_theia_paste_owner_id')
        trx.commit()
    # ### end Alembic commands ###
</t>
  </si>
  <si>
    <t xml:space="preserve">
def downgrade():
    # ### commands auto generated by Alembic - please adjust! ###
    conn = op.get_bind()
    with conn.begin() as trx:</t>
  </si>
  <si>
    <t xml:space="preserve">        conn.execute('ALTER TABLE theia_paste RENAME INDEX ix_theia_paste_owner_id TO ix_theia_paste_user_id')
        trx.commit()
    # ### end Alembic commands ###</t>
  </si>
  <si>
    <t>"""ADD shared to repo
Revision ID: 18b5fce3df50
Revises: 99e32b8689c9
Create Date: 2021-11-16 20:38:23.304207
"""
from alembic import op
import sqlalchemy as sa</t>
  </si>
  <si>
    <t xml:space="preserve">
# revision identifiers, used by Alembic.
revision = "18b5fce3df50"
down_revision = "99e32b8689c9"</t>
  </si>
  <si>
    <t xml:space="preserve">
def upgrade():
    # ### commands auto generated by Alembic - please adjust! ###
    op.add_column("assignment_repo", sa.Column("shared", sa.Boolean(), nullable=True))
    conn = op.get_bind()</t>
  </si>
  <si>
    <t xml:space="preserve">    with conn.begin():
        conn.execute("update assignment_repo set `shared` = 0;")
    # ### end Alembic commands ###
</t>
  </si>
  <si>
    <t xml:space="preserve">
def downgrade():
    # ### commands auto generated by Alembic - please adjust! ###
    op.drop_column("assignment_repo", "shared")
    # ### end Alembic commands ###</t>
  </si>
  <si>
    <t xml:space="preserve">    # ### commands auto generated by Alembic - please adjust! ###
    op.drop_column("assignment_repo", "shared")
    # ### end Alembic commands ###</t>
  </si>
  <si>
    <t>"""chg_rename_professor_to_professor_for_course
Revision ID: 49d73a536492
Revises: 65be3bf01dae
Create Date: 2021-07-18 12:57:52.105841
"""
import sqlalchemy as sa
from alembic import op</t>
  </si>
  <si>
    <t>from alembic import op
# revision identifiers, used by Alembic.
revision = "49d73a536492"
down_revision = "65be3bf01dae"</t>
  </si>
  <si>
    <t>"""RM theia session privileged
Revision ID: 5ea160112b7e
Revises: 2faa37dff9d0
Create Date: 2022-09-19 21:46:31.860537
"""
from alembic import op
import sqlalchemy as sa</t>
  </si>
  <si>
    <t>from sqlalchemy.dialects import mysql
# revision identifiers, used by Alembic.
revision = "5ea160112b7e"
down_revision = "2faa37dff9d0"</t>
  </si>
  <si>
    <t xml:space="preserve">
def upgrade():
    # ### commands auto generated by Alembic - please adjust! ###
    op.drop_column("theia_session", "privileged")
    # ### end Alembic commands ###</t>
  </si>
  <si>
    <t xml:space="preserve">    # ### commands auto generated by Alembic - please adjust! ###
    op.drop_column("theia_session", "privileged")
    # ### end Alembic commands ###
</t>
  </si>
  <si>
    <t>"""CHG repo url optional
Revision ID: 2f5a27ffe4ea
Revises: 49d73a536492
Create Date: 2021-08-09 12:20:47.472452
"""
import sqlalchemy as sa
from alembic import op</t>
  </si>
  <si>
    <t>from sqlalchemy.dialects import mysql
# revision identifiers, used by Alembic.
revision = "2f5a27ffe4ea"
down_revision = "49d73a536492"</t>
  </si>
  <si>
    <t>"""ADD github_repo_required to assignment
Revision ID: ba7750bc4d14
Revises: 2f5a27ffe4ea
Create Date: 2021-08-09 12:26:42.507719
"""
import sqlalchemy as sa
from alembic import op</t>
  </si>
  <si>
    <t>from sqlalchemy.dialects import mysql
# revision identifiers, used by Alembic.
revision = "ba7750bc4d14"
down_revision = "2f5a27ffe4ea"</t>
  </si>
  <si>
    <t xml:space="preserve">    with conn.begin():
        conn.execute("update assignment set github_repo_required = 1;")
    # ### end Alembic commands ###
</t>
  </si>
  <si>
    <t xml:space="preserve">
def downgrade():
    # ### commands auto generated by Alembic - please adjust! ###
    op.drop_column("assignment", "github_repo_required")
    # ### end Alembic commands ###</t>
  </si>
  <si>
    <t xml:space="preserve">    # ### commands auto generated by Alembic - please adjust! ###
    op.drop_column("assignment", "github_repo_required")
    # ### end Alembic commands ###</t>
  </si>
  <si>
    <t>"""ADD id index
Revision ID: bdc6f7395c95
Revises: 88db21968c0d
Create Date: 2022-07-22 21:24:25.261159
"""
from alembic import op
import sqlalchemy as sa</t>
  </si>
  <si>
    <t xml:space="preserve">
# revision identifiers, used by Alembic.
revision = "bdc6f7395c95"
down_revision = "88db21968c0d"</t>
  </si>
  <si>
    <t xml:space="preserve">
def upgrade():
    # ### commands auto generated by Alembic - please adjust! ###
    op.create_index(
        op.f("ix_assigned_student_question_id"),</t>
  </si>
  <si>
    <t xml:space="preserve">    )
    op.create_index(op.f("ix_user_id"), "user", ["id"], unique=False)
    # ### end Alembic commands ###
</t>
  </si>
  <si>
    <t xml:space="preserve">
def downgrade():
    # ### commands auto generated by Alembic - please adjust! ###
    op.drop_index(op.f("ix_user_id"), table_name="user")
    op.drop_index(op.f("ix_theia_session_id"), table_name="theia_session")</t>
  </si>
  <si>
    <t xml:space="preserve">        table_name="assigned_student_question",
    )
    # ### end Alembic commands ###</t>
  </si>
  <si>
    <t>"""CHG assignment repo netid tracking
Revision ID: 28971042fc9c
Revises: 7a2f58a7654f
Create Date: 2022-01-15 18:21:07.682465
"""
from alembic import op
import sqlalchemy as sa</t>
  </si>
  <si>
    <t>from sqlalchemy.dialects import mysql
# revision identifiers, used by Alembic.
revision = "28971042fc9c"
down_revision = "7a2f58a7654f"</t>
  </si>
  <si>
    <t xml:space="preserve">                     'join user on assignment_repo.owner_id = user.id '
                     'set assignment_repo.netid = user.netid;')
        # Drop dangling
        conn.execute('delete sb from assignment_repo ar '
                     'join submission s on s.assignment_repo_id = ar.id '</t>
  </si>
  <si>
    <t xml:space="preserve">
    op.drop_column("assignment_repo", "github_username")
    # ### end Alembic commands ###
</t>
  </si>
  <si>
    <t xml:space="preserve">
def downgrade():
    # ### commands auto generated by Alembic - please adjust! ###
    op.add_column(
        "assignment_repo",</t>
  </si>
  <si>
    <t xml:space="preserve">    )
    op.drop_column("assignment_repo", "netid")
    # ### end Alembic commands ###</t>
  </si>
  <si>
    <t>"""CHG assignment_repo non unique repo_url
Revision ID: 86296424818b
Revises: fff88033d4f9
Create Date: 2021-08-25 00:15:55.283501
"""
import sqlalchemy as sa
from alembic import op</t>
  </si>
  <si>
    <t>from alembic import op
# revision identifiers, used by Alembic.
revision = "86296424818b"
down_revision = "fff88033d4f9"</t>
  </si>
  <si>
    <t xml:space="preserve">
def upgrade():
    # ### commands auto generated by Alembic - please adjust! ###
    op.drop_index("repo_url", table_name="assignment_repo")
    # ### end Alembic commands ###</t>
  </si>
  <si>
    <t xml:space="preserve">    # ### commands auto generated by Alembic - please adjust! ###
    op.drop_index("repo_url", table_name="assignment_repo")
    # ### end Alembic commands ###
</t>
  </si>
  <si>
    <t xml:space="preserve">
def downgrade():
    # ### commands auto generated by Alembic - please adjust! ###
    op.create_index("repo_url", "assignment_repo", ["repo_url"], unique=False)
    # ### end Alembic commands ###</t>
  </si>
  <si>
    <t xml:space="preserve">    # ### commands auto generated by Alembic - please adjust! ###
    op.create_index("repo_url", "assignment_repo", ["repo_url"], unique=False)
    # ### end Alembic commands ###</t>
  </si>
  <si>
    <t xml:space="preserve">"""FIX index issues
Revision ID: 2324a3537ff3
Revises: 51a4f35fc53e
Create Date: 2021-05-04 18:07:25.202120
"""
from alembic import op
</t>
  </si>
  <si>
    <t>from alembic import op
# revision identifiers, used by Alembic.
revision = "2324a3537ff3"
down_revision = "51a4f35fc53e"</t>
  </si>
  <si>
    <t xml:space="preserve">
def upgrade():
    # ### commands auto generated by Alembic - please adjust! ###
    try:
        op.create_unique_constraint(None, "assignment", ["pipeline_image"])</t>
  </si>
  <si>
    <t xml:space="preserve">    except:
        print("user github username index already exists")
    # ### end Alembic commands ###
</t>
  </si>
  <si>
    <t xml:space="preserve">
def downgrade():
    # ### commands auto generated by Alembic - please adjust! ###
    op.drop_index(op.f("ix_user_github_username"), table_name="user")
    op.drop_index(op.f("ix_assignment_test_name"), table_name="assignment_test")</t>
  </si>
  <si>
    <t xml:space="preserve">    op.drop_constraint("pipeline_image", "assignment", type_="unique")
    op.drop_constraint("name", "assignment", type_="unique")
    # ### end Alembic commands ###</t>
  </si>
  <si>
    <t>"""ADD theia_persistent_storage to course options
Revision ID: 1a6dbe1012b5
Revises: ba7750bc4d14
Create Date: 2021-08-10 21:53:08.735987
"""
import sqlalchemy as sa
from alembic import op</t>
  </si>
  <si>
    <t>from sqlalchemy.dialects import mysql
# revision identifiers, used by Alembic.
revision = "1a6dbe1012b5"
down_revision = "ba7750bc4d14"</t>
  </si>
  <si>
    <t xml:space="preserve">        conn.execute("update course set github_repo_required = 0;")
        conn.execute("update assignment set theia_persistent_storage = 0;")
    # ### end Alembic commands ###
</t>
  </si>
  <si>
    <t xml:space="preserve">
def downgrade():
    # ### commands auto generated by Alembic - please adjust! ###
    op.drop_column("course", "theia_persistent_storage")
    op.drop_column("course", "github_repo_required")</t>
  </si>
  <si>
    <t xml:space="preserve">    op.drop_column("course", "github_repo_required")
    op.drop_column("assignment", "theia_persistent_storage")
    # ### end Alembic commands ###</t>
  </si>
  <si>
    <t>"""ADD webtop column
Revision ID: 8c17dcffa2be
Revises: 400b53e79568
Create Date: 2022-02-25 16:45:29.471545
"""
from alembic import op
import sqlalchemy as sa</t>
  </si>
  <si>
    <t xml:space="preserve">
# revision identifiers, used by Alembic.
revision = "8c17dcffa2be"
down_revision = "400b53e79568"</t>
  </si>
  <si>
    <t xml:space="preserve">
def upgrade():
    # ### commands auto generated by Alembic - please adjust! ###
    op.add_column(
        "theia_image", sa.Column("webtop", sa.Boolean(), nullable=True)</t>
  </si>
  <si>
    <t xml:space="preserve">    conn = op.get_bind()
    conn.execute('update theia_image set webtop = 0;')
    # ### end Alembic commands ###
</t>
  </si>
  <si>
    <t xml:space="preserve">
def downgrade():
    # ### commands auto generated by Alembic - please adjust! ###
    op.drop_column("theia_image", "webtop")
    # ### end Alembic commands ###</t>
  </si>
  <si>
    <t xml:space="preserve">    # ### commands auto generated by Alembic - please adjust! ###
    op.drop_column("theia_image", "webtop")
    # ### end Alembic commands ###</t>
  </si>
  <si>
    <t>"""ADD accepted column
Revision ID: a622f56b9050
Revises: bf3ae1de1d12
Create Date: 2021-05-19 20:33:45.552222
"""
import sqlalchemy as sa
from alembic import op</t>
  </si>
  <si>
    <t>from sqlalchemy.dialects import mysql
# revision identifiers, used by Alembic.
revision = "a622f56b9050"
down_revision = "bf3ae1de1d12"</t>
  </si>
  <si>
    <t xml:space="preserve">
def upgrade():
    # ### commands auto generated by Alembic - please adjust! ###
    op.drop_index("name", table_name="assignment")
    op.drop_index("pipeline_image", table_name="assignment")</t>
  </si>
  <si>
    <t xml:space="preserve">    )
    op.add_column("submission", sa.Column("accepted", sa.Boolean(), nullable=True))
    # ### end Alembic commands ###
</t>
  </si>
  <si>
    <t xml:space="preserve">
def downgrade():
    # ### commands auto generated by Alembic - please adjust! ###
    op.drop_column("submission", "accepted")
    op.drop_index(op.f("ix_assignment_question_pool"), table_name="assignment_question")</t>
  </si>
  <si>
    <t xml:space="preserve">    op.create_index("pipeline_image", "assignment", ["pipeline_image"], unique=False)
    op.create_index("name", "assignment", ["name"], unique=False)
    # ### end Alembic commands ###</t>
  </si>
  <si>
    <t>"""CHG rename sequence to pool
Revision ID: bf3ae1de1d12
Revises: 3ed4da84667e
Create Date: 2021-05-19 20:20:32.269570
"""
import sqlalchemy as sa
from alembic import op</t>
  </si>
  <si>
    <t>from alembic import op
# revision identifiers, used by Alembic.
revision = "bf3ae1de1d12"
down_revision = "3ed4da84667e"</t>
  </si>
  <si>
    <t xml:space="preserve">
def upgrade():
    # ### commands auto generated by Alembic - please adjust! ###
    op.alter_column("assignment_question", "sequence", new_column_name="pool", type_=sa.Integer())
    # ### end Alembic commands ###</t>
  </si>
  <si>
    <t xml:space="preserve">    # ### commands auto generated by Alembic - please adjust! ###
    op.alter_column("assignment_question", "sequence", new_column_name="pool", type_=sa.Integer())
    # ### end Alembic commands ###
</t>
  </si>
  <si>
    <t xml:space="preserve">
def downgrade():
    # ### commands auto generated by Alembic - please adjust! ###
    op.alter_column("assignment_question", "pool", new_column_name="sequence", type_=sa.Integer())
    # ### end Alembic commands ###</t>
  </si>
  <si>
    <t xml:space="preserve">    # ### commands auto generated by Alembic - please adjust! ###
    op.alter_column("assignment_question", "pool", new_column_name="sequence", type_=sa.Integer())
    # ### end Alembic commands ###</t>
  </si>
  <si>
    <t>"""CHG unique repo_url
Revision ID: a242e0e21f3e
Revises: 592c0d556edf
Create Date: 2021-08-24 13:53:49.356158
"""
import alembic
import sqlalchemy as sa</t>
  </si>
  <si>
    <t>from alembic import op
# revision identifiers, used by Alembic.
revision = "a242e0e21f3e"
down_revision = "592c0d556edf"</t>
  </si>
  <si>
    <t xml:space="preserve">
def upgrade():
    # ### commands auto generated by Alembic - please adjust! ###
    op.alter_column("assignment_repo", "repo_url", type_=sa.String(512))
    op.create_unique_constraint(None, "assignment_repo", ["repo_url"])</t>
  </si>
  <si>
    <t xml:space="preserve">    op.alter_column("assignment_repo", "repo_url", type_=sa.String(512))
    op.create_unique_constraint(None, "assignment_repo", ["repo_url"])
    # ### end Alembic commands ###
</t>
  </si>
  <si>
    <t xml:space="preserve">
def downgrade():
    # ### commands auto generated by Alembic - please adjust! ###
    op.alter_column("assignment_repo", "repo_url", type_=sa.TEXT(512))
    op.drop_constraint("repo_url", "assignment_repo", type_="unique")</t>
  </si>
  <si>
    <t xml:space="preserve">    op.alter_column("assignment_repo", "repo_url", type_=sa.TEXT(512))
    op.drop_constraint("repo_url", "assignment_repo", type_="unique")
    # ### end Alembic commands ###</t>
  </si>
  <si>
    <t>"""ADD theia session k8s requested boolean
Revision ID: c8cb0e5a0950
Revises: 3150c9c06ea5
Create Date: 2021-09-25 18:05:03.669828
"""
import sqlalchemy as sa
from alembic import op</t>
  </si>
  <si>
    <t>from sqlalchemy.dialects import mysql
# revision identifiers, used by Alembic.
revision = "c8cb0e5a0950"
down_revision = "3150c9c06ea5"</t>
  </si>
  <si>
    <t xml:space="preserve">    with conn.begin():
        conn.execute("update theia_session set k8s_requested = 1;")
    # ### end Alembic commands ###
</t>
  </si>
  <si>
    <t xml:space="preserve">    )
    op.drop_column("theia_session", "k8s_requested")
    # ### end Alembic commands ###</t>
  </si>
  <si>
    <t xml:space="preserve">"""CHG run blob compressions
Revision ID: 83eae1b04c47
Revises: 023ee1a8f6cd
Create Date: 2021-12-05 11:35:33.125548
"""
import gzip
</t>
  </si>
  <si>
    <t>from alembic import op
# revision identifiers, used by Alembic.
revision = "83eae1b04c47"
down_revision = "023ee1a8f6cd"</t>
  </si>
  <si>
    <t xml:space="preserve">    conn = op.get_bind()
    process_compressed_column(conn, "static_file", "blob", batch_size=1)
    # process_compressed_column(conn, 'submission_build', 'stdout', batch_size=300)
    # process_compressed_column(conn, 'submission_test_result', 'stdout', batch_size=300)
</t>
  </si>
  <si>
    <t xml:space="preserve">    conn = op.get_bind()
    process_compressed_column(conn, "static_file", "blob", forward=False, batch_size=1)
    # process_compressed_column(conn, 'submission_build', 'stdout', forward=False, batch_size=300)
    # process_compressed_column(conn, 'submission_test_result', 'stdout', forward=False, batch_size=300)</t>
  </si>
  <si>
    <t>"""CHG assignment test output types
Revision ID: 7bce3314f2d8
Revises: 28971042fc9c
Create Date: 2022-01-15 19:53:48.734288
"""
from alembic import op
import sqlalchemy as sa</t>
  </si>
  <si>
    <t>from sqlalchemy.dialects import mysql
# revision identifiers, used by Alembic.
revision = "7bce3314f2d8"
down_revision = "28971042fc9c"</t>
  </si>
  <si>
    <t xml:space="preserve">
def upgrade():
    # ### commands auto generated by Alembic - please adjust! ###
    op.add_column(
        "submission_test_result",</t>
  </si>
  <si>
    <t xml:space="preserve">        conn.execute('update submission_test_result set `output_type` = \'text\';')
    op.drop_column("submission_test_result", "stdout")
    # ### end Alembic commands ###
</t>
  </si>
  <si>
    <t xml:space="preserve">
def downgrade():
    # ### commands auto generated by Alembic - please adjust! ###
    op.add_column(
        "submission_test_result",</t>
  </si>
  <si>
    <t xml:space="preserve">    op.drop_column("submission_test_result", "output")
    op.drop_column("submission_test_result", "output_type")
    # ### end Alembic commands ###</t>
  </si>
  <si>
    <t>"""CHG resize id columns
Revision ID: 70bf8c2bf6a4
Revises: 6e59d5c2d34b
Create Date: 2022-07-23 16:38:05.464637
"""
import sqlalchemy as sa
from alembic import op</t>
  </si>
  <si>
    <t>from sqlalchemy.dialects import mysql
# revision identifiers, used by Alembic.
revision = "70bf8c2bf6a4"
down_revision = "6e59d5c2d34b"</t>
  </si>
  <si>
    <t xml:space="preserve">
def downgrade():
    pass #do_migration(new_size=128)</t>
  </si>
  <si>
    <t>class EnvConfig(object):
    def __init__(self):
        # General flask config
        self.MINDEBUG = os.environ.get("MINDEBUG", default="0") == "1"
        self.DEBUG = os.environ.get("DEBUG", default="0") == "1" or self.MINDEBUG</t>
  </si>
  <si>
    <t xml:space="preserve">
        if not self.MINDEBUG:
            # sqlalchemy
            self.SQLALCHEMY_POOL_PRE_PING = True
            self.SQLALCHEMY_POOL_SIZE = 100</t>
  </si>
  <si>
    <t xml:space="preserve">            )
            # cache
            self.CACHE_TYPE = "RedisCache"
            self.CACHE_REDIS_HOST = os.environ.get("REDIS_HOST", default="redis-master")</t>
  </si>
  <si>
    <t xml:space="preserve">            self.CACHE_REDIS_PASSWORD = os.environ.get("REDIS_PASS", default="anubis")
        # MINDEBUG
        else:
            os.makedirs(".data/", exist_ok=True)</t>
  </si>
  <si>
    <t xml:space="preserve">            os.makedirs(".data/", exist_ok=True)
            # sqlalchemy
            self.SQLALCHEMY_DATABASE_URI = "sqlite:///../.data/anubis.db"
            self.SQLALCHEMY_TRACK_MODIFICATIONS = False</t>
  </si>
  <si>
    <t xml:space="preserve">            self.SQLALCHEMY_TRACK_MODIFICATIONS = False
            # cache
            self.CACHE_TYPE = "NullCache"
</t>
  </si>
  <si>
    <t xml:space="preserve">            self.CACHE_TYPE = "NullCache"
        # OAuth
        self.OAUTH_NYU_CONSUMER_KEY = os.environ.get("OAUTH_NYU_CONSUMER_KEY", default="DEBUG")
        self.OAUTH_NYU_CONSUMER_SECRET = os.environ.get("OAUTH_NYU_CONSUMER_SECRET", default="DEBUG")</t>
  </si>
  <si>
    <t xml:space="preserve">        self.OAUTH_NYU_CONSUMER_SECRET = os.environ.get("OAUTH_NYU_CONSUMER_SECRET", default="DEBUG")
        # Github OAuth
        self.OAUTH_GITHUB_CONSUMER_KEY = os.environ.get("OAUTH_GITHUB_CONSUMER_KEY", default="DEBUG")
        self.OAUTH_GITHUB_CONSUMER_SECRET = os.environ.get("OAUTH_GITHUB_CONSUMER_SECRET", default="DEBUG")</t>
  </si>
  <si>
    <t xml:space="preserve">        self.OAUTH_GITHUB_CONSUMER_SECRET = os.environ.get("OAUTH_GITHUB_CONSUMER_SECRET", default="DEBUG")
        # Github Tag
        self.GIT_TAG = os.environ.get("GIT_TAG", default="latest")
</t>
  </si>
  <si>
    <t xml:space="preserve">        self.GIT_TAG = os.environ.get("GIT_TAG", default="latest")
        # Logger
        self.LOGGER_NAME = os.environ.get("LOGGER_NAME", default="anubis-api")
</t>
  </si>
  <si>
    <t xml:space="preserve">
def init_services(app: Flask):
    """
    Initialize app with redis cache, mariadb database, and ELK services
    :param app: Flask app
    :return:
    """
    from anubis.models import db
    from anubis.utils.cache import cache</t>
  </si>
  <si>
    <t xml:space="preserve">    from anubis.utils.sentry import add_sentry
    # Init services
    db.init_app(app)
    cache.init_app(app)</t>
  </si>
  <si>
    <t xml:space="preserve">
def create_app() -&gt; Flask:
    """
    Create the main Anubis API Flask app instance
    This app will have the basic services (db and cache),
    with the public and private blueprints.
    :return: Flask app
    """
    from anubis.env import env
</t>
  </si>
  <si>
    <t xml:space="preserve">    from anubis.env import env
    # Import views
    from anubis.views.admin import register_admin_views
    from anubis.views.public import register_public_views</t>
  </si>
  <si>
    <t xml:space="preserve">    from anubis.views.super import register_super_views
    # Create app
    app = Flask(__name__)
    app.config.from_object(env)</t>
  </si>
  <si>
    <t xml:space="preserve">    app.config.from_object(env)
    # Initialize app with all the extra services
    init_services(app)
    app.test_request_context()</t>
  </si>
  <si>
    <t xml:space="preserve">
def create_pipeline_app() -&gt; Flask:
    """
    Create the Submission Pipeline API Flask app instance
    This app will have the basic services (db and cache),
    with the pipeline blueprint.
    :return: Flask app
    """
    from anubis.env import env
    from anubis.views.pipeline import register_pipeline_views</t>
  </si>
  <si>
    <t xml:space="preserve">    from anubis.views.pipeline import register_pipeline_views
    # Create app
    app = Flask(__name__)
    app.config.from_object(env)</t>
  </si>
  <si>
    <t xml:space="preserve">    app.config.from_object(env)
    # Initialize app with all the extra services
    init_services(app)
</t>
  </si>
  <si>
    <t xml:space="preserve">    init_services(app)
    # register views
    register_pipeline_views(app)
</t>
  </si>
  <si>
    <t xml:space="preserve">
def initialize_theia_session(theia_session_id: str):
    """
    Create the kube resources for a theia session. Will update
    database entry to reflect that the session has been initialized.
    After creating the theia session kubernetes resources, this
    function will wait up to 60 seconds for the session resources
    to come out of "Pending". We do this so that we can capture the
    pod cluster ip address. Without setting this IP address, there
    is no way for the theia proxy to direct traffic to the session.
    If it reaches 60 seconds, we cut our loses and return. The reaper
    job that fires every 5 minutes will be on the lookout for sessions
    that have been initialized but are missing cluster ip addresses
    and update them accordingly.
    :param theia_session_id:
    :return:
    """
    # Load the kubernetes incluster config</t>
  </si>
  <si>
    <t xml:space="preserve">    """
    # Load the kubernetes incluster config
    config.load_incluster_config()
    v1 = client.CoreV1Api()</t>
  </si>
  <si>
    <t xml:space="preserve">    v1 = client.CoreV1Api()
    # Log the initialization event
    logger.info(
        "Initializing theia session {}".format(theia_session_id),</t>
  </si>
  <si>
    <t xml:space="preserve">    )
    # Calculate the maximum IDEs that are allowed to exist at any given time
    max_ides = get_config_int("THEIA_MAX_SESSIONS", default=50)
</t>
  </si>
  <si>
    <t xml:space="preserve">    max_ides = get_config_int("THEIA_MAX_SESSIONS", default=50)
    # Check to ses how many theia sessions are marked as active in the database. If that
    # count exceeds the artificial limit of IDEs, then we need to re-enqueue this job.
    if (
        TheiaSession.query.filter(</t>
  </si>
  <si>
    <t xml:space="preserve">        from anubis.rpc.enqueue import enqueue_ide_initialize
        # If there are too many active pods, recycle the job through the queue.
        logger.info(
            "Maximum IDEs currently running. Re-enqueuing session_id={} initialized request".format(theia_session_id)</t>
  </si>
  <si>
    <t xml:space="preserve">        )
        # Re-enqueue this initialization job, then return
        enqueue_ide_initialize(theia_session_id)
        return</t>
  </si>
  <si>
    <t xml:space="preserve">        return
    # Get the theia session
    theia_session = TheiaSession.query.filter(
        TheiaSession.id == theia_session_id,</t>
  </si>
  <si>
    <t xml:space="preserve">    ).first()
    # Confirm that the theia session exists.
    if theia_session is None:
        # Log the error if there was one, then return</t>
  </si>
  <si>
    <t xml:space="preserve">    # Confirm that the theia session exists.
    if theia_session is None:
        # Log the error if there was one, then return
        logger.error(
            "Unable to find theia session rpc.initialize_theia_session",</t>
  </si>
  <si>
    <t xml:space="preserve">        return
    # Log the event
    logger.info(
        "Found theia_session to init {}".format(theia_session_id),</t>
  </si>
  <si>
    <t xml:space="preserve">    )
    # Create pod, and pvc object from the options specified for the
    # theia session.
    pod, pvc = create_theia_k8s_pod_pvc(theia_session)
</t>
  </si>
  <si>
    <t xml:space="preserve">    pod, pvc = create_theia_k8s_pod_pvc(theia_session)
    # Log the creation of the pod
    logger.info("creating theia pod: " + pod.to_str())
</t>
  </si>
  <si>
    <t xml:space="preserve">    logger.info("creating theia pod: " + pod.to_str())
    # If a pvc is necessary (for persistent volume assignments)
    if pvc is not None:
        # Create the PVC if it did not already exist</t>
  </si>
  <si>
    <t xml:space="preserve">    # If a pvc is necessary (for persistent volume assignments)
    if pvc is not None:
        # Create the PVC if it did not already exist
        try:
            # This function will throw a 404 client.exceptions.ApiException</t>
  </si>
  <si>
    <t xml:space="preserve">        # Create the PVC if it did not already exist
        try:
            # This function will throw a 404 client.exceptions.ApiException
            # if the pvc does not exist
            v1.read_namespaced_persistent_volume_claim(namespace="anubis", name=pvc.metadata.name)
            logger.info(f"PVC for user already exists: {pvc.metadata.name}")</t>
  </si>
  <si>
    <t xml:space="preserve">            logger.info(f"PVC for user already exists: {pvc.metadata.name}")
        # Catch the exception thrown if the pvc does not exist
        except client.exceptions.ApiException:
            logger.info(f"PVC for user does not exist (Creating): {pvc.metadata.name}")</t>
  </si>
  <si>
    <t xml:space="preserve">            v1.create_namespaced_persistent_volume_claim(namespace="anubis", body=pvc)
    # Send the pod to the kubernetes api. Ask to create
    # these resources under the anubis namespace. These actions are by default
    # backgrounded. That means that these functions will almost certainly return
    # before the resources have actually been created and initialized.
    v1.create_namespaced_pod(namespace="anubis", body=pod)
</t>
  </si>
  <si>
    <t xml:space="preserve">    v1.create_namespaced_pod(namespace="anubis", body=pod)
    # Mark theia session as k8s resources requested
    theia_session.k8s_requested = True
</t>
  </si>
  <si>
    <t xml:space="preserve">    theia_session.k8s_requested = True
    # Commit any and all changes that have been made
    # in the database up to this point.
    db.session.commit()
</t>
  </si>
  <si>
    <t xml:space="preserve">
def initialize_ide(
    # Required
    image_id: str,
    # Optional / settings</t>
  </si>
  <si>
    <t xml:space="preserve">    # Required
    image_id: str,
    # Optional / settings
    image_tag_id: str = None,
    assignment_id: str = None,</t>
  </si>
  <si>
    <t xml:space="preserve">    persistent_storage: bool = True,
    resources: dict = None,
    # Admin fields
    admin: bool = False,
    credentials: bool = False,</t>
  </si>
  <si>
    <t xml:space="preserve">    from anubis.rpc.enqueue import enqueue_ide_initialize
    # Create a new session
    session = TheiaSession(
        owner_id=current_user.id,</t>
  </si>
  <si>
    <t xml:space="preserve">        active=True,
        state="Initializing",
        # Required
        image_id=image_id,
        # Options / settings</t>
  </si>
  <si>
    <t xml:space="preserve">        # Required
        image_id=image_id,
        # Options / settings
        image_tag_id=image_tag_id,
        assignment_id=assignment_id,</t>
  </si>
  <si>
    <t xml:space="preserve">        autosave=autosave,
        resources=resources,
        # Admin Options
        admin=admin,
        credentials=credentials,</t>
  </si>
  <si>
    <t xml:space="preserve">    db.session.commit()
    # Send kube resource initialization rpc job
    enqueue_ide_initialize(session.id)
</t>
  </si>
  <si>
    <t xml:space="preserve">    enqueue_ide_initialize(session.id)
    # Redirect to proxy
    return session</t>
  </si>
  <si>
    <t xml:space="preserve">
def theia_redirect_url(theia_session_id: str, netid: str) -&gt; str:
    """
    Generates the url for redirecting to the theia proxy for the given session.
    :param theia_session_id:
    :param netid:
    :return:
    """
    return "/ide/initialize?token={}&amp;anubis=1".format(
        create_token(netid, session_id=theia_session_id),</t>
  </si>
  <si>
    <t xml:space="preserve">
def theia_redirect(theia_session: TheiaSession, user: User):
    """
    Create a flask redirect Response for the specified theia session.
    :param theia_session:
    :param user:
    :return:
    """
    return redirect(theia_redirect_url(theia_session.id, user.netid))</t>
  </si>
  <si>
    <t xml:space="preserve">
def mark_session_ended(theia_session: TheiaSession):
    """
    Mark the database entries for the
    theia session as ended.
    :param theia_session:
    :return:
    """
    theia_session.active = False
    theia_session.state = "Ended"</t>
  </si>
  <si>
    <t xml:space="preserve">
def assert_theia_sessions_enabled():
    # Get the config value for if ide starts are allowed.
    theia_starts_enabled = get_config_bool("THEIA_STARTS_ENABLED", default=True)
</t>
  </si>
  <si>
    <t xml:space="preserve">    theia_starts_enabled = get_config_bool("THEIA_STARTS_ENABLED", default=True)
    # Assert that new ide starts are allowed. If they are not, then
    # we return a status message to the user saying they are not able
    # to start a new ide.
    req_assert(
        theia_starts_enabled,</t>
  </si>
  <si>
    <t>@cache.memoize(timeout=3, unless=is_debug)
def theia_list_all(user_id: str, limit: int = 10):
    """
    list all theia sessions that are currently active. Order by the time
    they were created.
    * Response is lightly cached *
    :param user_id:
    :param limit:
    :return:
    """
    theia_sessions: list[TheiaSession] = (
        TheiaSession.query.filter(</t>
  </si>
  <si>
    <t>@cache.memoize(timeout=1, unless=is_debug)
def theia_poll_ide(theia_session_id: str, user_id: str) -&gt; dict | None:
    """
    Check the status of a theia session. This is called
    when a theia session is created in the frontend. When
    the spinner is going, this function is called until
    the session is active.
    * Response is very lightly cached *
    :param theia_session_id:
    :param user_id:
    :return:
    """
    # Query for the theia session</t>
  </si>
  <si>
    <t xml:space="preserve">    """
    # Query for the theia session
    theia_session: TheiaSession = TheiaSession.query.filter(
        TheiaSession.id == theia_session_id,</t>
  </si>
  <si>
    <t xml:space="preserve">    ).first()
    # If it was not found, then return None
    if theia_session is None:
        return None</t>
  </si>
  <si>
    <t xml:space="preserve">        return None
    # Else return the session data
    return theia_session.data</t>
  </si>
  <si>
    <t>@cache.memoize(timeout=5, unless=is_debug)
def get_n_available_sessions() -&gt; tuple[int, int]:
    """
    Get the number of active sessions and the maximum number of sessions
    :return:
    """
    max_ides = get_config_int("THEIA_MAX_SESSIONS", default=50)
    active_ide_count: int = TheiaSession.query.filter(TheiaSession.active).count()</t>
  </si>
  <si>
    <t xml:space="preserve">
    else:
        # Build a list of filters based on the options
        filters = []
</t>
  </si>
  <si>
    <t xml:space="preserve">        filters = []
        # Number of hours back to regrade
        if hours &gt; 0:
            filters.append(Submission.created &gt; datetime.now() - timedelta(hours=hours))</t>
  </si>
  <si>
    <t xml:space="preserve">            filters.append(Submission.created &gt; datetime.now() - timedelta(hours=hours))
        # Only regrade submissions that have been processed
        if processed == 1:
            filters.append(Submission.processed == True)</t>
  </si>
  <si>
    <t xml:space="preserve">            filters.append(Submission.processed == True)
        # Only regrade submissions that have not been processed
        if not_processed == 1:
            filters.append(Submission.processed == False)</t>
  </si>
  <si>
    <t xml:space="preserve">            filters.append(Submission.processed == False)
        # Only regrade submissions that have been reaped
        if reaped == 1:
            filters.append(Submission.state == "Reaped after timeout")</t>
  </si>
  <si>
    <t xml:space="preserve">            filters.append(Submission.state == "Reaped after timeout")
        # Get all submissions matching the filters
        submissions = Submission.query.filter(
            Submission.assignment_id == assignment_id,</t>
  </si>
  <si>
    <t xml:space="preserve">        ).all()
    # Split the submissions into bite sized chunks
    submission_ids = [s.id for s in submissions]
    submission_chunks = split_chunks(submission_ids, 100)</t>
  </si>
  <si>
    <t xml:space="preserve">    from anubis.rpc.enqueue import enqueue_bulk_regrade_submissions
    # Enqueue each chunk as a job for the rpc workers
    for chunk in submission_chunks:
        enqueue_bulk_regrade_submissions(chunk)</t>
  </si>
  <si>
    <t xml:space="preserve">    theia_active_minutes_window: int = get_config_int('THEIA_ACTIVE_MINUTES_WINDOW', default=15)
    # Get all theia sessions within the last 10 minutes that are
    # active and don't have cluster_address
    theia_sessions: list[TheiaSession] = TheiaSession.query.filter(
        TheiaSession.active == True,</t>
  </si>
  <si>
    <t xml:space="preserve">
def parse_webhook(webhook):
    """
    Parse out some of the important basics of any webhook.
    :param webhook:
    :return:
    """
    # Load the basics from the webhook</t>
  </si>
  <si>
    <t xml:space="preserve">    """
    # Load the basics from the webhook
    repo_url = webhook["repository"]["url"]
    repo_name = webhook["repository"]["name"]</t>
  </si>
  <si>
    <t xml:space="preserve">
def guess_github_repo_owner(assignment: Assignment, repo_name: str) -&gt; tuple[User, str]:
    """
    In order to match a webhook to a user, we need to know the github username
    that the repo in question was made for. The github username is in the name
    of the repo.
    This function takes the name of the repo, and does some parsing tricks to
    take a fairly confident guess as to what the github username is.
    :param assignment:
    :param repo_name:
    :return:
    """
    repo_name_split = repo_name.split("-")
    unique_code_index = repo_name_split.index(assignment.unique_code)</t>
  </si>
  <si>
    <t xml:space="preserve">
def check_repo(assignment: Assignment, repo_url: str, user=None, netid=None) -&gt; AssignmentRepo:
    """
    While processing the webhook, we need to check to see if we have
    record of the repo. This function takes what it needs to create
    the record of the repo if it didn't already exist.
    :param assignment:
    :param repo_url:
    :param user:
    :param netid:
    :return:
    """
    # if the user is not None, then the submission is</t>
  </si>
  <si>
    <t xml:space="preserve">    """
    # if the user is not None, then the submission is
    # not dangling.
    if user is not None:
        repo = AssignmentRepo.query.filter(</t>
  </si>
  <si>
    <t xml:space="preserve">        ).first()
    # If the user is None, then the submission is
    # dangling.
    else:
        repo = AssignmentRepo.query.filter(AssignmentRepo.repo_url == repo_url).first()</t>
  </si>
  <si>
    <t xml:space="preserve">        repo = AssignmentRepo.query.filter(AssignmentRepo.repo_url == repo_url).first()
    # If the repo did not exist, then create it.
    if repo is None:
        repo = AssignmentRepo(</t>
  </si>
  <si>
    <t xml:space="preserve">            cache.delete_memoized(get_repos, user.id)
    # Return the repo object
    return repo</t>
  </si>
  <si>
    <t xml:space="preserve">    questions: list[AssignmentQuestion],
) -&gt; dict[int, list[AssignmentQuestion]]:
    """
    Get mapping of sequence to question mapping from list of questions
    response = {
      1 : [
        AssignmentQuestion,
        ...
      ]
    }
    :param questions:
    :return:
    """
    # Get unique sequences</t>
  </si>
  <si>
    <t xml:space="preserve">    """
    # Get unique sequences
    pools = set(question.pool for question in questions)
</t>
  </si>
  <si>
    <t xml:space="preserve">    pools = set(question.pool for question in questions)
    # Build up sequence to question mapping
    sequence_to_questions = {pool: [] for pool in pools}
    for question in questions:</t>
  </si>
  <si>
    <t xml:space="preserve">
def reset_question_assignments(assignment: Assignment, commit: bool = True):
    """
    Reset the question assignments for an assignment. This will
    first delete all the existing question responses, then
    the question assignments. The questions themselves will stay
    :param assignment:
    :param commit:
    :return:
    """
    # Get all the question assignments for this assignment</t>
  </si>
  <si>
    <t xml:space="preserve">    """
    # Get all the question assignments for this assignment
    assigned_student_questions = AssignedStudentQuestion.query.filter(
        AssignedStudentQuestion.assignment_id == assignment.id</t>
  </si>
  <si>
    <t xml:space="preserve">    ).all()
    # Break them down into ids
    assigned_student_question_ids = list(map(lambda x: x.id, assigned_student_questions))
</t>
  </si>
  <si>
    <t xml:space="preserve">    assigned_student_question_ids = list(map(lambda x: x.id, assigned_student_questions))
    # Delete all responses for the assignment
    AssignedQuestionResponse.query.filter(
        AssignedQuestionResponse.assigned_question_id.in_(assigned_student_question_ids),</t>
  </si>
  <si>
    <t xml:space="preserve">    ).delete()
    # Delete the question assignments
    AssignedStudentQuestion.query.filter(AssignedStudentQuestion.assignment_id == assignment.id).delete()
</t>
  </si>
  <si>
    <t xml:space="preserve">    AssignedStudentQuestion.query.filter(AssignedStudentQuestion.assignment_id == assignment.id).delete()
    # Mark the assignment as questions not assigned
    assignment.questions_assigned = False
</t>
  </si>
  <si>
    <t xml:space="preserve">    assignment.questions_assigned = False
    # Commit the delete
    if commit:
        db.session.commit()</t>
  </si>
  <si>
    <t xml:space="preserve">
def hard_reset_questions(assignment: Assignment, commit: bool = True):
    """
    Hard reset all questions for a given assignment. This
    will delete question assignments and the questions
    themselves.
    :param assignment:
    :param commit:
    :return:
    """
    # Delete the student responses, and question assignments</t>
  </si>
  <si>
    <t xml:space="preserve">    """
    # Delete the student responses, and question assignments
    reset_question_assignments(assignment, commit=False)
</t>
  </si>
  <si>
    <t xml:space="preserve">    reset_question_assignments(assignment, commit=False)
    # Delete the questions themselves
    AssignmentQuestion.query.filter(AssignmentQuestion.assignment_id == assignment.id).delete()
</t>
  </si>
  <si>
    <t xml:space="preserve">    AssignmentQuestion.query.filter(AssignmentQuestion.assignment_id == assignment.id).delete()
    # Mark the assignment as questions not assigned
    assignment.questions_assigned = False
</t>
  </si>
  <si>
    <t xml:space="preserve">
def assign_questions(assignment: Assignment):
    """
    Assign existing questions to students for a given assignment.
    * This will reset question assignments when called *
    :param assignment:
    :return:
    """
    # Delete any existing question assignments</t>
  </si>
  <si>
    <t xml:space="preserve">    """
    # Delete any existing question assignments
    AssignedStudentQuestion.query.filter(AssignedStudentQuestion.assignment_id == assignment.id).delete()
</t>
  </si>
  <si>
    <t xml:space="preserve">    AssignedStudentQuestion.query.filter(AssignedStudentQuestion.assignment_id == assignment.id).delete()
    # Find the questions that have been created for this assignment
    raw_questions = AssignmentQuestion.query.filter(
        AssignmentQuestion.assignment_id == assignment.id,</t>
  </si>
  <si>
    <t xml:space="preserve">    questions = get_question_pool_mapping(raw_questions)
    # Go through students in the class and assign them questions
    assigned_questions = []
    students = User.query.join(InCourse).filter(InCourse.course_id == assignment.course_id).all()</t>
  </si>
  <si>
    <t xml:space="preserve">    for student in students:
        for sequence, qs in questions.items():
            # Get a random question from the pool at this sequence
            selected_question = random.choice(qs)
</t>
  </si>
  <si>
    <t xml:space="preserve">            selected_question = random.choice(qs)
            # Assign them the question
            assigned_question = AssignedStudentQuestion(
                owner=student,</t>
  </si>
  <si>
    <t xml:space="preserve">            db.session.add(assigned_question)
    # Mark the assignment as questions assigned
    assignment.questions_assigned = True
</t>
  </si>
  <si>
    <t xml:space="preserve">    assignment.questions_assigned = True
    # Commit assignments
    db.session.commit()
</t>
  </si>
  <si>
    <t xml:space="preserve">
def ingest_questions(questions: dict, assignment: Assignment):
    """
    questions: [
      {
        sequence: int
        questions: [
          {
            q: str // what is 2*2
            a: str // 4
          },
        ]
      },
      ...
    ]
    response = {
      rejected: [ ... ]
      ignored: [ ... ]
      accepted: [ ... ]
    }
    :param questions:
    :param assignment:
    :return:
    """
    question_shape = {"questions": {"q": str, "a": str}, "sequence": int}</t>
  </si>
  <si>
    <t xml:space="preserve">        return
    # Iterate over questions
    rejected, ignored, accepted = [], [], []
    for question_sequence in questions:</t>
  </si>
  <si>
    <t xml:space="preserve">        shape_good, err_path = verify_data_shape(question_sequence, question_shape)
        if not shape_good:
            # Reject the question if the shape is bad and continue
            rejected.append(
                {</t>
  </si>
  <si>
    <t xml:space="preserve">        for question in question_sequence["questions"]:
            # Check to see if question already exists for the current
            # assignment
            exists = AssignmentQuestion.query.filter(
                AssignmentQuestion.assignment_id == assignment.id,</t>
  </si>
  <si>
    <t xml:space="preserve">            ).first()
            if exists is not None:
                # If the question exists, ignore it and continue
                ignored.append({"question": question, "reason": "already exists"})
                continue</t>
  </si>
  <si>
    <t xml:space="preserve">                continue
            # Create the new question from posted data
            assignment_question = AssignmentQuestion(
                assignment_id=assignment.id,</t>
  </si>
  <si>
    <t xml:space="preserve">            accepted.append({"question": question})
    # Commit additions
    db.session.commit()
</t>
  </si>
  <si>
    <t xml:space="preserve">
def get_all_questions(assignment: Assignment) -&gt; list[dict[str, str]]:
    """
    Get all questions for a given assignment.
    response = [
      {
        question: "what is 2*2?",
        solution: "4",
        ...
      },
      ...
    ]
    :param assignment:
    :return:
    """
    # Get all questions</t>
  </si>
  <si>
    <t xml:space="preserve">    """
    # Get all questions
    questions = AssignmentQuestion.query.filter(AssignmentQuestion.assignment_id == assignment.id).all()
</t>
  </si>
  <si>
    <t xml:space="preserve">    questions = AssignmentQuestion.query.filter(AssignmentQuestion.assignment_id == assignment.id).all()
    # Get sequence to question mapping
    pools_to_questions = get_question_pool_mapping(questions)
</t>
  </si>
  <si>
    <t xml:space="preserve">    pools_to_questions = get_question_pool_mapping(questions)
    # Get the raw questions in a generator of lists
    question_pools = pools_to_questions.values()
</t>
  </si>
  <si>
    <t xml:space="preserve">    question_pools = pools_to_questions.values()
    # Pull questions out of sequences and add
    # them to question_list
    questions_list: list[dict[str, str]] = []
    for pool in question_pools:</t>
  </si>
  <si>
    <t>@cache.memoize(timeout=5, unless=is_debug)
def get_assigned_questions(assignment_id: str, user_id: str, full: bool = False):
    """
    Get the assigned question objects for a user_id and assignment.
    If the full option is on, then a full view (including solutions) will be returned
    * The results are lightly cached *
    :param assignment_id:
    :param user_id:
    :param full:
    :return:
    """
    # Get assigned questions</t>
  </si>
  <si>
    <t xml:space="preserve">    """
    # Get assigned questions
    assigned_questions = (
        AssignedStudentQuestion.query.join(AssignmentQuestion)</t>
  </si>
  <si>
    <t xml:space="preserve">
def get_question_assignments(assignment: Assignment):
    """
    :param assignment:
    :return:
    """
    # Create a dictionary of question assignments</t>
  </si>
  <si>
    <t xml:space="preserve">    """
    # Create a dictionary of question assignments
    # netid -&gt; get_assigned_questions(assignment, student, full=True)
    assignments = {}
</t>
  </si>
  <si>
    <t xml:space="preserve">    assignments = {}
    # Get all the students in the course
    students = get_students(assignment.course_id)
</t>
  </si>
  <si>
    <t>@cache.memoize(timeout=120, unless=is_debug)
def export_assignment_questions(assignment_id: str) -&gt; bytes | None:
    """
    Export an assignment questions to a zip file.
    :param assignment_id:
    :return:
    """
    # Get the assignment</t>
  </si>
  <si>
    <t xml:space="preserve">    """
    # Get the assignment
    assignment = Assignment.query.filter(Assignment.id == assignment_id).first()
</t>
  </si>
  <si>
    <t xml:space="preserve">    assignment = Assignment.query.filter(Assignment.id == assignment_id).first()
    # If the assignment does not exist, then return None
    if assignment is None:
        return None</t>
  </si>
  <si>
    <t xml:space="preserve">        return None
    # Get the question assignments. This data includes all the
    # question strs, solution strs, and student responses for
    # an assignment.
    question_assignments = get_question_assignments(assignment)
</t>
  </si>
  <si>
    <t xml:space="preserve">    question_assignments = get_question_assignments(assignment)
    # Create an in-memory zip file buffer
    zip_buffer = io.BytesIO()
</t>
  </si>
  <si>
    <t xml:space="preserve">    zip_buffer = io.BytesIO()
    # Create a zip file using the in-memory buffer
    with zipfile.ZipFile(zip_buffer, "a", zipfile.ZIP_DEFLATED, False) as zip_file:
</t>
  </si>
  <si>
    <t xml:space="preserve">    with zipfile.ZipFile(zip_buffer, "a", zipfile.ZIP_DEFLATED, False) as zip_file:
        # list of student meta data
        student_metas = []
</t>
  </si>
  <si>
    <t xml:space="preserve">        student_metas = []
        # Iterate through all the student question assignments
        for netid, data in question_assignments.items():
</t>
  </si>
  <si>
    <t xml:space="preserve">        for netid, data in question_assignments.items():
            # Get the name of the student
            name = data["name"]
</t>
  </si>
  <si>
    <t xml:space="preserve">            name = data["name"]
            # list of responses for this student
            responses = []
</t>
  </si>
  <si>
    <t xml:space="preserve">            responses = []
            # Iterate through each question assigned to the student
            for student_question_data in data["questions"]:
                # Pull fields from the question_data</t>
  </si>
  <si>
    <t xml:space="preserve">            # Iterate through each question assigned to the student
            for student_question_data in data["questions"]:
                # Pull fields from the question_data
                response_text = student_question_data["response"]["text"]
                response_late = student_question_data["response"]["late"]</t>
  </si>
  <si>
    <t xml:space="preserve">                solution = student_question_data["question"]["solution"]
                # Write files to zip archive
                zip_file.writestr(f"{netid}/q{pool}/question.md", question)
                zip_file.writestr(f"{netid}/q{pool}/solution.md", solution)</t>
  </si>
  <si>
    <t xml:space="preserve">                zip_file.writestr(f"{netid}/q{pool}/response.txt", response_text)
                # Append the responses
                responses.append({"pool": pool, "late": response_late, "time": response_time})
</t>
  </si>
  <si>
    <t xml:space="preserve">                responses.append({"pool": pool, "late": response_late, "time": response_time})
            # Create the student meta data
            student_data = {"netid": netid, "name": name, "responses": responses}
</t>
  </si>
  <si>
    <t xml:space="preserve">            student_data = {"netid": netid, "name": name, "responses": responses}
            # Append the student meta data to the global value
            student_metas.append(student_data)
</t>
  </si>
  <si>
    <t xml:space="preserve">            student_metas.append(student_data)
            # Write this students meta data to their directory
            zip_file.writestr(f"{netid}/meta.yaml", yaml.safe_dump(student_data))
</t>
  </si>
  <si>
    <t xml:space="preserve">            zip_file.writestr(f"{netid}/meta.yaml", yaml.safe_dump(student_data))
            # Write a global assignment and student meta data file
        zip_file.writestr(
            "assignment.yaml",</t>
  </si>
  <si>
    <t xml:space="preserve">        )
    # Pass back the buffer in bytes
    return zip_buffer.getvalue()
</t>
  </si>
  <si>
    <t>@cache.memoize(timeout=120, unless=is_debug)
def export_assignment_question_history(assignment_id: str, user_id: str) -&gt; str | None:
    # Get the assignment &amp; user
    assignment = Assignment.query.filter(Assignment.id == assignment_id).first()
    user = User.query.filter(User.id == user_id).first()</t>
  </si>
  <si>
    <t xml:space="preserve">    user = User.query.filter(User.id == user_id).first()
    # If the assignment does not exist, then return None
    if assignment is None or user is None:
        return None</t>
  </si>
  <si>
    <t xml:space="preserve">        return None
    # Make history response
    history = {
        'user': user.data,</t>
  </si>
  <si>
    <t xml:space="preserve">    }
    # Iterate through questions in order
    for assigned_question in (
        AssignedStudentQuestion.query.join(AssignmentQuestion)</t>
  </si>
  <si>
    <t xml:space="preserve">        assigned_question: AssignedStudentQuestion
        # Create the question data
        question = {
            'question': assigned_question.question.full_data,</t>
  </si>
  <si>
    <t xml:space="preserve">        }
        # Iterate through question responses sorted by time
        for response in (
            AssignedQuestionResponse.query.filter(</t>
  </si>
  <si>
    <t xml:space="preserve">            response: AssignedQuestionResponse
            # Add response data
            question['responses'].append(response.data)
</t>
  </si>
  <si>
    <t xml:space="preserve">            question['responses'].append(response.data)
        # Add question data
        history['questions'].append(question)
</t>
  </si>
  <si>
    <t xml:space="preserve">
def fix_missing_question_assignments(assignment: Assignment):
    """
    Calculate and assign questions that are not assigned
    to students for a given assignment. Should be run in
    the daily cleanup.
    :param assignment:
    :return:
    """
    if not assignment.questions_assigned:</t>
  </si>
  <si>
    <t xml:space="preserve">        logger.info("fix_missing_question_assignments skipping, questions not assigned yet")
    # Get set of student ids
    students = get_students_in_class(assignment.course_id)
    student_ids = set(map(lambda u: u["id"], students))</t>
  </si>
  <si>
    <t xml:space="preserve">    student_ids = set(map(lambda u: u["id"], students))
    # Get all assignment questions for this assignment
    assignment_questions: list[AssignmentQuestion] = AssignmentQuestion.query.filter(
        AssignmentQuestion.assignment_id == assignment.id,</t>
  </si>
  <si>
    <t xml:space="preserve">    ).all()
    # If there are no assignment questions for this assignment, we can skip
    if len(assignment_questions) == 0:
        return</t>
  </si>
  <si>
    <t xml:space="preserve">        return
    # Get map of pool -&gt; [assignment question]
    question_mapping = get_question_pool_mapping(assignment_questions)
</t>
  </si>
  <si>
    <t xml:space="preserve">    question_mapping = get_question_pool_mapping(assignment_questions)
    # Get the set of question pools
    question_pools = set(question_mapping.keys())
</t>
  </si>
  <si>
    <t xml:space="preserve">    question_pools = set(question_mapping.keys())
    # Iterate over each student in the course
    for student_id in student_ids:
</t>
  </si>
  <si>
    <t xml:space="preserve">    for student_id in student_ids:
        # Get the question assignments for this student on this assignment
        student_questions: list[AssignedStudentQuestion] = AssignedStudentQuestion.query.filter(
            AssignedStudentQuestion.assignment_id == assignment.id,</t>
  </si>
  <si>
    <t xml:space="preserve">        ).all()
        # Calculate set of which pools this student has questions assigned for
        student_question_pools = set(map(lambda q: q.question.pool, student_questions))
</t>
  </si>
  <si>
    <t xml:space="preserve">        student_question_pools = set(map(lambda q: q.question.pool, student_questions))
        # Calculate which question pools have no questions assigned for this student
        missing_student_question_pools = question_pools.difference(student_question_pools)
</t>
  </si>
  <si>
    <t xml:space="preserve">        missing_student_question_pools = question_pools.difference(student_question_pools)
        # Iterate over missing question pools
        for pool in missing_student_question_pools:
            logger.info(</t>
  </si>
  <si>
    <t xml:space="preserve">            )
            # Get list of questions for this pool
            qs = question_mapping[pool]
</t>
  </si>
  <si>
    <t xml:space="preserve">            qs = question_mapping[pool]
            # Get a random question from the pool at this sequence
            selected_question = random.choice(qs)
</t>
  </si>
  <si>
    <t xml:space="preserve">            selected_question = random.choice(qs)
            # Assign them the question
            assigned_question = AssignedStudentQuestion(
                owner_id=student_id,</t>
  </si>
  <si>
    <t xml:space="preserve">
def assign_missing_questions(user_id: str):
    # Log RPC job start
    logger.info(f"RPC::assign_missing_questions user_id={user_id}")
</t>
  </si>
  <si>
    <t xml:space="preserve">    logger.info(f"RPC::assign_missing_questions user_id={user_id}")
    # Query for user in db
    user: User = User.query.filter(User.id == user_id).first()
</t>
  </si>
  <si>
    <t xml:space="preserve">    user: User = User.query.filter(User.id == user_id).first()
    # Verify they exist
    if user is None:
        logger.error(f"RPC::assign_missing_questions user does not exist user_id={user_id}")</t>
  </si>
  <si>
    <t xml:space="preserve">        return
    # Get all the courses that the user belongs to
    courses: list[Course] = (
        Course.query.join(InCourse)</t>
  </si>
  <si>
    <t xml:space="preserve">    )
    # Iterate over each course the student is in
    for course in courses:
</t>
  </si>
  <si>
    <t xml:space="preserve">    for course in courses:
        # Get all assignments (that have been released and that
        # have not). Skip assignments that have not had their
        # questions assigned yet.
        assignments: list[Assignment] = Assignment.query.filter(
            Assignment.course_id == course.id,</t>
  </si>
  <si>
    <t xml:space="preserve">        ).all()
        # Iterate over assignments
        for assignment in assignments:
            # Run missing question fix for each assignment</t>
  </si>
  <si>
    <t xml:space="preserve">        # Iterate over assignments
        for assignment in assignments:
            # Run missing question fix for each assignment
            fix_missing_question_assignments(assignment)</t>
  </si>
  <si>
    <t xml:space="preserve">@cache.memoize(timeout=10, unless=is_debug, source_check=True)
def get_lecture_notes(user_id: str, course_id: str | None = None):
    # Load user
    user = User.query.filter(User.id == user_id).first()
</t>
  </si>
  <si>
    <t xml:space="preserve">    user = User.query.filter(User.id == user_id).first()
    # Verify user exists
    if user is None:
        return None</t>
  </si>
  <si>
    <t xml:space="preserve">        return None
    # Get the list of course ids
    course_ids = get_student_course_ids(user, default=course_id)
</t>
  </si>
  <si>
    <t xml:space="preserve">    course_ids = get_student_course_ids(user, default=course_id)
    # Build a list of all the LectureNotes visible
    # to this user for each of the courses they are in.
    lecture_notes: list[LectureNotes] = (
        LectureNotes.query.filter(</t>
  </si>
  <si>
    <t xml:space="preserve">    )
    # Pass back the raw data
    return [lecture_note.data for lecture_note in lecture_notes]</t>
  </si>
  <si>
    <t>@cache.memoize(timeout=30)
def get_assignment_due_date(user_id: str, assignment_id: str, grace: bool = False) -&gt; datetime:
    """
    Get the due date for an assignment for a specific user. We check to
    see if there is a late exception for this user, and return that if
    available. Otherwise, the default due date for the assignment is
    returned.
    :param user_id:
    :param assignment_id:
    :return:
    """
    # Get the slightly cached grace and due dates</t>
  </si>
  <si>
    <t xml:space="preserve">    """
    # Get the slightly cached grace and due dates
    due_date: datetime = get_assignment_due(assignment_id)
    grace_date: datetime = get_assignment_grace(assignment_id)</t>
  </si>
  <si>
    <t xml:space="preserve">    grace_date: datetime = get_assignment_grace(assignment_id)
    # If we are requesting the grace date, then we can just overwrite the
    # due date with the grace date
    if grace:
        due_date = grace_date</t>
  </si>
  <si>
    <t xml:space="preserve">        due_date = grace_date
    # If there is no user signed in, then there is no late
    # exception to check for. Simply return the due date.
    if user_id is None:
        return due_date</t>
  </si>
  <si>
    <t xml:space="preserve">        return due_date
    # Check for a late exception for this student
    late_exception: LateException | None = LateException.query.filter(
        LateException.owner_id == user_id,</t>
  </si>
  <si>
    <t xml:space="preserve">    ).first()
    # If there was a late exception, return that due_date
    if late_exception is not None:
        return late_exception.due_date</t>
  </si>
  <si>
    <t xml:space="preserve">        return late_exception.due_date
    # If no late exception, return the assignment default
    return due_date
</t>
  </si>
  <si>
    <t xml:space="preserve">
def get_all_assignments(course_ids: set[str], admin_course_ids: set[str]) -&gt; list[Assignment]:
    # Build a list of all the assignments visible
    # to this user for each of the specified courses.
    assignments: list[Assignment] = []
</t>
  </si>
  <si>
    <t xml:space="preserve">    assignments: list[Assignment] = []
    # Get the assignment objects that should be visible to this user.
    regular_course_assignments = (
        Assignment.query.join(Course)</t>
  </si>
  <si>
    <t xml:space="preserve">    )
    # Get the assignment objects that should be visible to this user.
    admin_course_assignments = (
        Assignment.query.join(Course)</t>
  </si>
  <si>
    <t xml:space="preserve">    )
    # Add all the assignment objects to the running list
    assignments.extend(admin_course_assignments)
    assignments.extend(regular_course_assignments)</t>
  </si>
  <si>
    <t>@cache.memoize(timeout=10, unless=is_debug, source_check=True)
def get_assignments(netid: str, course_id=None) -&gt; list[dict[str, Any]] | None:
    """
    Get all the current assignments for a netid. Optionally specify a course_id
    to filter by course.
    :param netid: netid of user
    :param course_id: optional course name
    :return: list[Assignment.data]
    """
    # Load user
    user = User.query.filter_by(netid=netid).first()</t>
  </si>
  <si>
    <t xml:space="preserve">    :return: list[Assignment.data]
    """
    # Load user
    user = User.query.filter_by(netid=netid).first()
</t>
  </si>
  <si>
    <t xml:space="preserve">    admin_course_ids: set[str] = set()
    # If course id was specified, then filter for a specific class
    if course_id is not None:
        if is_course_admin(course_id, user.id):</t>
  </si>
  <si>
    <t xml:space="preserve">            course_ids.add(course_id)
    # If course_id was not specified, then pull assignments for all
    # courses that the user is in.
    else:
        admin_course_ids, course_ids = get_user_course_ids(user)</t>
  </si>
  <si>
    <t xml:space="preserve">    course_ids = set(filter(lambda cid: not is_course_archived(cid), course_ids))
    # Get assignment objects
    assignments: list[Assignment] = get_all_assignments(course_ids, admin_course_ids)
</t>
  </si>
  <si>
    <t xml:space="preserve">    assignments: list[Assignment] = get_all_assignments(course_ids, admin_course_ids)
    # Take all the sqlalchemy assignment objects,
    # and break them into data dictionaries.
    # Sort them by due_date.
    response = [
        _a.data</t>
  </si>
  <si>
    <t xml:space="preserve">    ]
    # Add submission and repo information to the assignments
    for assignment_data in response:
        fill_user_assignment_data(user.id, assignment_data)</t>
  </si>
  <si>
    <t xml:space="preserve">
def assignment_sync(assignment_data: dict) -&gt; tuple[dict | str, bool]:
    """
    Take an assignment_data dictionary from a assignment meta.yaml
    and update any and all existing data about the assignment.
    * This includes the assignment object fields, assignment tests,
    and assignment questions. *
    :param assignment_data:
    :return:
    """
    assignment = Assignment.query.filter(Assignment.unique_code == assignment_data["unique_code"]).first()
</t>
  </si>
  <si>
    <t xml:space="preserve">    assignment = Assignment.query.filter(Assignment.unique_code == assignment_data["unique_code"]).first()
    # Attempt to find the class
    course_name = assignment_data.get("class", None) or assignment_data.get("course", None)
    course: Course = Course.query.filter(</t>
  </si>
  <si>
    <t xml:space="preserve">    assert_course_admin(course.id)
    # Check if it exists
    if assignment is None:
        assignment = Assignment(</t>
  </si>
  <si>
    <t xml:space="preserve">        )
    # Update fields
    assignment.name = assignment_data["name"]
    assignment.pipeline_image = assignment_data["pipeline_image"]</t>
  </si>
  <si>
    <t xml:space="preserve">    db.session.add(assignment)
    # Go through assignment tests, and delete those that are now
    # not in the assignment data.
    assignment_tests_names = [test['name'] for test in assignment_data["tests"]]
    for assignment_test in AssignmentTest.query.filter(</t>
  </si>
  <si>
    <t xml:space="preserve">        AssignmentTest.name.notin_(assignment_tests_names),
    ).all():
        # Delete any and all submission test results that are still outstanding
        # for an assignment test that will be deleted.
        SubmissionTestResult.query.filter(
            SubmissionTestResult.assignment_test_id == assignment_test.id,</t>
  </si>
  <si>
    <t xml:space="preserve">        ).delete()
        # Delete the assignment test
        AssignmentTest.query.filter(
            AssignmentTest.assignment_id == assignment.id,</t>
  </si>
  <si>
    <t xml:space="preserve">        ).delete()
    # Run through the tests in the assignment data
    for test in assignment_data["tests"]:
        test_name = test['name']</t>
  </si>
  <si>
    <t xml:space="preserve">        test_points = test['points']
        # Find if the assignment test exists
        assignment_test = (
            AssignmentTest.query.join(Assignment)</t>
  </si>
  <si>
    <t xml:space="preserve">        )
        # Create the assignment test if it did not already exist
        if assignment_test is None:
            assignment_test = AssignmentTest(assignment=assignment, name=test_name)</t>
  </si>
  <si>
    <t xml:space="preserve">        assignment_test.points = test_points
    # Sync the questions in the assignment data
    question_message = None
    if "questions" in assignment_data and isinstance(assignment_data["questions"], list):</t>
  </si>
  <si>
    <t xml:space="preserve">        }
    # Commit changes
    db.session.commit()
</t>
  </si>
  <si>
    <t xml:space="preserve">    assignment_id: str = assignment_data["id"]
    # If the current user has a submission for this assignment, then mark it
    assignment_data["has_submission"] = (
        Submission.query.filter(</t>
  </si>
  <si>
    <t xml:space="preserve">    ).first()
    # If the current user has a repo for this assignment, then mark it
    assignment_data["has_repo"] = repo is not None
    # If the current user has a repo for this assignment, then mark it</t>
  </si>
  <si>
    <t xml:space="preserve">    # If the current user has a repo for this assignment, then mark it
    assignment_data["has_repo"] = repo is not None
    # If the current user has a repo for this assignment, then mark it
    assignment_data["repo_url"] = repo.repo_url if repo is not None else None
</t>
  </si>
  <si>
    <t xml:space="preserve">    delta: timedelta = None
) -&gt; list[Assignment]:
    """
    Get recent assignments. Recent assignments based off of
    AUTOGRADE_RECALCULATE_DAYS config item value.
    :return:
    """
    filters = []</t>
  </si>
  <si>
    <t xml:space="preserve">
def delete_assignment_submissions(assignment: Assignment):
    """
    Delete Submissions &amp; subtables
    :param assignment:
    :return:
    """
    submission_ids = db.session.query(Submission.id).filter(Submission.assignment_id == assignment.id)
    SubmissionTestResult.query.filter(SubmissionTestResult.submission_id.in_(submission_ids.subquery())).delete(</t>
  </si>
  <si>
    <t xml:space="preserve">
def delete_assignment_questions(assignment: Assignment):
    """
    Delete assignment questions &amp; subtables
    :param assignment:
    :return:
    """
    assigned_question_ids = db.session.query(AssignmentQuestion.id).filter(
        AssignmentQuestion.assignment_id == assignment.id</t>
  </si>
  <si>
    <t xml:space="preserve">
def delete_assignment(assignment: Assignment) -&gt; None:
    """
    Delete an Anubis assignment. This function is unbelievably destructive.
    :param assignment:
    :return:
    """
    delete_assignment_submissions(assignment)
    delete_assignment_questions(assignment)</t>
  </si>
  <si>
    <t xml:space="preserve">    delete_assignment_repos(assignment)
    # Delete assignment tests
    AssignmentTest.query.filter(AssignmentTest.assignment_id == assignment.id).delete(synchronize_session=False)
</t>
  </si>
  <si>
    <t xml:space="preserve">    AssignmentTest.query.filter(AssignmentTest.assignment_id == assignment.id).delete(synchronize_session=False)
    # Delete theia sessions
    TheiaSession.query.filter(TheiaSession.assignment_id == assignment.id).delete(synchronize_session=False)
</t>
  </si>
  <si>
    <t xml:space="preserve">    TheiaSession.query.filter(TheiaSession.assignment_id == assignment.id).delete(synchronize_session=False)
    # Delete assignment
    Assignment.query.filter(Assignment.id == assignment.id).delete(synchronize_session=False)
</t>
  </si>
  <si>
    <t xml:space="preserve">
def convert_group_netids_to_group_users(group_netids: list[list[str]]) -&gt; tuple[list[User], list[list[User]]]:
    """
    :param group_netids:
    :return:
    """
    # Flatten groups into a single list of netids</t>
  </si>
  <si>
    <t xml:space="preserve">    """
    # Flatten groups into a single list of netids
    all_netids: list[str] = [netid for group in group_netids for netid in group]
</t>
  </si>
  <si>
    <t xml:space="preserve">    all_netids: list[str] = [netid for group in group_netids for netid in group]
    # Get a list of the found users, and set of not found netids
    users, not_found_netids = verify_users(all_netids)
</t>
  </si>
  <si>
    <t xml:space="preserve">    users, not_found_netids = verify_users(all_netids)
    # Assert that all the netids are known. If they are not, eject from the request
    req_assert(
        len(not_found_netids) == 0,</t>
  </si>
  <si>
    <t xml:space="preserve">    )
    # netid -&gt; User
    user_map = {user.netid: user for user in users}
</t>
  </si>
  <si>
    <t xml:space="preserve">    user_map = {user.netid: user for user in users}
    # Build groups of User objects from original groups of netids
    groups = []
    for netids in group_netids:</t>
  </si>
  <si>
    <t xml:space="preserve">
def make_shared_assignment(assignment_id: str, group_netids: list[list[str]]) -&gt; dict:
    """
    group_netids = [
      [netid1, netid2],
      [netid3]
    ]
    :param assignment_id:
    :param group_netids:
    :return:
    """
    assignment = Assignment.query.filter(</t>
  </si>
  <si>
    <t xml:space="preserve">    ).first()
    # Get users and groups
    users, groups = convert_group_netids_to_group_users(group_netids)
</t>
  </si>
  <si>
    <t xml:space="preserve">    users, groups = convert_group_netids_to_group_users(group_netids)
    # Make sure all users specified are in the course (add them if they are not)
    add_all_users_to_course(users, assignment.course)
</t>
  </si>
  <si>
    <t xml:space="preserve">            continue
        # Create the repo for the group
        repos = create_assignment_group_repo(group, assignment)
</t>
  </si>
  <si>
    <t xml:space="preserve">        repos = create_assignment_group_repo(group, assignment)
        # Track group
        all_repos.extend(repos)
</t>
  </si>
  <si>
    <t xml:space="preserve">        all_repos.extend(repos)
        # Track repos that failed to create
        if not all(repo.repo_created for repo in repos):
            failed_to_create.append(",".join(user.netid for user in group))</t>
  </si>
  <si>
    <t xml:space="preserve">            failed_to_create.append(",".join(user.netid for user in group))
        # Track repos that failed to have collaborators configured
        for repo in repos:
            if not repo.collaborator_configured:</t>
  </si>
  <si>
    <t xml:space="preserve">
def get_assignment_tests(submission: Submission, only_visible=False):
    """
    Get a list of dictionaries of the matching Test, and TestResult
    for the current submission.
    :return:
    """
    # Construct query for</t>
  </si>
  <si>
    <t xml:space="preserve">    """
    # Construct query for
    query = SubmissionTestResult.query.join(AssignmentTest).filter(
        SubmissionTestResult.submission_id == submission.id,</t>
  </si>
  <si>
    <t xml:space="preserve">    )
    # If only get visible tests, apply extra filter
    if only_visible:
        query.filter(AssignmentTest.hidden == False)</t>
  </si>
  <si>
    <t xml:space="preserve">        query.filter(AssignmentTest.hidden == False)
    # Query for matching AssignmentTests, and TestResults
    tests = query.all()
</t>
  </si>
  <si>
    <t xml:space="preserve">    tests = query.all()
    # Convert to dictionary data
    return [{"test": result.assignment_test.data, "result": result.data} for result in tests]
</t>
  </si>
  <si>
    <t xml:space="preserve">
def clean_assignment_name(assignment: Assignment) -&gt; str:
    """
    Create short clean assignment name for places that require trimming
    :param assignment:
    :return:
    """
    assignment_name = assignment.name.lower().replace('-', '').replace('_', '')</t>
  </si>
  <si>
    <t xml:space="preserve">
def get_course_context(full_stop: bool = True) -&gt; Course | None:
    """
    Get the course context for the current admin user. On the anubis website
    when a user is an admin, they have a context autocomplete at the top
    with all the courses they are admins for. When they select a course,
    it sets a course context cookie.
    This function pulls that information out of the cookie, verifies
    that the user is truly an admin for that course, then returns the
    corresponding Course object.
    The full_stop option is there to save time. When it is set,
    any discrepancy found (like say if the current user is not
    an admin for the course they have set) then a LackCourseContext
    exception will be raised. When this happens, there is a high
    level wrapper that handles returns a 400 to the user saying
    they lack the proper course context / privileges.
    :param full_stop:
    :return:
    """
    def _get_course_context():</t>
  </si>
  <si>
    <t xml:space="preserve">
    def _get_course_context():
        """
        Putting this in a separate function made handling the
        full_stop option slightly easier.
        :return:
        """
        # Get the raw course cookie string</t>
  </si>
  <si>
    <t xml:space="preserve">        """
        # Get the raw course cookie string
        course_raw = request.cookies.get("course", default=None)
</t>
  </si>
  <si>
    <t xml:space="preserve">        course_raw = request.cookies.get("course", default=None)
        # If there is no cookie set, then return None
        if course_raw is None:
            return None</t>
  </si>
  <si>
    <t xml:space="preserve">            return None
        # Attempt to urllib unquote, base64 decode, then json loads
        # the raw cookie. There is a lot that can go wrong here, so
        # just handle any exceptions.
        try:
            course_data = json.loads(base64.urlsafe_b64decode(urllib.parse.unquote(course_raw).encode()))</t>
  </si>
  <si>
    <t xml:space="preserve">            course_data = json.loads(base64.urlsafe_b64decode(urllib.parse.unquote(course_raw).encode()))
        except Exception as e:
            # Print the exception traceback
            logger.error(traceback.format_exc())
            logger.error(str(e))</t>
  </si>
  <si>
    <t xml:space="preserve">            return None
        # Get the course id from the loaded course data
        course_id = course_data.get("id", None)
</t>
  </si>
  <si>
    <t xml:space="preserve">        course_id = course_data.get("id", None)
        # If there was no id in the course data, then return None
        if course_id is None:
            return None</t>
  </si>
  <si>
    <t xml:space="preserve">            return None
        # Verify that the current user is actually an admin for
        # this course.
        if not is_course_admin(course_id):
            if full_stop:</t>
  </si>
  <si>
    <t xml:space="preserve">            return None
        # Get the course object
        course = Course.query.filter(
            Course.id == course_id,</t>
  </si>
  <si>
    <t xml:space="preserve">        ).first()
        # And return it
        return course
</t>
  </si>
  <si>
    <t xml:space="preserve">        return course
    # Get the current course context
    if "course_context" not in g:
        _course_context = _get_course_context()</t>
  </si>
  <si>
    <t xml:space="preserve">        g.course_context = _course_context
    # If full_stop is on, then verify we got a valid context,
    # or raise a LackCourseContext.
    if g.course_context is None and full_stop:
        raise LackCourseContext()</t>
  </si>
  <si>
    <t xml:space="preserve">        raise LackCourseContext()
    # Return the course context
    return g.course_context
</t>
  </si>
  <si>
    <t xml:space="preserve">
def is_course_superuser(course_id: str, user_id: str = None) -&gt; bool:
    """
    Use this function to verify if the current user is a superuser for
    the specified course_id. A user is a superuser for a course if they are
    a professor, or if they are a superuser.
    :param course_id:
    :param user_id:
    :return:
    """
    # Get the current user</t>
  </si>
  <si>
    <t xml:space="preserve">    """
    # Get the current user
    if user_id is None:
        user = current_user</t>
  </si>
  <si>
    <t xml:space="preserve">        user = User.query.filter(User.id == user_id).first()
    # If they are a superuser, then we can just return True
    if user.is_superuser:
        return True</t>
  </si>
  <si>
    <t xml:space="preserve">        return True
    # Check to see if they are a professor for the current course
    prof = ProfessorForCourse.query.filter(
        ProfessorForCourse.owner_id == user.id,</t>
  </si>
  <si>
    <t xml:space="preserve">    ).first()
    # Return True if they are a professor for the course
    return prof is not None
</t>
  </si>
  <si>
    <t xml:space="preserve">
def is_course_admin(course_id: str, user_id: str = None) -&gt; bool:
    """
    Use this function to verify if the current user is an admin for
    the specified course_id. A user is an admin for a course if they are
    a ta, professor, or if they are a superuser.
    :param course_id:
    :param user_id:
    :return:
    """
    # Get the current user</t>
  </si>
  <si>
    <t xml:space="preserve">        user = User.query.filter(User.id == user_id).first()
    # If they are a superuser, then just return True
    if user.is_superuser:
        return True</t>
  </si>
  <si>
    <t xml:space="preserve">        return True
    # Check to see if they are a TA for the course
    ta = TAForCourse.query.filter(
        TAForCourse.owner_id == user.id,</t>
  </si>
  <si>
    <t xml:space="preserve">        return True
    # Check to see if they are a professor for the course
    prof = ProfessorForCourse.query.filter(
        ProfessorForCourse.owner_id == user.id,</t>
  </si>
  <si>
    <t xml:space="preserve">
def assert_course_admin(course_id: str = None):
    """
    Use this function to assert that the current user is
    an admin for the specified course. If they are not, then
    an authentication error will be raised.
    The AuthenticationError will be handled in a high level
    flask view wrapper that will return whatever string we
    put as the message for the authentication error.
    :param course_id:
    :return:
    """
    if not is_course_admin(course_id):
        raise LackCourseContext("Requires course TA permissions")</t>
  </si>
  <si>
    <t xml:space="preserve">
def assert_course_superuser(course_id: str = None):
    """
    Use this function to assert that the current user is
    a superuser for the specified course. If they are not, then
    an authentication error will be raised.
    The AuthenticationError will be handled in a high level
    flask view wrapper that will return whatever string we
    put as the message for the authentication error.
    :param course_id:
    :return:
    """
    if not is_course_superuser(course_id):
        raise LackCourseContext("Requires course Professor permissions")</t>
  </si>
  <si>
    <t xml:space="preserve">
def assert_course_context(*models: tuple[Any]):
    """
    This function checks that all the sqlalchemy objects that are
    passed to this function are within the current course context.
    If they are not, then a LackCourseContext will be raised.
    :param models:
    :return:
    """
    # If the current user is a superuser, then we can skip</t>
  </si>
  <si>
    <t xml:space="preserve">    """
    # If the current user is a superuser, then we can skip
    # any and all course context checks.
    if current_user.is_superuser:
        return True</t>
  </si>
  <si>
    <t xml:space="preserve">        return True
    # Get the current course context
    context = get_course_context()
</t>
  </si>
  <si>
    <t xml:space="preserve">    context = get_course_context()
    # Create a stack of objects to check
    object_stack = list(models)
</t>
  </si>
  <si>
    <t xml:space="preserve">    object_stack = list(models)
    # This next bit of code definitely deserves an explanation. Most
    # all the sqlalchemy models have some relationship or backref
    # that leads to a course object. What I am doing here is using a
    # stack to continuously access the next backref or relationship
    # until we get to a course object.
    #
    # Since the majority of models have either an .assignment or
    # .course backref, we can simplify things a bit by iterating
    # over all the model types that have the same name for the next
    # relationship or backref to access.
    # Iterate until the stack is empty</t>
  </si>
  <si>
    <t xml:space="preserve">    # relationship or backref to access.
    # Iterate until the stack is empty
    while len(object_stack) != 0:
        model = object_stack.pop()</t>
  </si>
  <si>
    <t xml:space="preserve">        model = object_stack.pop()
        # If the model is a course, then we can actually do the context check
        if isinstance(model, Course):
</t>
  </si>
  <si>
    <t xml:space="preserve">        if isinstance(model, Course):
            # Check that the current user is an admin for the course object
            if not is_course_admin(model.id):
                raise LackCourseContext("You cannot edit resources in this course context")</t>
  </si>
  <si>
    <t xml:space="preserve">                raise LackCourseContext("You cannot edit resources in this course context")
            # Verify that the course object is the same as the set context
            if model.id != context.id:
                raise LackCourseContext("Cannot view or edit resource outside course context")</t>
  </si>
  <si>
    <t xml:space="preserve">                raise LackCourseContext("Cannot view or edit resource outside course context")
        # Group together all the models that have an
        # assignment backref or relationship
        for model_type in [
            Submission,</t>
  </si>
  <si>
    <t xml:space="preserve">                continue
        # Group together all the models that have a course
        # backref or relationship
        for model_type in [
            Assignment,</t>
  </si>
  <si>
    <t xml:space="preserve">                continue
        # ---------------------------------
        # If the model is a user then we need to handle it a
        # little differently. We'll just need to verify that
        # the student is in the course.
        if isinstance(model, User):
</t>
  </si>
  <si>
    <t xml:space="preserve">        if isinstance(model, User):
            # Get course student is in
            in_course = InCourse.query.filter(
                InCourse.owner_id == model.id,</t>
  </si>
  <si>
    <t xml:space="preserve">            ).first()
            # Verify that they are in the course
            if in_course is None:
                raise LackCourseContext("Student is not within this course context")</t>
  </si>
  <si>
    <t xml:space="preserve">
def valid_join_code(join_code: str) -&gt; bool:
    """
    Validate code to make sure that all the characters are ok.
    :param join_code:
    :return:
    """
    # Create a valid charset from all ascii letters and numbers</t>
  </si>
  <si>
    <t xml:space="preserve">    """
    # Create a valid charset from all ascii letters and numbers
    valid_chars = set(string.ascii_letters + string.digits)
</t>
  </si>
  <si>
    <t xml:space="preserve">    valid_chars = set(string.ascii_letters + string.digits)
    # Make sure the join code is 6 chars long, and
    # all the chars exist in the valid_chars set.
    return all(c in valid_chars for c in join_code)
</t>
  </si>
  <si>
    <t>@cache.memoize(timeout=60, unless=is_debug)
def get_courses(netid: str) -&gt; list[dict[str, Any]]:
    """
    Get all classes a given netid is in
    :param netid:
    :return:
    """
    # Get user</t>
  </si>
  <si>
    <t xml:space="preserve">    """
    # Get user
    user = User.query.filter(User.netid == netid).first()
</t>
  </si>
  <si>
    <t xml:space="preserve">    user = User.query.filter(User.netid == netid).first()
    # Get course ids
    course_ids = get_student_course_ids(user)
</t>
  </si>
  <si>
    <t xml:space="preserve">    course_ids = get_student_course_ids(user)
    # Query for classes
    courses = Course.query.filter(Course.id.in_(course_ids)).all()
</t>
  </si>
  <si>
    <t xml:space="preserve">    courses = Course.query.filter(Course.id.in_(course_ids)).all()
    # Filter out archived courses for non-tas
    courses = list(filter(
        lambda course: not is_course_archived(course) or is_course_admin(course.id, user.id),</t>
  </si>
  <si>
    <t xml:space="preserve">    ))
    # Convert to list of data representation
    return [c.data for c in courses]
</t>
  </si>
  <si>
    <t>@cache.memoize(timeout=60, unless=is_debug)
def get_course_data(netid: str, course_id: str) -&gt; dict[str, Any] | None:
    """
    Get course data and tas for course
    :param netid:
    :param course_id:
    :return:
    """
    # Get User</t>
  </si>
  <si>
    <t xml:space="preserve">    """
    # Get User
    user = User.query.filter(User.netid == netid).first()
</t>
  </si>
  <si>
    <t xml:space="preserve">    course_ids = get_student_course_ids(user)
    # Course doesnt exist
    if not user.is_superuser and course_id not in course_ids:
        return None</t>
  </si>
  <si>
    <t xml:space="preserve">        return None
    # Query for course with id
    course: Course = Course.query.filter(Course.id == course_id).first()
</t>
  </si>
  <si>
    <t xml:space="preserve">    course_data = course.data
    # Query for tas in course
    tas = (
        User.query.join(TAForCourse)</t>
  </si>
  <si>
    <t xml:space="preserve">    )
    # Return course and ta data
    return {
        **course_data,</t>
  </si>
  <si>
    <t>@cache.memoize(timeout=60, unless=is_debug)
def get_student_course_ids(user: User, default: str = None) -&gt; list[str]:
    """
    Get the course ids for the courses that the user is in.
    :param user:
    :param default:
    :return:
    """
    # Superuser</t>
  </si>
  <si>
    <t xml:space="preserve">    """
    # Superuser
    if user.is_superuser:
        # Get all</t>
  </si>
  <si>
    <t xml:space="preserve">    # Superuser
    if user.is_superuser:
        # Get all
        courses = Course.query.all()
</t>
  </si>
  <si>
    <t xml:space="preserve">        courses = Course.query.all()
        # list of course ids
        course_ids = list(map(lambda x: x.id, courses))
</t>
  </si>
  <si>
    <t xml:space="preserve">        course_ids = list(map(lambda x: x.id, courses))
    # Regular User
    else:
        # Get all the courses the user is in</t>
  </si>
  <si>
    <t xml:space="preserve">    # Regular User
    else:
        # Get all the courses the user is in
        in_courses = (
            InCourse.query.join(Course)</t>
  </si>
  <si>
    <t xml:space="preserve">        )
        # Build a list of course ids. If the user
        # specified a specific course, make a list
        # of only that course id.
        course_ids = list(set(in_course.course.id for in_course in in_courses))
</t>
  </si>
  <si>
    <t xml:space="preserve">        course_ids = list(set(in_course.course.id for in_course in in_courses))
    # If a default was specified, check
    if default is not None and default in course_ids:
        course_ids = [default]</t>
  </si>
  <si>
    <t xml:space="preserve">        course_ids = [default]
    # Pass back list of course ids
    return course_ids
</t>
  </si>
  <si>
    <t xml:space="preserve">
def get_user_permissions(user: User) -&gt; dict[str, Any]:
    """
    Get a user's `professor_for`, `ta_for`, and `admin_for` permissions
    :param user:
    :return:
    """
    # If the user is superuser, return all the permissions for every course</t>
  </si>
  <si>
    <t xml:space="preserve">    """
    # If the user is superuser, return all the permissions for every course
    if user.is_superuser:
        super_for = [{"id": course.id, "name": course.name} for course in Course.query.all()]</t>
  </si>
  <si>
    <t xml:space="preserve">            "is_admin":      True,
            "professor_for": super_for,
            # super_for is deepcopied to avoid introducing exceptions
            # if further data processing is needed
            "ta_for":        copy.deepcopy(super_for),
            "admin_for":     copy.deepcopy(super_for),</t>
  </si>
  <si>
    <t xml:space="preserve">
    professor_for = [pf.data for pf in user.professor_for_course]
    # A professor has the same permissions as a ta do
    ta_for = [taf.data for taf in user.ta_for_course] + professor_for
    # According to John's explanation in issue #115, `admin_for` should</t>
  </si>
  <si>
    <t xml:space="preserve">    # A professor has the same permissions as a ta do
    ta_for = [taf.data for taf in user.ta_for_course] + professor_for
    # According to John's explanation in issue #115, `admin_for` should
    # actually be the same as `ta_for`. So `admin_for` now becomes a
    # redundant value and should be removed in the future
    admin_for = copy.deepcopy(ta_for)
</t>
  </si>
  <si>
    <t>@cache.memoize(timeout=60, unless=is_debug, source_check=True)
def get_courses_with_visuals() -&gt; list[dict[str, Any]]:
    """
    Get a list of the course data for courses with
    usage visuals enabled.
    :return: [
       Course.data,
       ...
    ]
    """
    # Query for courses with display_visuals on</t>
  </si>
  <si>
    <t xml:space="preserve">    """
    # Query for courses with display_visuals on
    query = Course.query.filter(Course.display_visuals == True).order_by(Course.course_code.desc())
</t>
  </si>
  <si>
    <t xml:space="preserve">    query = Course.query.filter(Course.display_visuals == True).order_by(Course.course_code.desc())
    # Get the list of courses
    courses: list[Course] = query.all()
</t>
  </si>
  <si>
    <t xml:space="preserve">    courses: list[Course] = query.all()
    # Break down course db objects into dictionary
    return [course.data for course in courses]
</t>
  </si>
  <si>
    <t xml:space="preserve">    admin_course_ids: set[str] = set()
    # Check to see if they are a TA for the course
    ta: list[TAForCourse] = TAForCourse.query.filter(
        TAForCourse.owner_id == user_id,</t>
  </si>
  <si>
    <t xml:space="preserve">    ).all()
    # Check to see if they are a professor for the course
    prof: list[ProfessorForCourse] = ProfessorForCourse.query.filter(
        ProfessorForCourse.owner_id == user_id,</t>
  </si>
  <si>
    <t xml:space="preserve">
def get_user_course_ids(user: User) -&gt; tuple[set[str], set[str]]:
    # Get the list of course ids
    course_ids: set[str] = set(get_student_course_ids(user))
    admin_course_ids: set[str]</t>
  </si>
  <si>
    <t xml:space="preserve">    admin_course_ids: set[str]
    # If they are a superuser, then just return True
    if user.is_superuser:
        admin_course_ids = set(map(lambda x: x.id, Course.query.all()))</t>
  </si>
  <si>
    <t xml:space="preserve">        admin_course_ids = set(map(lambda x: x.id, Course.query.all()))
    # Else calculate which courses they are an admin for
    else:
        admin_course_ids = get_user_admin_course_ids(user.id)</t>
  </si>
  <si>
    <t>@cache.memoize(timeout=3600, source_check=True, unless=is_debug)
def get_course_admin_ids(course_id: str, include_superusers: bool = True) -&gt; list[str]:
    """
    Get a list of course admin id values.
    * highly cached *
    :param course_id:
    :return:
    """
    # Query for the course</t>
  </si>
  <si>
    <t xml:space="preserve">    """
    # Query for the course
    course: Course = Course.query.filter(Course.id == course_id).first()
</t>
  </si>
  <si>
    <t xml:space="preserve">    course: Course = Course.query.filter(Course.id == course_id).first()
    # If the course does not exist, then soft fail
    if course is None:
        return []</t>
  </si>
  <si>
    <t xml:space="preserve">        return []
    # Query TAs
    tas: list[TAForCourse] = TAForCourse.query.filter(
        TAForCourse.course_id == course.id,</t>
  </si>
  <si>
    <t xml:space="preserve">    ).all()
    # Query professors
    professors: list[ProfessorForCourse] = ProfessorForCourse.query.filter(
        ProfessorForCourse.course_id == course.id,</t>
  </si>
  <si>
    <t xml:space="preserve">    ).all()
    # Calculate TA and Professor ids
    ta_ids = set(map(lambda x: x.owner_id, tas))
    professor_ids = set(map(lambda x: x.owner_id, professors))</t>
  </si>
  <si>
    <t xml:space="preserve">    professor_ids = set(map(lambda x: x.owner_id, professors))
    # Compose set of all owner ids
    course_owner_ids = ta_ids.union(professor_ids)
</t>
  </si>
  <si>
    <t xml:space="preserve">    course_owner_ids = ta_ids.union(professor_ids)
    # Include all superusers if specified
    if include_superusers:
        # Get all superusers</t>
  </si>
  <si>
    <t xml:space="preserve">    # Include all superusers if specified
    if include_superusers:
        # Get all superusers
        superusers: list[User] = User.query.filter(User.is_superuser == True).all()
</t>
  </si>
  <si>
    <t xml:space="preserve">        superusers: list[User] = User.query.filter(User.is_superuser == True).all()
        # Calculate superuser ids
        superuser_ids = set(map(lambda x: x.id, superusers))
</t>
  </si>
  <si>
    <t xml:space="preserve">        superuser_ids = set(map(lambda x: x.id, superusers))
        # Extend owner ids to include superuser ids
        course_owner_ids = course_owner_ids.union(superuser_ids)
</t>
  </si>
  <si>
    <t xml:space="preserve">        course_owner_ids = course_owner_ids.union(superuser_ids)
    # Generate list from the owner_id values from each list of users
    return list(course_owner_ids)
</t>
  </si>
  <si>
    <t xml:space="preserve">
def get_course_users(course: Course) -&gt; list[User]:
    """
    Get all users within the course. These are the User objects for
    each student, ta and professor in the course.
    * Assumes the InCourse table is up to date *
    :param course:
    :return:
    """
    return User.query.join(InCourse, InCourse.owner_id == User.id) \
        .filter(InCourse.course_id == course.id).all()</t>
  </si>
  <si>
    <t xml:space="preserve">
def get_course_tas(course: Course) -&gt; list[User]:
    """
    Get all Users that are TAs for a given course.
    * Assumes the TAForCourse table is up to date *
    :param course:
    :return:
    """
    return User.query.join(TAForCourse, TAForCourse.owner_id == User.id) \
        .filter(TAForCourse.course_id == course.id).all()</t>
  </si>
  <si>
    <t xml:space="preserve">
def get_course_professors(course: Course) -&gt; list[User]:
    """
    Get all Users that are Professors for a given course.
    * Assumes the ProfessorForCourse table is up to date *
    :param course:
    :return:
    """
    return User.query.join(ProfessorForCourse, ProfessorForCourse.owner_id == User.id) \
        .filter(ProfessorForCourse.course_id == course.id).all()</t>
  </si>
  <si>
    <t xml:space="preserve">
def user_to_user_id_set(users: list[User]) -&gt; set[str]:
    """
    Convert a list of users to a set of user.ids.
    :param users:
    :return:
    """
    return set(map(lambda user: user.id, users))
</t>
  </si>
  <si>
    <t>@cache.memoize(timeout=60, source_check=True, unless=is_debug)
def get_beta_ui_enabled(netid: str):
    """
    Calculate if the current student should have the
    beta UI available to them to test.
    :param netid:
    :return:
    """
    # Get (cached) course data for this student</t>
  </si>
  <si>
    <t xml:space="preserve">    """
    # Get (cached) course data for this student
    courses_data = get_courses(netid)
</t>
  </si>
  <si>
    <t xml:space="preserve">    courses_data = get_courses(netid)
    # If any course in the courses this student is in
    # have the Beta UI enabled, then this will return
    # True
    return any(course.get("beta_ui_enabled", False) for course in courses_data)
</t>
  </si>
  <si>
    <t xml:space="preserve">
def add_all_users_to_course(users: list[User], course: Course) -&gt; int:
    """
    Add all users in the list to the specified course. If they are already in the course,
    then no operation will be made for that student.
    :param users:
    :param course:
    :return: number of students added to the course (if any)
    """
    # Get list of all user ids</t>
  </si>
  <si>
    <t xml:space="preserve">    """
    # Get list of all user ids
    user_ids: list[str] = [user.id for user in users]
</t>
  </si>
  <si>
    <t xml:space="preserve">    user_ids: list[str] = [user.id for user in users]
    # Get all the in_course rows
    in_courses: list[InCourse] = InCourse.query.filter(
        InCourse.owner_id.in_(user_ids),</t>
  </si>
  <si>
    <t xml:space="preserve">    ).all()
    # Figure out the set of all user ids that are already in the course
    all_in_course_ids: set[str] = {ic.owner_id for ic in in_courses}
</t>
  </si>
  <si>
    <t xml:space="preserve">    all_in_course_ids: set[str] = {ic.owner_id for ic in in_courses}
    # Build a list of all users not already in the course
    all_not_in_course: list[User] = [user for user in users if user.id not in all_in_course_ids]
</t>
  </si>
  <si>
    <t xml:space="preserve">    all_not_in_course: list[User] = [user for user in users if user.id not in all_in_course_ids]
    # If there are users that are not in course, then we can add them
    if len(all_not_in_course) &gt; 0:
</t>
  </si>
  <si>
    <t xml:space="preserve">    if len(all_not_in_course) &gt; 0:
        # Iterate over each student, adding them to the course as we go
        for user in all_not_in_course:
            ic = InCourse(owner_id=user.id, course_id=course)</t>
  </si>
  <si>
    <t xml:space="preserve">            db.session.add(ic)
        # commit additions
        db.session.commit()
</t>
  </si>
  <si>
    <t xml:space="preserve">        db.session.commit()
    # Return the number of students that were added
    return len(all_not_in_course)
</t>
  </si>
  <si>
    <t xml:space="preserve">
def get_active_courses() -&gt; list[Course]:
    """
    Get list of currently active courses. Courses with
    "[archive]" in the name will be excluded. Very useful
    for filtering out old courses in things like the reaper.
    :return:
    """
    return Course.query.filter(
        ~Course.name.like('%[%Archive]%')</t>
  </si>
  <si>
    <t>@with_context
def bulk_regrade_submissions(submissions: list[Submission]) -&gt; list[dict]:
    """
    Regrade a batch of submissions
    :param submissions:
    :return:
    """
    # Running list of regrade dictionaries</t>
  </si>
  <si>
    <t xml:space="preserve">    """
    # Running list of regrade dictionaries
    response = []
</t>
  </si>
  <si>
    <t xml:space="preserve">    response = []
    # enqueue regrade jobs for each submissions
    for submission in submissions:
        response.append(regrade_submission(submission, queue="regrade"))</t>
  </si>
  <si>
    <t xml:space="preserve">        response.append(regrade_submission(submission, queue="regrade"))
    # Pass back a list of all the regrade return dictionaries
    return response
</t>
  </si>
  <si>
    <t xml:space="preserve">
def regrade_submission(submission: Submission | str, queue: str = "default") -&gt; dict:
    """
    Regrade a submission
    :param submission: Union[Submissions, str]
    :param queue:
    :return: dict response
    """
    from anubis.rpc.enqueue import enqueue_autograde_pipeline
</t>
  </si>
  <si>
    <t xml:space="preserve">    from anubis.rpc.enqueue import enqueue_autograde_pipeline
    # If the submission is a string, then we consider it to be a submission id
    if isinstance(submission, str):
        # Try to query for the submission</t>
  </si>
  <si>
    <t xml:space="preserve">    # If the submission is a string, then we consider it to be a submission id
    if isinstance(submission, str):
        # Try to query for the submission
        submission = Submission.query.filter(
            Submission.id == submission,</t>
  </si>
  <si>
    <t xml:space="preserve">        ).first()
        # If there was no submission found, then return an error status
        if submission is None:
            return error_response("could not find submission")</t>
  </si>
  <si>
    <t xml:space="preserve">            return error_response("could not find submission")
    # If the submission is already marked as in processing state, then
    # we can skip regrading this submission.
    if not submission.processed:
        return error_response("submission currently being processed")</t>
  </si>
  <si>
    <t xml:space="preserve">        return error_response("submission currently being processed")
    # Update the submission fields to reflect the regrade
    submission.processed = False
    submission.state = "regrading"</t>
  </si>
  <si>
    <t xml:space="preserve">    submission.pipeline_log = None
    # Reset the accompanying database objects
    init_submission(submission)
</t>
  </si>
  <si>
    <t xml:space="preserve">    init_submission(submission)
    # Enqueue the submission job
    enqueue_autograde_pipeline(submission.id, queue=queue)
</t>
  </si>
  <si>
    <t xml:space="preserve">    offset=None,
) -&gt; tuple[list[dict[str, str]], int]:
    """
    Get all submissions for a given netid. Cache the results. Optionally specify
    a class_name and / or assignment_name for additional filtering.
    :param offset:
    :param limit:
    :param user_id:
    :param course_id:
    :param assignment_id: id of assignment
    :return:
    """
    # Load user</t>
  </si>
  <si>
    <t xml:space="preserve">    """
    # Load user
    owner = User.query.filter(User.id == user_id).first()
</t>
  </si>
  <si>
    <t xml:space="preserve">    owner = User.query.filter(User.id == user_id).first()
    # Verify user exists
    if owner is None:
        return None</t>
  </si>
  <si>
    <t xml:space="preserve">        return None
    # Build filters
    filters = []
    if course_id is not None and course_id != "":</t>
  </si>
  <si>
    <t xml:space="preserve">
def recalculate_late_submissions(student: User, assignment: Assignment):
    """
    Recalculate the submissions that need to be
    switched from accepted to rejected.
    :param student:
    :param assignment:
    :return:
    """
    from anubis.rpc.enqueue import rpc_enqueue
</t>
  </si>
  <si>
    <t xml:space="preserve">    from anubis.rpc.enqueue import rpc_enqueue
    # Get the due date for this student
    due_date = get_assignment_due_date(student, assignment, grace=True)
</t>
  </si>
  <si>
    <t xml:space="preserve">    due_date = get_assignment_due_date(student, assignment, grace=True)
    # Get the submissions that need to be rejected
    s_reject = Submission.query.filter(
        Submission.created &gt; due_date,</t>
  </si>
  <si>
    <t xml:space="preserve">    ).all()
    # Get the submissions that need to be accepted
    s_accept = Submission.query.filter(
        Submission.created &lt; due_date,</t>
  </si>
  <si>
    <t xml:space="preserve">    ).all()
    # Go through, and reset and enqueue regrade
    s_accept_ids = list(map(lambda x: x.id, s_accept))
    for chunk in split_chunks(s_accept_ids, 32):</t>
  </si>
  <si>
    <t xml:space="preserve">        rpc_enqueue(bulk_regrade_submissions, "regrade", args=[chunk])
    # Reject the submissions that need to be updated
    for submission in s_reject:
        reject_late_submission(submission)</t>
  </si>
  <si>
    <t xml:space="preserve">        reject_late_submission(submission)
    # Commit the changes
    db.session.commit()
</t>
  </si>
  <si>
    <t xml:space="preserve">
def reject_late_submission(submission: Submission):
    """
    set all the fields that need to be set when
    rejecting a submission.
    * Does not commit changes *
    :return:
    """
    # Go through test results, and set them to rejected</t>
  </si>
  <si>
    <t xml:space="preserve">    """
    # Go through test results, and set them to rejected
    for test_result in submission.test_results:
        test_result: SubmissionTestResult</t>
  </si>
  <si>
    <t xml:space="preserve">        db.session.add(test_result)
    # Go through build results, and set them to rejected
    submission.build.passed = False
    submission.build.stdout = "Late submissions not accepted"</t>
  </si>
  <si>
    <t xml:space="preserve">    db.session.add(submission.build)
    # set the fields on self to be rejected
    submission.accepted = False
    submission.processed = True</t>
  </si>
  <si>
    <t xml:space="preserve">
def init_submission(submission: Submission, commit: bool = True, verbose: bool = True):
    """
    Create adjacent submission models.
    :return:
    """
    if verbose:</t>
  </si>
  <si>
    <t xml:space="preserve">        logger.debug("initializing submission {}".format(submission.id))
    # If the models already exist, yeet
    if len(submission.test_results) != 0:
        SubmissionTestResult.query.filter_by(submission_id=submission.id).delete()</t>
  </si>
  <si>
    <t xml:space="preserve">
    if commit:
        # Commit deletions (if necessary)
        db.session.commit()
</t>
  </si>
  <si>
    <t xml:space="preserve">        db.session.commit()
    # Find tests for the current assignment
    tests = AssignmentTest.query.filter_by(assignment_id=submission.assignment_id).all()
</t>
  </si>
  <si>
    <t xml:space="preserve">
    if commit:
        # Commit new models
        db.session.commit()
</t>
  </si>
  <si>
    <t>@cache.memoize(timeout=-1, forced_update=is_job, unless=is_debug, source_check=True)
def get_students(course_id: str = None) -&gt; list[dict[str, dict]]:
    """
    Get students by course code. If no course code is specified,
    then all courses will be considered.
    * This response is cached for up to 60 seconds *
    :param course_id:
    :return:
    """
    # list of sqlalchemy filters</t>
  </si>
  <si>
    <t xml:space="preserve">    """
    # list of sqlalchemy filters
    if course_id is not None:
        users = User.query.join(InCourse).filter(InCourse.course_id == course_id).all()</t>
  </si>
  <si>
    <t xml:space="preserve">        users = User.query.all()
    # Get all users, and break them into their data props
    return [s.data for s in users]
</t>
  </si>
  <si>
    <t>@cache.memoize(timeout=60, unless=is_debug)
def get_students_in_class(course_id, offset=None, limit=None):
    """
    Similar to the get_students function, this function
    gets all the students in a particular course. This function
    takes the course_id instead of the course code.
    * optionally accepts a offset and limit for the query *
    * This response is cached for up to 60 seconds *
    :param course_id:
    :param offset:
    :param limit:
    :return:
    """
    # If a limit and offset was specified, then use them</t>
  </si>
  <si>
    <t xml:space="preserve">    """
    # If a limit and offset was specified, then use them
    # in the query.
    if offset is not None and limit is not None:
        # Get the users, and break them into their data props</t>
  </si>
  <si>
    <t xml:space="preserve">    # in the query.
    if offset is not None and limit is not None:
        # Get the users, and break them into their data props
        return [
            u.data</t>
  </si>
  <si>
    <t xml:space="preserve">        ]
    # Get the users, and break them into their data props
    return [
        u.data</t>
  </si>
  <si>
    <t>@cache.memoize(timeout=5 * 60, unless=is_debug, source_check=True, forced_update=is_job)
def autograde(student_id, assignment_id, max_time: datetime = None):
    """
    Get the stats for a specific student on a specific assignment.
    Pulls all submissions, then finds the most recent one that
    has the most tests that passed.
    * This function is heavily cached as it is IO intensive on the DB *
    :param student_id:
    :param assignment_id:
    :param max_time:
    :return:
    """
    # list of filters for submission query</t>
  </si>
  <si>
    <t xml:space="preserve">    """
    # list of filters for submission query
    submission_filters = []
</t>
  </si>
  <si>
    <t xml:space="preserve">    submission_filters = []
    # maximum time to check
    if max_time is not None:
        submission_filters.append(Submission.created &lt;= max_time)</t>
  </si>
  <si>
    <t xml:space="preserve">        submission_filters.append(Submission.created &lt;= max_time)
    # best is the best submission seen so far
    best = None
</t>
  </si>
  <si>
    <t xml:space="preserve">    best = None
    # best_count is the most tests that have
    # passed for this student so far
    best_count = -1
</t>
  </si>
  <si>
    <t xml:space="preserve">    best_count = -1
    # Get the max number of assignment tests that can be passed
    # so we can stop early if we find a submission that has all
    # tests passing
    max_correct = _get_assignment_test_count(assignment_id)
</t>
  </si>
  <si>
    <t xml:space="preserve">    max_correct = _get_assignment_test_count(assignment_id)
    # Iterate over all submissions for this student, tracking
    # the best submission so far (based on number of tests passed).
    # We start from the oldest submission and move to the newest.
    for submission in (
        Submission.query.filter(</t>
  </si>
  <si>
    <t xml:space="preserve">    ):
        # Calculate the number of tests that passed in this submission
        correct_count = sum(map(lambda result: 1 if result.passed else 0, submission.test_results))
</t>
  </si>
  <si>
    <t xml:space="preserve">        correct_count = sum(map(lambda result: 1 if result.passed else 0, submission.test_results))
        # If the number of passed tests in this assignment is as good
        # or better as the best seen so far, update the running best.
        if correct_count &gt;= best_count:
            best_count = correct_count</t>
  </si>
  <si>
    <t xml:space="preserve">            best = submission
        # If the number of passed tests is equal to the number
        # of tests then we can stop and use this assignment.
        if best_count == max_correct:
            break</t>
  </si>
  <si>
    <t xml:space="preserve">            break
    # return the submission id of the best if there is one, otherwise None
    return best.id if best is not None else None
</t>
  </si>
  <si>
    <t xml:space="preserve">    assignment: Assignment, user_id: str, netid: str, name: str, submission_id: str
) -&gt; dict:
    """
    The autograde results require quite of bit more information than
    just the id of the best submission. This function takes some high level
    information about the best submission, and breaks it down into a large
    dictionary of all the relevant data for the autograde result.
    * The admin panel uses all this extra data added by this function *
    :param assignment:
    :param user_id:
    :param netid:
    :param name:
    :param submission_id:
    :return:
    """
    if submission_id is None:
        # no submission</t>
  </si>
  <si>
    <t xml:space="preserve">    """
    if submission_id is None:
        # no submission
        return {
            "id": netid,</t>
  </si>
  <si>
    <t>@cache.memoize(timeout=60 * 60, unless=is_debug, forced_update=is_job)
def bulk_autograde(assignment_id, netids=None, offset=0, limit=20):
    """
    Bulk autograde an assignment. Optionally specify a subset of netids.
    The offset and limit are used here to have the results of this function
    move as a window of the results.
    * Calculating the autograde results is very IO intensive on the db. For this,
    these results are heavily cached. *
    :param assignment_id:
    :param netids:
    :param offset:
    :param limit:
    :return:
    """
    # Running list of the best submissions for each student</t>
  </si>
  <si>
    <t xml:space="preserve">    """
    # Running list of the best submissions for each student
    bests = []
</t>
  </si>
  <si>
    <t xml:space="preserve">    bests = []
    # Find the assignment object
    assignment = (
        Assignment.query.filter_by(name=assignment_id).first() or Assignment.query.filter_by(id=assignment_id).first()</t>
  </si>
  <si>
    <t xml:space="preserve">        return error_response("assignment does not exist")
    # Get the list of students to get autograde results for
    students = get_students_in_class(assignment.course_id, offset=offset, limit=limit)
    if netids is not None:</t>
  </si>
  <si>
    <t xml:space="preserve">        students = filter(lambda x: x["netid"] in netids, students)
    # Run through each of the students, getting the autograde results for each
    for student in students:
        # Get the best submission for this student from this assignment</t>
  </si>
  <si>
    <t xml:space="preserve">    # Run through each of the students, getting the autograde results for each
    for student in students:
        # Get the best submission for this student from this assignment
        submission_id = autograde(student["id"], assignment.id)
        bests.append(</t>
  </si>
  <si>
    <t xml:space="preserve">        submission_id = autograde(student["id"], assignment.id)
        bests.append(
            # Use the stats_wrapper function to add all the necessary
            # metadata for the submission.
            autograde_submission_result_wrapper(
                assignment,</t>
  </si>
  <si>
    <t xml:space="preserve">
def create_submission_pipeline(submission_id: str):
    """
    This function should launch the appropriate testing container
    for the assignment, passing along the function arguments.
    :param submission_id: submission.id of to test
    """
    from anubis.lms.submissions import init_submission
    from anubis.rpc.enqueue import enqueue_autograde_pipeline</t>
  </si>
  <si>
    <t xml:space="preserve">    from anubis.rpc.enqueue import enqueue_autograde_pipeline
    # Log the creation event
    logger.info(
        "Creating submission pipeline job {}".format(submission_id),</t>
  </si>
  <si>
    <t xml:space="preserve">    )
    # Calculate the maximum number of jobs allowed in the cluster
    max_jobs = get_config_int("PIPELINE_MAX_JOBS", default=10)
</t>
  </si>
  <si>
    <t xml:space="preserve">    max_jobs = get_config_int("PIPELINE_MAX_JOBS", default=10)
    # Initialize kube client
    config.load_incluster_config()
</t>
  </si>
  <si>
    <t xml:space="preserve">    config.load_incluster_config()
    # Cleanup finished jobs
    active_jobs = len(get_active_pipeline_jobs())
</t>
  </si>
  <si>
    <t xml:space="preserve">        exit(0)
    # Get the database entry for the submission
    submission = Submission.query.filter(Submission.id == submission_id).first()
</t>
  </si>
  <si>
    <t xml:space="preserve">    submission = Submission.query.filter(Submission.id == submission_id).first()
    # Make sure that the submission exists
    if submission is None:
        logger.error(</t>
  </si>
  <si>
    <t xml:space="preserve">        return
    # If the build field is not present, then
    # we need to initialize the submission.
    if submission.build is None:
        init_submission(submission, commit=True)</t>
  </si>
  <si>
    <t xml:space="preserve">    db.session.commit()
    # Create k8s job object
    job = create_pipeline_job_obj(submission)
</t>
  </si>
  <si>
    <t xml:space="preserve">    job = create_pipeline_job_obj(submission)
    # Log the pipeline job creation
    logger.debug("creating pipeline job: " + job.to_str())
</t>
  </si>
  <si>
    <t xml:space="preserve">    logger.debug("creating pipeline job: " + job.to_str())
    # Send to kube api
    batch_v1 = client.BatchV1Api()
    batch_v1.create_namespaced_job(body=job, namespace="anubis")</t>
  </si>
  <si>
    <t xml:space="preserve">
def create_pipeline_job_obj(submission: Submission) -&gt; client.V1Job:
    """
    Create k8s job object for a submission pipeline.
    :param submission:
    :return:
    """
    # set some conservative resources requests and limits</t>
  </si>
  <si>
    <t xml:space="preserve">    """
    # set some conservative resources requests and limits
    resource_requirements = {
        "limits":   {"cpu": "2", "memory": "750Mi"},</t>
  </si>
  <si>
    <t xml:space="preserve">    }
    # If we are running in debug mode (like in minikube) then
    # we should skip setting resource requests and limits.
    if is_debug():
        resource_requirements = {}</t>
  </si>
  <si>
    <t xml:space="preserve">        resource_requirements = {}
    # Create the pipeline container from the submission object
    container = client.V1Container(
        name="pipeline",</t>
  </si>
  <si>
    <t xml:space="preserve">        image=submission.assignment.pipeline_image,
        image_pull_policy=os.environ.get("IMAGE_PULL_POLICY", default="Always"),
        # setup the environment to include everything necessary for the
        # pipeline to be able to clone, test and report to the pipeline api.
        env=[
            client.V1EnvVar(name="TOKEN", value=submission.token),</t>
  </si>
  <si>
    <t xml:space="preserve">            f"--submission-id={submission.id}",
        ],
        # set the resource requirements
        resources=client.V1ResourceRequirements(**resource_requirements),
        # Add a security context to disable privilege escalation</t>
  </si>
  <si>
    <t xml:space="preserve">        # set the resource requirements
        resources=client.V1ResourceRequirements(**resource_requirements),
        # Add a security context to disable privilege escalation
        # security_context=client.V1SecurityContext(
        #     allow_privilege_escalation=False,
        # )
    )
</t>
  </si>
  <si>
    <t xml:space="preserve">    )
    # Create and configure a spec section
    template = client.V1PodTemplateSpec(
        metadata=client.V1ObjectMeta(</t>
  </si>
  <si>
    <t xml:space="preserve">            restart_policy="Never",
            containers=[container],
            # Minimal service account with no extra permissions
            service_account_name='theia-ide',
            # Disable service information from being injected into the environment</t>
  </si>
  <si>
    <t xml:space="preserve">            # Minimal service account with no extra permissions
            service_account_name='theia-ide',
            # Disable service information from being injected into the environment
            enable_service_links=False,
            # Don't mount service account tokens</t>
  </si>
  <si>
    <t xml:space="preserve">            # Disable service information from being injected into the environment
            enable_service_links=False,
            # Don't mount service account tokens
            automount_service_account_token=False,
        ),</t>
  </si>
  <si>
    <t xml:space="preserve">    )
    # Create the specification of deployment
    spec = client.V1JobSpec(template=template, backoff_limit=3, ttl_seconds_after_finished=300)
</t>
  </si>
  <si>
    <t xml:space="preserve">    spec = client.V1JobSpec(template=template, backoff_limit=3, ttl_seconds_after_finished=300)
    # Instantiate the job object
    job = client.V1Job(
        api_version="batch/v1",</t>
  </si>
  <si>
    <t xml:space="preserve">
def reap_pipeline_job(job: client.V1Job, submission: Submission):
    # Capture the pipeline log
    submission.pipeline_log = _read_pipeline_job_log(job)
    db.session.add(submission)</t>
  </si>
  <si>
    <t xml:space="preserve">    db.session.commit()
    # Attempt to delete the k8s job
    delete_pipeline_job(job)
</t>
  </si>
  <si>
    <t xml:space="preserve">    batch_v1 = client.BatchV1Api()
    # Log that we are cleaning up the job
    logger.info("deleting namespaced job {}".format(job.metadata.name))
    try:</t>
  </si>
  <si>
    <t xml:space="preserve">            namespace=pod.metadata.namespace,
            container="pipeline",
        )[:(2 ** 16) - 1]  # TODO put max TEXT length in constants.py
    except kubernetes.client.exceptions.ApiException:
        logger.error("failed to get pod logs, continuing" + traceback.format_exc())</t>
  </si>
  <si>
    <t xml:space="preserve">
def reap_pipeline_jobs():
    """
    Runs through all jobs in the namespace. If the job is finished, it will
    send a request to the kube api to delete it. Number of active jobs is
    returned.
    :return: number of active jobs
    """
    # Get the batch v1 object so we can query for active k8s jobs</t>
  </si>
  <si>
    <t xml:space="preserve">    """
    # Get the batch v1 object so we can query for active k8s jobs
    batch_v1 = client.BatchV1Api()
</t>
  </si>
  <si>
    <t xml:space="preserve">    batch_v1 = client.BatchV1Api()
    # Get all pipeline jobs in the anubis namespace
    jobs = get_active_pipeline_jobs()
</t>
  </si>
  <si>
    <t xml:space="preserve">    jobs = get_active_pipeline_jobs()
    # Get the autograde pipeline timeout from config
    autograde_pipeline_timeout_minutes = get_config_int("AUTOGRADE_PIPELINE_TIMEOUT_MINUTES", default=5)
</t>
  </si>
  <si>
    <t xml:space="preserve">    autograde_pipeline_timeout_minutes = get_config_int("AUTOGRADE_PIPELINE_TIMEOUT_MINUTES", default=5)
    # Iterate through all pipeline jobs
    for job in jobs:
        job: client.V1Job</t>
  </si>
  <si>
    <t xml:space="preserve">        job: client.V1Job
        # If submission id not in labels just skip. Job ttl will delete itself.
        if 'submission-id' not in job.metadata.labels:
            logger.error(f'skipping job based off old label format: {job.metadata.name}')</t>
  </si>
  <si>
    <t xml:space="preserve">            continue
        # Read submission id from labels
        submission_id = job.metadata.labels['submission-id']
</t>
  </si>
  <si>
    <t xml:space="preserve">        submission_id = job.metadata.labels['submission-id']
        # Create a distributed lock for the submission job
        lock = create_redis_lock(f'submission-job-{submission_id}')
        if not lock.acquire(blocking=False):</t>
  </si>
  <si>
    <t xml:space="preserve">            continue
        # Log that we are inspecting the pipeline
        logger.debug(f'inspecting pipeline: {job.metadata.name}')
</t>
  </si>
  <si>
    <t xml:space="preserve">        logger.debug(f'inspecting pipeline: {job.metadata.name}')
        # Get database record of the submission
        submission: Submission = Submission.query.filter(
            Submission.id == submission_id,</t>
  </si>
  <si>
    <t xml:space="preserve">            continue
        # Calculate job created time
        job_created = job.metadata.creation_timestamp.replace(tzinfo=None)
</t>
  </si>
  <si>
    <t xml:space="preserve">        job_created = job.metadata.creation_timestamp.replace(tzinfo=None)
        # Delete the job if it is older than a few minutes
        if datetime.utcnow() - job_created &gt; timedelta(minutes=autograde_pipeline_timeout_minutes):
</t>
  </si>
  <si>
    <t xml:space="preserve">        if datetime.utcnow() - job_created &gt; timedelta(minutes=autograde_pipeline_timeout_minutes):
            # Attempt to delete the k8s job
            reap_pipeline_job(job, submission)
</t>
  </si>
  <si>
    <t xml:space="preserve">            reap_pipeline_job(job, submission)
        # If the job has finished, and was marked as successful, then
        # we can clean it up
        elif job.status.succeeded is not None and job.status.succeeded &gt;= 1:
</t>
  </si>
  <si>
    <t xml:space="preserve">        elif job.status.succeeded is not None and job.status.succeeded &gt;= 1:
            # Attempt to delete the k8s job
            reap_pipeline_job(job, submission)
</t>
  </si>
  <si>
    <t xml:space="preserve">    batch_v1 = client.BatchV1Api()
    # Get all pipeline jobs in the anubis namespace
    jobs = batch_v1.list_namespaced_job(
        namespace="anubis",</t>
  </si>
  <si>
    <t xml:space="preserve">
def get_google_secret(v1: kubernetes.client.CoreV1Api, secret_name: str) -&gt; kubernetes.client.V1Secret:
    # Read credential token from kubernetes api.
    secret = v1.read_namespaced_secret(secret_name, "anubis")
    secret: kubernetes.client.V1Secret</t>
  </si>
  <si>
    <t xml:space="preserve">    token = json.loads(base64.b64decode(secret.data["token.json"].encode()).decode())
    # The file token.json stores the user's access and refresh tokens, and is
    # created automatically when the authorization flow completes for the first
    # time.
    google_creds = Credentials.from_authorized_user_info(token, scopes)
</t>
  </si>
  <si>
    <t xml:space="preserve">        google_creds.refresh(Request())
        # Otherwise, we are reliant on the k8s api being available to
        # patch the token.json object in the secret resource.
        secret.data["token.json"] = base64.b64encode(google_creds.to_json().encode()).decode()
        v1.patch_namespaced_secret(secret.metadata.name, "anubis", secret)</t>
  </si>
  <si>
    <t xml:space="preserve">
def update_theia_pod_cluster_addresses(theia_pods: k8s.V1PodList):
    """
    Iterate through all theia pods, updating the pod cluster
    addresses in the database as we go.
    :param theia_pods:
    :return:
    """
    # Iterate through all active</t>
  </si>
  <si>
    <t xml:space="preserve">    """
    # Iterate through all active
    for n, pod in enumerate(theia_pods.items):
        # Get the session id from the pod labels</t>
  </si>
  <si>
    <t xml:space="preserve">    # Iterate through all active
    for n, pod in enumerate(theia_pods.items):
        # Get the session id from the pod labels
        session_id = pod.metadata.labels["session"]
</t>
  </si>
  <si>
    <t xml:space="preserve">        session_id = pod.metadata.labels["session"]
        # Get the database entry for the theia session
        theia_session: TheiaSession = TheiaSession.query.filter(TheiaSession.id == session_id).first()
</t>
  </si>
  <si>
    <t xml:space="preserve">        theia_session: TheiaSession = TheiaSession.query.filter(TheiaSession.id == session_id).first()
        # Make sure we have a session to work on
        if theia_session is None:
            continue</t>
  </si>
  <si>
    <t xml:space="preserve">            continue
        # Update the theia session record in the database with
        # the pod cluster address.
        theia_session.cluster_address = pod.status.pod_ip
</t>
  </si>
  <si>
    <t xml:space="preserve">        theia_session.cluster_address = pod.status.pod_ip
    # Commit any and all changes
    db.session.commit()
</t>
  </si>
  <si>
    <t xml:space="preserve">
def update_all_theia_sessions():
    """
    Poll Database for sessions created within the last 10 minutes
    if they are active and dont have a cluster_address.
    If the session is running match the pod to the cluster_address
    If the session has failed, update the session to failed.
    """
    # Go through all active sessions</t>
  </si>
  <si>
    <t xml:space="preserve">    """
    # Go through all active sessions
    for session in get_active_theia_sessions():
</t>
  </si>
  <si>
    <t xml:space="preserve">    for session in get_active_theia_sessions():
        # Synchronize session resource
        lock = create_redis_lock(f'theia-session-{session.id}')
        if not lock.acquire(blocking=False):</t>
  </si>
  <si>
    <t xml:space="preserve">            continue
        # Try to update the session info
        update_theia_session(session)
</t>
  </si>
  <si>
    <t xml:space="preserve">        update_theia_session(session)
        # Release lock
        lock.release()
</t>
  </si>
  <si>
    <t xml:space="preserve">
def update_theia_session(session: TheiaSession):
    # Load the kubernetes incluster config
    v1 = k8s.CoreV1Api()
</t>
  </si>
  <si>
    <t xml:space="preserve">    v1 = k8s.CoreV1Api()
    # Get the name of the pod
    pod_name = get_theia_pod_name(session)
</t>
  </si>
  <si>
    <t xml:space="preserve">
    try:
        # If the pod has not been created yet, then a 404 will be thrown.
        # Skip logging if that is the case.
        # Get the pod information from the kubernetes api
        pod: k8s.V1Pod = v1.read_namespaced_pod(
            namespace="anubis",</t>
  </si>
  <si>
    <t xml:space="preserve">    except k8s.exceptions.ApiException as e:
        # If the status code is 404, then it has not been created yet
        if e.status == 404:
            if session.state != "Waiting for IDE to be scheduled...":</t>
  </si>
  <si>
    <t xml:space="preserve">            return
        # Error
        logger.error(traceback.format_exc())
        logger.error("continuing")</t>
  </si>
  <si>
    <t xml:space="preserve">        logger.error("continuing")
    # Update the session state from the pod status
    if pod.status.phase == "Pending":
</t>
  </si>
  <si>
    <t xml:space="preserve">    if pod.status.phase == "Pending":
        # Boolean to indicate if volume has attached
        volume_attached: bool = False
</t>
  </si>
  <si>
    <t xml:space="preserve">        volume_attached: bool = False
        # If storage volume needs to be attached, we should check
        # in the events for the pod if it has been attached.
        if session.persistent_storage:
            # Get event list for ide pod</t>
  </si>
  <si>
    <t xml:space="preserve">        # in the events for the pod if it has been attached.
        if session.persistent_storage:
            # Get event list for ide pod
            events: k8s.CoreV1Eventlist = v1.list_namespaced_event(
                "anubis", field_selector=f"involvedObject.name={pod_name}"</t>
  </si>
  <si>
    <t xml:space="preserve">            )
            # Iterate through events
            for event in events.items:
                event: k8s.CoreV1Event</t>
  </si>
  <si>
    <t xml:space="preserve">                event: k8s.CoreV1Event
                # attachdetach-controller starts success messages like
                # this when volume has attached
                if "AttachVolume.Attach succeeded" in event.message:
                    volume_attached = True</t>
  </si>
  <si>
    <t xml:space="preserve">                    break
        # If we are expecting a volume, but it has not been attached, then
        # we should set the status message to state such
        if session.persistent_storage and not volume_attached:
            session.state = "Waiting for Persistent Volume to attach..."</t>
  </si>
  <si>
    <t xml:space="preserve">            session.state = "Waiting for Persistent Volume to attach..."
        # State that the ide server has not yet started
        else:
            session.state = "Waiting for IDE server to start..."</t>
  </si>
  <si>
    <t xml:space="preserve">        db.session.commit()
    # If the pod has failed. There are more than a few ways that
    # the pod could have failed. If we reach this, then we should
    # just mark the theia session as failed, then let the reaper
    # job clean up the kubernetes resources at a later date.
    if pod.status.phase == "Failed":
        # set cluster address and state</t>
  </si>
  <si>
    <t xml:space="preserve">    # job clean up the kubernetes resources at a later date.
    if pod.status.phase == "Failed":
        # set cluster address and state
        session.active = False
        session.state = "Failed"</t>
  </si>
  <si>
    <t xml:space="preserve">        session.state = "Failed"
        # Log the failure
        logger.error("Theia session failed {}".format(pod_name))
</t>
  </si>
  <si>
    <t xml:space="preserve">        db.session.commit()
    # If the pod is marked as running. The pod is marked as
    # running when the main containers have started
    if pod.status.phase == "Running":
        # set the cluster address and state</t>
  </si>
  <si>
    <t xml:space="preserve">    # running when the main containers have started
    if pod.status.phase == "Running":
        # set the cluster address and state
        session.cluster_address = pod.status.pod_ip
        session.state = "Running"</t>
  </si>
  <si>
    <t xml:space="preserve">        session.state = "Running"
        # Index the event
        logger.info(
            "theia",</t>
  </si>
  <si>
    <t xml:space="preserve">        )
        # Log the success
        logger.info("Theia session started {}".format(pod_name))
</t>
  </si>
  <si>
    <t xml:space="preserve">    skip_debug_check: bool = False
) -&gt; tuple[k8s.V1Pod, k8s.V1PersistentVolumeClaim | None]:
    """
    Create the python kubernetes objects for a theia session. This is
    basically building the yaml for the theia session pod and pvc. There is
    a great deal of variation in what the pod will look like based
    on the options provided in the theia session database entry.
    :param theia_session:
    :param skip_debug_check:
    :return:
    """
    # Get the owner of the theia session's netid</t>
  </si>
  <si>
    <t xml:space="preserve">    """
    # Get the owner of the theia session's netid
    netid = theia_session.owner.netid
</t>
  </si>
  <si>
    <t xml:space="preserve">    netid = theia_session.owner.netid
    # Construct the theia pod name
    pod_name = get_theia_pod_name(theia_session)
</t>
  </si>
  <si>
    <t xml:space="preserve">    pod_name = get_theia_pod_name(theia_session)
    # list of container objects
    pod_containers = []
</t>
  </si>
  <si>
    <t xml:space="preserve">    pod_containers = []
    # list of volumes
    pod_volumes = []
</t>
  </si>
  <si>
    <t xml:space="preserve">    pod_volumes = []
    # Extra env to add to the theia pod containers
    autosave_extra_env: list[k8s.V1EnvVar] = []
    theia_extra_env: list[k8s.V1EnvVar] = []</t>
  </si>
  <si>
    <t xml:space="preserve">    init_extra_env: list[k8s.V1EnvVar] = []
    # Get the set repo url for this session. If the assignment has github repos disabled,
    # then default to an empty string.
    repo_url = theia_session.repo_url or ""
    repo_name = parse_github_repo_name(repo_url)</t>
  </si>
  <si>
    <t xml:space="preserve">    webtop = theia_session.image.webtop
    # Get the theia session options
    if not theia_session.image.webtop:
        limits = theia_session.resources.get("limits", THEIA_DEFAULT_OPTIONS['resources']['limits'])</t>
  </si>
  <si>
    <t xml:space="preserve">        persistent_storage = True
    # Put assignment name in theia container environment
    if theia_session.assignment_id is not None:
        assignment: Assignment = theia_session.assignment</t>
  </si>
  <si>
    <t xml:space="preserve">        ))
    # Value for if the git secret should be included in the init and autosave sidecar
    # containers (for provisioning and autosave).
    include_git_secret: bool = True
</t>
  </si>
  <si>
    <t xml:space="preserve">    include_git_secret: bool = True
    # Value for if the docker secret should be included in the admin
    # theia container. Default to the value of privileged.
    include_docker_secret: bool = admin
</t>
  </si>
  <si>
    <t xml:space="preserve">    include_docker_secret: bool = admin
    # If we are in debug mode, then check if the git secret is available. If it is
    # not available, then we'll need to not include it in the init and autosave sidecar
    # containers. It is then up to those containers to handle the missing git
    # credentials.
    if not skip_debug_check and is_debug():
</t>
  </si>
  <si>
    <t xml:space="preserve">    if not skip_debug_check and is_debug():
        # Load the kubernetes incluster config
        k8s_config.load_incluster_config()
        v1 = k8s.CoreV1Api()</t>
  </si>
  <si>
    <t xml:space="preserve">        v1 = k8s.CoreV1Api()
        # Determine if the git secret should be included
        try:
            # Attempt to read the git secret from the anubis namespace.</t>
  </si>
  <si>
    <t xml:space="preserve">        # Determine if the git secret should be included
        try:
            # Attempt to read the git secret from the anubis namespace.
            # This will throw k8s.exceptions.ApiException(404) if
            # the secret is not available.
            git_secret: k8s.V1Secret = v1.read_namespaced_secret("git", "anubis")
</t>
  </si>
  <si>
    <t xml:space="preserve">            git_secret: k8s.V1Secret = v1.read_namespaced_secret("git", "anubis")
            # Decode git token
            git_token = base64.b64decode(git_secret.data["token"].encode()).decode("utf-8", "ignore")
</t>
  </si>
  <si>
    <t xml:space="preserve">            git_token = base64.b64decode(git_secret.data["token"].encode()).decode("utf-8", "ignore")
            # If git token is DEBUG, then we should not pass it to the init and autosave sidecar
            if git_token == "DEBUG":
                include_git_secret = False</t>
  </si>
  <si>
    <t xml:space="preserve">                autosave = False
        # Catch kubernetes.k8s.exceptions.ApiException
        except k8s.exceptions.ApiException as e:
            # If we 404ed, then the secret is not there.</t>
  </si>
  <si>
    <t xml:space="preserve">        # Catch kubernetes.k8s.exceptions.ApiException
        except k8s.exceptions.ApiException as e:
            # If we 404ed, then the secret is not there.
            if e.status == 404:
                include_git_secret = False</t>
  </si>
  <si>
    <t xml:space="preserve">                autosave = False
        # Determine if the docker config json secret should be included (for admin ide)
        try:
            # Attempt to read the anubis secret from the anubis namespace.</t>
  </si>
  <si>
    <t xml:space="preserve">        # Determine if the docker config json secret should be included (for admin ide)
        try:
            # Attempt to read the anubis secret from the anubis namespace.
            # This will throw k8s.exceptions.ApiException(404) if
            # the secret is not available.
            anubis_secret: k8s.V1Secret = v1.read_namespaced_secret("anubis-registry", "anubis")
</t>
  </si>
  <si>
    <t xml:space="preserve">            anubis_secret: k8s.V1Secret = v1.read_namespaced_secret("anubis-registry", "anubis")
            # Decode git token
            docker_config_json = base64.b64decode(anubis_secret.data[".dockerconfigjson"].encode()).decode(
                "utf-8", "ignore"</t>
  </si>
  <si>
    <t xml:space="preserve">            )
            # If git token is DEBUG, then we should not pass it to the init and autosave sidecar
            if docker_config_json == "DEBUG":
                include_docker_secret = False</t>
  </si>
  <si>
    <t xml:space="preserve">                include_docker_secret = False
        # Catch kubernetes.k8s.exceptions.ApiException
        except k8s.exceptions.ApiException as e:
            # If we 404ed, then the secret is not there.</t>
  </si>
  <si>
    <t xml:space="preserve">        # Catch kubernetes.k8s.exceptions.ApiException
        except k8s.exceptions.ApiException as e:
            # If we 404ed, then the secret is not there.
            if e.status == 404:
                include_docker_secret = False</t>
  </si>
  <si>
    <t xml:space="preserve">                include_docker_secret = False
    # Construct the PVC name from the theia pod name
    theia_volume_name = f"{netid}-{theia_session.id[:6]}-ide"
</t>
  </si>
  <si>
    <t xml:space="preserve">    theia_volume_name = f"{netid}-{theia_session.id[:6]}-ide"
    # Volume Mounts
    theia_volume_mounts = []
    autosave_volume_mounts = []</t>
  </si>
  <si>
    <t xml:space="preserve">    autosave_volume_mounts = []
    # If persistent storage is enabled for this assignment, then we should create a pvc
    if persistent_storage:
        # Overwrite the volume name to be the user's persistent volume</t>
  </si>
  <si>
    <t xml:space="preserve">    # If persistent storage is enabled for this assignment, then we should create a pvc
    if persistent_storage:
        # Overwrite the volume name to be the user's persistent volume
        theia_volume_name, theia_project_pvc = get_user_pvc(theia_session.owner, theia_session)
</t>
  </si>
  <si>
    <t xml:space="preserve">        theia_volume_name, theia_project_pvc = get_user_pvc(theia_session.owner, theia_session)
        # Append the PVC to the volume list
        pod_volumes.append(
            k8s.V1Volume(</t>
  </si>
  <si>
    <t xml:space="preserve">        )
    # If the assignment does not have persistent volumes enabled, then create a blank
    # "empty-dir" volume. This skips the allocation of the pvc.
    else:
        theia_project_pvc = None</t>
  </si>
  <si>
    <t xml:space="preserve">        pod_volumes.append(k8s.V1Volume(name=theia_volume_name))
    # If the git secret should be included, then we add them to the
    # autosave sidecar and init envs here.
    if include_git_secret:
        # Add git cred to autosave sidecar</t>
  </si>
  <si>
    <t xml:space="preserve">    # autosave sidecar and init envs here.
    if include_git_secret:
        # Add git cred to autosave sidecar
        autosave_extra_env.append(
            # Add the git credentials secret to the container. The entrypoint</t>
  </si>
  <si>
    <t xml:space="preserve">        # Add git cred to autosave sidecar
        autosave_extra_env.append(
            # Add the git credentials secret to the container. The entrypoint
            # processes for this container will read this credential and drop
            # it where it needs to.
            k8s.V1EnvVar(
                name="GIT_CRED",</t>
  </si>
  <si>
    <t xml:space="preserve">        )
        # Add git cred to init
        init_extra_env.append(
            # Add the git credentials secret to the container. The entrypoint</t>
  </si>
  <si>
    <t xml:space="preserve">        # Add git cred to init
        init_extra_env.append(
            # Add the git credentials secret to the container. The entrypoint
            # processes for this container will read this credential and drop
            # it where it needs to.
            k8s.V1EnvVar(
                name="GIT_CRED",</t>
  </si>
  <si>
    <t xml:space="preserve">        )
    # If the theia_session is marked as an admin session, then we can turn on any
    # admin features in the IDE by passing in the proper ADMIN environment variables.
    if admin:
</t>
  </si>
  <si>
    <t xml:space="preserve">    if admin:
        # Add ANUBIS_ADMIN=ON to theia container and autosave sidecar container
        anubis_admin_env = k8s.V1EnvVar(name="ANUBIS_ADMIN", value="ON")
        autosave_extra_env.append(anubis_admin_env)</t>
  </si>
  <si>
    <t xml:space="preserve">        theia_extra_env.append(anubis_admin_env)
        # If this session belongs to a course, then add the assignment
        # tests repo environment variable to both theia container and
        # autosave sidecar container
        if theia_session.course_id:
            anubis_assignment_tests_repo_env = k8s.V1EnvVar(</t>
  </si>
  <si>
    <t xml:space="preserve">            autosave_extra_env.append(anubis_assignment_tests_repo_env)
    # Initialize theia volume mounts array with
    # the project volume mount
    theia_volume_mounts.append(
        k8s.V1VolumeMount(</t>
  </si>
  <si>
    <t xml:space="preserve">    )
    ##################################################################################
    # INIT CONTAINER
    # Create the init container. This will clone the initial repo onto</t>
  </si>
  <si>
    <t xml:space="preserve">    # INIT CONTAINER
    # Create the init container. This will clone the initial repo onto
    # the shared volume.
    init_container = k8s.V1Container(
        name=f"theia-init",</t>
  </si>
  <si>
    <t xml:space="preserve">        image_pull_policy="IfNotPresent",
        env=[
            # Git repo to clone
            k8s.V1EnvVar(name="GIT_REPO", value=repo_url),
            # Add extra env if there is any</t>
  </si>
  <si>
    <t xml:space="preserve">            # Git repo to clone
            k8s.V1EnvVar(name="GIT_REPO", value=repo_url),
            # Add extra env if there is any
            *init_extra_env,
        ],</t>
  </si>
  <si>
    <t xml:space="preserve">    )
    ##################################################################################
    # AUTOSAVE SIDECAR CONTAINER
    if not webtop:</t>
  </si>
  <si>
    <t xml:space="preserve">        ))
    # Autosave container where anything that the student should not see exists.
    # The main purpose for this container is to keep the git credentials separate
    # from the student environment. The shared /home/project volume is used to share
    # the repo between these two containers.
    autosave_container = k8s.V1Container(
        name="autosave",</t>
  </si>
  <si>
    <t xml:space="preserve">        image_pull_policy="IfNotPresent",
        env=[
            # set the AUTOSAVE environment variable to ON or OFF. If the variable
            # is set to false, then the autosave loop will be skipped.
            k8s.V1EnvVar(
                name="AUTOSAVE",</t>
  </si>
  <si>
    <t xml:space="preserve">                value="ON" if autosave else "OFF",
            ),
            # set netid for commit messages
            k8s.V1EnvVar(
                name="NETID",</t>
  </si>
  <si>
    <t xml:space="preserve">            *autosave_extra_env,
        ],
        # Add a security context to disable privilege escalation
        security_context=k8s.V1SecurityContext(
            allow_privilege_escalation=False,</t>
  </si>
  <si>
    <t xml:space="preserve">            run_as_user=1001,
        ),
        # Add the shared volume mount to /home/project
        volume_mounts=autosave_volume_mounts,
    )</t>
  </si>
  <si>
    <t xml:space="preserve">    )
    ##################################################################################
    # DOCKERD CONTAINER
    if theia_session.docker:</t>
  </si>
  <si>
    <t xml:space="preserve">                k8s.V1EnvVar(name="ANUBIS_RUN_DOCKERD", value="1")
            ],
            # Add a security context to disable privilege escalation
            security_context=k8s.V1SecurityContext(
                allow_privilege_escalation=True,</t>
  </si>
  <si>
    <t xml:space="preserve">                run_as_non_root=True,
                run_as_user=1001,
                privileged=True,  # Hardcode privileged as it is required for docker (even rootless)
            ),
            # Add the shared certs volume</t>
  </si>
  <si>
    <t xml:space="preserve">                privileged=True,  # Hardcode privileged as it is required for docker (even rootless)
            ),
            # Add the shared certs volume
            volume_mounts=[
                *theia_volume_mounts,</t>
  </si>
  <si>
    <t xml:space="preserve">        pod_containers.append(dockerd_container)
    ##################################################################################
    # AUTOGRADE CONTAINER
    if theia_session.autograde:</t>
  </si>
  <si>
    <t xml:space="preserve">    if theia_session.autograde:
        # Submission may not be created. Skip handling this for now
        if theia_session.submission_id is not None:
            submission = theia_session.submission</t>
  </si>
  <si>
    <t xml:space="preserve">        pod_containers.append(autograde_container)
    ##################################################################################
    # THEIA CONTAINER
    # If this is an admin IDE session, then we should add a token</t>
  </si>
  <si>
    <t xml:space="preserve">    # THEIA CONTAINER
    # If this is an admin IDE session, then we should add a token
    # for the anubis cli to be able to authenticate to the anubis
    # api.
    if credentials:
        # Create a token for the session owner</t>
  </si>
  <si>
    <t xml:space="preserve">    # api.
    if credentials:
        # Create a token for the session owner
        token = create_token(theia_session.owner.netid)
</t>
  </si>
  <si>
    <t xml:space="preserve">        token = create_token(theia_session.owner.netid)
        # Create the INCLUSTER environment variable as the base64
        # encoded token. This token should be picked up by the
        # theia init process to initialize the anubis cli with
        # the token.
        theia_extra_env.append(
            k8s.V1EnvVar(</t>
  </si>
  <si>
    <t xml:space="preserve">
        if theia_session.course_id is not None:
            # Include COURSE_CONTEXT environment variable as urlsafe_base64
            # value. THis needs to be urlsafe because of the way the course
            # context cookie is loaded from a request (see get_course_context
            # function in anubis.lms.courses for more details)
            theia_extra_env.append(
                k8s.V1EnvVar(</t>
  </si>
  <si>
    <t xml:space="preserve">            )
    # Only set course code env var if it is available for this session
    if theia_session.course_id is not None:
        # set the course code to be the course code for the course</t>
  </si>
  <si>
    <t xml:space="preserve">    # Only set course code env var if it is available for this session
    if theia_session.course_id is not None:
        # set the course code to be the course code for the course
        # that this theia session belongs to.
        theia_extra_env.append(
            k8s.V1EnvVar(</t>
  </si>
  <si>
    <t xml:space="preserve">        )
    # Figure out which uid to use
    theia_user_id = 1001
    if webtop:</t>
  </si>
  <si>
    <t xml:space="preserve">        theia_user_id = 0
    # If privileged, add docker config file to pod as a volume
    if admin and include_docker_secret:
        pod_volumes.append(</t>
  </si>
  <si>
    <t xml:space="preserve">        theia_image_tag = theia_session.image_tag.tag
    # Create the main theia container. This is where the theia server runs, and
    # where the student will have a shell on.
    theia_container = k8s.V1Container(
        name="theia",</t>
  </si>
  <si>
    <t xml:space="preserve">        ports=[
            k8s.V1ContainerPort(container_port=5000),
            # Optional proxy ports
            *(k8s.V1ContainerPort(container_port=8000 + i, protocol="TCP") for i in range(11)),
            *(k8s.V1ContainerPort(container_port=8000 + i, protocol="UDP") for i in range(11)),</t>
  </si>
  <si>
    <t xml:space="preserve">            *(k8s.V1ContainerPort(container_port=8000 + i, protocol="UDP") for i in range(11)),
        ],
        # Use the theia image that was specified in the database. If this is
        # a student session, this should be the theia image that is default either
        # for the course, or for the specific assignment.
        image=f"{theia_image}:{theia_image_tag}",
        # Add environment</t>
  </si>
  <si>
    <t xml:space="preserve">        # for the course, or for the specific assignment.
        image=f"{theia_image}:{theia_image_tag}",
        # Add environment
        env=[
            # set the AUTOSAVE environment variable to ON or OFF</t>
  </si>
  <si>
    <t xml:space="preserve">        # Add environment
        env=[
            # set the AUTOSAVE environment variable to ON or OFF
            # depending on if autosave is enabled for the session.
            k8s.V1EnvVar(
                name="AUTOSAVE",</t>
  </si>
  <si>
    <t xml:space="preserve">                value="ON" if autosave else "OFF",
            ),
            # setting the repo name makes some of the initialization
            # a little easier.
            k8s.V1EnvVar(
                name="REPO_NAME",</t>
  </si>
  <si>
    <t xml:space="preserve">                value=repo_name,
            ),
            # Add any extra env if it was specified.
            *theia_extra_env,
        ],</t>
  </si>
  <si>
    <t xml:space="preserve">            *theia_extra_env,
        ],
        # set the resource limits and requests
        resources=k8s.V1ResourceRequirements(
            limits=limits,</t>
  </si>
  <si>
    <t xml:space="preserve">            requests=requests,
        ),
        # setup the shared volume where the student
        # repo exists.
        volume_mounts=theia_volume_mounts,
        # Startup probe is the way that kubernetes can</t>
  </si>
  <si>
    <t xml:space="preserve">        # repo exists.
        volume_mounts=theia_volume_mounts,
        # Startup probe is the way that kubernetes can
        # check to see if the theia has started correctly.
        # The pod will not be marked as ready until the
        # webserver has started and the startup probe has
        # succeeded.
        startup_probe=k8s.V1Probe(
            http_get=k8s.V1HTTPGetAction(</t>
  </si>
  <si>
    <t xml:space="preserve">            success_threshold=1,
        ),
        # If the session should be privileged, set it here. Privileged
        # containers should only exist for the management IDEs so that
        # docker can run.
        security_context=k8s.V1SecurityContext(
            allow_privilege_escalation=webtop,</t>
  </si>
  <si>
    <t xml:space="preserve">    )
    ##################################################################################
    # POD
    # Add the main theia container, and the autosave sidecar</t>
  </si>
  <si>
    <t xml:space="preserve">    # POD
    # Add the main theia container, and the autosave sidecar
    # to the containers list.
    pod_containers.append(theia_container)
    pod_containers.append(autosave_container)</t>
  </si>
  <si>
    <t xml:space="preserve">    pod_containers.append(autosave_container)
    # Extra labels to be applied to the pod
    extra_labels = {}
</t>
  </si>
  <si>
    <t xml:space="preserve">    extra_labels = {}
    # Anything extra in the pod spec to be added
    spec_extra = {}
</t>
  </si>
  <si>
    <t xml:space="preserve">    spec_extra = {}
    # If network locked, then set the network policy to student
    # and dns to 1.1.1.1
    if theia_session.network_locked:
</t>
  </si>
  <si>
    <t xml:space="preserve">    if theia_session.network_locked:
        # This label will enable the student network policy to be
        # applied to this container. The gist of this policy is that
        # students will only be able to connect to github.
        extra_labels["network-policy"] = theia_session.network_policy or "os-student"
</t>
  </si>
  <si>
    <t xml:space="preserve">        extra_labels["network-policy"] = theia_session.network_policy or "os-student"
        # set up the pod DNS to be pointed to cloudflare 1.1.1.1 instead
        # of the internal kubernetes dns.
        spec_extra["dns_policy"] = "None"
        spec_extra["dns_config"] = k8s.V1PodDNSConfig(nameservers=["1.1.1.1"])</t>
  </si>
  <si>
    <t xml:space="preserve">        spec_extra["dns_config"] = k8s.V1PodDNSConfig(nameservers=["1.1.1.1"])
    # If the network is not locked, then we still need to apply
    # the admin policy. The gist of this policy is that the pod
    # can only connect to the api within the cluster, and anything
    # outside of the cluster.
    else:
        extra_labels["network-policy"] = "admin"</t>
  </si>
  <si>
    <t xml:space="preserve">        extra_labels["network-policy"] = "admin"
    # Create pod object
    pod = k8s.V1Pod(
        metadata=k8s.V1ObjectMeta(</t>
  </si>
  <si>
    <t xml:space="preserve">        ),
        spec=k8s.V1PodSpec(
            # set the hostname here so that the terminals on the
            # IDEs will be theia@anubis-ide instead of some ugly
            # container hash.
            hostname="anubis-ide",
            # set the init container</t>
  </si>
  <si>
    <t xml:space="preserve">            # container hash.
            hostname="anubis-ide",
            # set the init container
            init_containers=[init_container],
            # set the containers list</t>
  </si>
  <si>
    <t xml:space="preserve">            # set the init container
            init_containers=[init_container],
            # set the containers list
            containers=pod_containers,
            # Add the shared Volume(s)</t>
  </si>
  <si>
    <t xml:space="preserve">            # set the containers list
            containers=pod_containers,
            # Add the shared Volume(s)
            volumes=pod_volumes,
            # Minimal service account with no extra permissions</t>
  </si>
  <si>
    <t xml:space="preserve">            # Add the shared Volume(s)
            volumes=pod_volumes,
            # Minimal service account with no extra permissions
            service_account_name='theia-ide',
            # Disable service information from being injected into the environment</t>
  </si>
  <si>
    <t xml:space="preserve">            # Disable service information from being injected into the environment
            enable_service_links=False,
            # Don't mount service account tokens
            automount_service_account_token=False,
            # Add any extra things in the spec (depending on the</t>
  </si>
  <si>
    <t xml:space="preserve">            # Don't mount service account tokens
            automount_service_account_token=False,
            # Add any extra things in the spec (depending on the
            # options set for the session)
            **spec_extra,
        ),</t>
  </si>
  <si>
    <t xml:space="preserve">
def reap_stale_theia_sessions(*_):
    """
    Reap any and all stale sessions either in the database or
    in kubernetes. This function should be run periodically in
    the reap job to ensure that the state in the database matches
    what is running in the cluster and vice versa.
    :param _:
    :return:
    """
    # Load the incluster config</t>
  </si>
  <si>
    <t xml:space="preserve">    """
    # Load the incluster config
    k8s_config.load_incluster_config()
</t>
  </si>
  <si>
    <t xml:space="preserve">    k8s_config.load_incluster_config()
    # Log the event
    logger.info("Clearing stale theia sessions")
</t>
  </si>
  <si>
    <t xml:space="preserve">    logger.info("Clearing stale theia sessions")
    # Get the list of active pods
    theia_pods = list_theia_pods()
</t>
  </si>
  <si>
    <t xml:space="preserve">    theia_pods = list_theia_pods()
    # Update the records for pod ip addresses
    update_theia_pod_cluster_addresses(theia_pods)
</t>
  </si>
  <si>
    <t xml:space="preserve">    update_theia_pod_cluster_addresses(theia_pods)
    # Check that all theia sessions have not
    # reached the global timeout.
    reap_old_theia_sessions(theia_pods)
</t>
  </si>
  <si>
    <t xml:space="preserve">    reap_old_theia_sessions(theia_pods)
    # Make sure that database entries marked
    # as active have pods and pods have active
    # database entries.
    reap_stale_theia_k8s_resources(theia_pods)
</t>
  </si>
  <si>
    <t xml:space="preserve">
def reap_theia_session_k8s_resources(theia_session_id: str):
    """
    Mark a theia session kubernetes resources for deletion. This really
    just means, delete the pod and the pvc for the session.
    :param theia_session_id:
    :return:
    """
    v1 = k8s.CoreV1Api()
</t>
  </si>
  <si>
    <t xml:space="preserve">    v1 = k8s.CoreV1Api()
    # Log the reap
    logger.info("Reaping TheiaSession {}".format(theia_session_id))
</t>
  </si>
  <si>
    <t xml:space="preserve">    logger.info("Reaping TheiaSession {}".format(theia_session_id))
    # Mark the pod for deletion by a label selector
    v1.delete_collection_namespaced_pod(
        namespace="anubis",</t>
  </si>
  <si>
    <t xml:space="preserve">
def reap_old_theia_sessions(theia_pods: k8s.V1PodList):
    """
    Check that all the active pods have not reached the
    maximum lifetime of a theia session.
    :param theia_pods:
    :return:
    """
    # Get stale timeout hours</t>
  </si>
  <si>
    <t xml:space="preserve">    """
    # Get stale timeout hours
    theia_stale_timeout_hours = get_config_int("THEIA_STALE_TIMEOUT_HOURS", default=6)
    theia_stale_timeout = timedelta(hours=theia_stale_timeout_hours)</t>
  </si>
  <si>
    <t xml:space="preserve">    theia_stale_timeout = timedelta(hours=theia_stale_timeout_hours)
    # Iterate through all active
    for n, pod in enumerate(theia_pods.items):
</t>
  </si>
  <si>
    <t xml:space="preserve">    for n, pod in enumerate(theia_pods.items):
        # Get the theia session id from the pod labels
        session_id = pod.metadata.labels["session"]
</t>
  </si>
  <si>
    <t xml:space="preserve">            continue
        # If the session is younger than 6 hours old, continue
        if datetime.now() &lt;= theia_session.created + theia_stale_timeout:
            logger.info(f"NOT reaping session {theia_session.id}")</t>
  </si>
  <si>
    <t xml:space="preserve">            continue
        # Reap the session
        reap_theia_session(theia_session, commit=False)
</t>
  </si>
  <si>
    <t xml:space="preserve">        reap_theia_session(theia_session, commit=False)
        # Batch commits in size of 5
        if n % 5 == 0:
            db.session.commit()</t>
  </si>
  <si>
    <t xml:space="preserve">
def reap_theia_session(theia_session: TheiaSession, commit: bool = True):
    """
    Reap the given theia session. This is a two step process where
    we first mark the k8s resources for deletion, then
    mark the database entry as ended and inactive.
    :param theia_session:
    :param commit:
    :return:
    """
    # Mark the session resources in kubernetes for deletion.</t>
  </si>
  <si>
    <t xml:space="preserve">    """
    # Mark the session resources in kubernetes for deletion.
    # The call to delete the theia session resources will be
    # backgrounded. That is that the session resources will only
    # have been marked for deletion when this function returns.
    reap_theia_session_k8s_resources(theia_session.id)
</t>
  </si>
  <si>
    <t xml:space="preserve">    reap_theia_session_k8s_resources(theia_session.id)
    # Update the database entry for the session. set the end time,
    # and active to False.
    mark_session_ended(theia_session)
</t>
  </si>
  <si>
    <t xml:space="preserve">    mark_session_ended(theia_session)
    # Commit the changes to the database entry
    if commit:
        db.session.commit()</t>
  </si>
  <si>
    <t xml:space="preserve">
def reap_theia_session_by_id(theia_session_id: str):
    """
    Reap the theia session identified by id. This will mark the theia
    session resources in kubernetes for deletion, then mark the database
    entry for the session as inactive.
    :param theia_session_id:
    :return:
    """
    # Load incluster kubernetes config</t>
  </si>
  <si>
    <t xml:space="preserve">    """
    # Load incluster kubernetes config
    k8s_config.load_incluster_config()
</t>
  </si>
  <si>
    <t xml:space="preserve">    k8s_config.load_incluster_config()
    # Log the reap
    logger.info("Attempting to reap theia session {}".format(theia_session_id))
</t>
  </si>
  <si>
    <t xml:space="preserve">    logger.info("Attempting to reap theia session {}".format(theia_session_id))
    # Find the theia session in the database
    theia_session: TheiaSession = TheiaSession.query.filter(
        TheiaSession.id == theia_session_id,</t>
  </si>
  <si>
    <t xml:space="preserve">    ).first()
    # Make sure that we have a record for this session
    if theia_session is None:
        logger.error("Could not find theia session {} when attempting to delete".format(theia_session_id))</t>
  </si>
  <si>
    <t xml:space="preserve">        return
    # Reap the session
    reap_theia_session(theia_session)
</t>
  </si>
  <si>
    <t xml:space="preserve">
def reap_theia_sessions_in_course(course_id: str):
    """
    Reap all theia sessions within a specific course. This will
    kick everyone off their IDEs.
    There may be many database entries that this function updates
    so we will batch commits to help speed things up, while
    keeping things relatively consistent in the cluster.
    :param course_id:
    :return:
    """
    # Load the incluster config</t>
  </si>
  <si>
    <t xml:space="preserve">    k8s_config.load_incluster_config()
    # Lof the reap
    logger.info(f"Clearing theia sessions course_id={course_id}")
</t>
  </si>
  <si>
    <t xml:space="preserve">    logger.info(f"Clearing theia sessions course_id={course_id}")
    # Find all theia sessions in the database that are
    # marked as active.
    theia_sessions = TheiaSession.query.filter(
        TheiaSession.active == True,</t>
  </si>
  <si>
    <t xml:space="preserve">    ).all()
    # Iterate through all active theia sessions in the database, deleting and
    # updating as we go.
    for n, theia_session in enumerate(theia_sessions):
        # Reap the session</t>
  </si>
  <si>
    <t xml:space="preserve">    # updating as we go.
    for n, theia_session in enumerate(theia_sessions):
        # Reap the session
        reap_theia_session(theia_session, commit=False)
</t>
  </si>
  <si>
    <t xml:space="preserve">
def reap_theia_playgrounds_all():
    """
    Reap all theia sessions within anubis playgrounds. This will
    kick everyone off their IDEs.
    There may be many database entries that this function updates
    so we will batch commits to help speed things up, while
    keeping things relatively consistent in the cluster.
    :return:
    """
    # Load the incluster config</t>
  </si>
  <si>
    <t xml:space="preserve">    k8s_config.load_incluster_config()
    # Lof the reap
    logger.info(f"Clearing theia sessions playgrounds")
</t>
  </si>
  <si>
    <t xml:space="preserve">    logger.info(f"Clearing theia sessions playgrounds")
    # Find all theia sessions in the database that are
    # marked as active.
    theia_sessions = TheiaSession.query.filter(
        TheiaSession.active == True,</t>
  </si>
  <si>
    <t xml:space="preserve">
def reap_stale_theia_k8s_resources(theia_pods: k8s.V1PodList):
    """
    Checks that all active Theia Sessions have active pods.
    Will mark pods for deletion if they are marked as not active in db.
    Will mark db sessions as not active if they do not have a pod.
    The intent of this function is that it is called every few minutes
    to fix any inconsistencies in what is in the database, and k8s. For
    example, if there is a theia pod that still exists for a theia session
    that has been marked as inactive in the database, this function will
    figure that out and delete the "stale" pod.
    :param theia_pods:
    :return:
    """
    # Log the event</t>
  </si>
  <si>
    <t xml:space="preserve">    """
    # Log the event
    logger.info("Checking active ActiveTheia sessions")
</t>
  </si>
  <si>
    <t xml:space="preserve">    logger.info("Checking active ActiveTheia sessions")
    # Get the theia timeout config value
    standard_theia_timeout = get_config_int("THEIA_STALE_PROXY_MINUTES", default=10)
    admin_theia_timeout = get_config_int("THEIA_ADMIN_STALE_PROXY_MINUTES", default=60)</t>
  </si>
  <si>
    <t xml:space="preserve">    admin_theia_timeout = get_config_int("THEIA_ADMIN_STALE_PROXY_MINUTES", default=60)
    # Get list of all courses
    courses: list[Course] = get_active_courses()
</t>
  </si>
  <si>
    <t xml:space="preserve">    active_db_sessions: list[TheiaSession] = []
    # Iterate over all courses
    for course in courses:
        print("filtering stale ides for course {} - {}".format(course.name, course.course_code))</t>
  </si>
  <si>
    <t xml:space="preserve">        print("filtering stale ides for course {} - {}".format(course.name, course.course_code))
        # Get a list of (heavily cached) admin id strings
        course_admin_ids = get_course_admin_ids(course.id)
        print("course_admin_ids", course.name, course_admin_ids, sep=" :: ")</t>
  </si>
  <si>
    <t xml:space="preserve">        print("course_admin_ids", course.name, course_admin_ids, sep=" :: ")
        # Build query for theia active sessions within the course
        query = TheiaSession.query.filter(
            # Get sessions marked as active</t>
  </si>
  <si>
    <t xml:space="preserve">        # Build query for theia active sessions within the course
        query = TheiaSession.query.filter(
            # Get sessions marked as active
            TheiaSession.active == True,
            # Only consider sessions that have had some</t>
  </si>
  <si>
    <t xml:space="preserve">            # Get sessions marked as active
            TheiaSession.active == True,
            # Only consider sessions that have had some
            # time to have their k8s resources requested.
            TheiaSession.k8s_requested == True,
            # Only consider sessions that are a part of</t>
  </si>
  <si>
    <t xml:space="preserve">            # time to have their k8s resources requested.
            TheiaSession.k8s_requested == True,
            # Only consider sessions that are a part of
            # this course.
            TheiaSession.course_id == course.id,
        )</t>
  </si>
  <si>
    <t xml:space="preserve">        )
        # Get a list of the standard (student) theia sessions that are active
        standard_active_db_theia_sessions: list[TheiaSession] = query.filter(
            # Filter out admin users (only students in the course)</t>
  </si>
  <si>
    <t xml:space="preserve">        # Get a list of the standard (student) theia sessions that are active
        standard_active_db_theia_sessions: list[TheiaSession] = query.filter(
            # Filter out admin users (only students in the course)
            ~TheiaSession.owner_id.in_(course_admin_ids),
            # Filter for sessions that have had a proxy in the last 10 minutes</t>
  </si>
  <si>
    <t xml:space="preserve">            # Filter out admin users (only students in the course)
            ~TheiaSession.owner_id.in_(course_admin_ids),
            # Filter for sessions that have had a proxy in the last 10 minutes
            TheiaSession.last_proxy &gt;= datetime.now() - timedelta(minutes=standard_theia_timeout),
        ).all()</t>
  </si>
  <si>
    <t xml:space="preserve">        ).all()
        # Get a list of the admin (professor/ta) theia sessions that are active
        admin_active_db_theia_sessions: list[TheiaSession] = query.filter(
            # Filter for admin users (only professors+tas)</t>
  </si>
  <si>
    <t xml:space="preserve">        # Get a list of the admin (professor/ta) theia sessions that are active
        admin_active_db_theia_sessions: list[TheiaSession] = query.filter(
            # Filter for admin users (only professors+tas)
            TheiaSession.owner_id.in_(course_admin_ids),
            # Filter for sessions that have had a proxy in the last 60 minutes</t>
  </si>
  <si>
    <t xml:space="preserve">            # Filter for admin users (only professors+tas)
            TheiaSession.owner_id.in_(course_admin_ids),
            # Filter for sessions that have had a proxy in the last 60 minutes
            TheiaSession.last_proxy &gt;= datetime.now() - timedelta(minutes=admin_theia_timeout),
        ).all()</t>
  </si>
  <si>
    <t xml:space="preserve">        ).all()
        # Build list of all the active theia ides (in the database)
        # from the standard and admin sessions.
        active_db_sessions.extend(standard_active_db_theia_sessions)
        active_db_sessions.extend(admin_active_db_theia_sessions)</t>
  </si>
  <si>
    <t xml:space="preserve">        active_db_sessions.extend(admin_active_db_theia_sessions)
    # Make sure to cover theia sessions that do not have a set
    # course as well. Hold these course-less ides to the
    # standard timeout.
    no_course_db_active_sessions: list[TheiaSession] = TheiaSession.query.filter(
        # Get sessions marked as active</t>
  </si>
  <si>
    <t xml:space="preserve">    # standard timeout.
    no_course_db_active_sessions: list[TheiaSession] = TheiaSession.query.filter(
        # Get sessions marked as active
        TheiaSession.active == True,
        # Only consider sessions that have had some</t>
  </si>
  <si>
    <t xml:space="preserve">        # Get sessions marked as active
        TheiaSession.active == True,
        # Only consider sessions that have had some
        # time to have their k8s resources requested.
        TheiaSession.k8s_requested == True,
        # Course-less theia session</t>
  </si>
  <si>
    <t xml:space="preserve">        # time to have their k8s resources requested.
        TheiaSession.k8s_requested == True,
        # Course-less theia session
        TheiaSession.course_id == None,
        # Filter for sessions that have had a proxy in the last 10 minutes</t>
  </si>
  <si>
    <t xml:space="preserve">        # Course-less theia session
        TheiaSession.course_id == None,
        # Filter for sessions that have had a proxy in the last 10 minutes
        TheiaSession.last_proxy &gt;= datetime.now() - timedelta(minutes=standard_theia_timeout),
    ).all()</t>
  </si>
  <si>
    <t xml:space="preserve">    ).all()
    # Print the course-less ides to the screen
    print("no-course ides", no_course_db_active_sessions, sep=" :: ")
</t>
  </si>
  <si>
    <t xml:space="preserve">    print("no-course ides", no_course_db_active_sessions, sep=" :: ")
    # Add the no-course theia sessions to the active db sessions list
    active_db_sessions.extend(no_course_db_active_sessions)
</t>
  </si>
  <si>
    <t xml:space="preserve">    print("active_db_sessions", active_db_sessions)
    # Build set of active pod session ids
    active_pod_ids = set()
    for pod in theia_pods.items:</t>
  </si>
  <si>
    <t xml:space="preserve">        active_pod_ids.add(pod.metadata.labels["session"])
    # Build set of active db session ids
    active_db_ids = set()
    for active_db_session in active_db_sessions:</t>
  </si>
  <si>
    <t xml:space="preserve">        active_db_ids.add(active_db_session.id)
    # Figure out which ones don't match
    # and need to be updated.
    stale_pods_ids = active_pod_ids - active_db_ids
    stale_db_ids = active_db_ids - active_pod_ids</t>
  </si>
  <si>
    <t xml:space="preserve">    stale_db_ids = active_db_ids - active_pod_ids
    # Log which stale pods we need to clean up
    if len(stale_pods_ids) &gt; 0:
        logger.info("Found stale theia pods to reap: {}".format(str(list(stale_pods_ids))))</t>
  </si>
  <si>
    <t xml:space="preserve">        logger.info("Found stale theia pods to reap: {}".format(str(list(stale_pods_ids))))
    # Log the stale database entries we need to cleanup
    if len(stale_db_ids) &gt; 0:
        logger.info("Found stale theia database entries: {}".format(str(list(stale_db_ids))))</t>
  </si>
  <si>
    <t xml:space="preserve">        logger.info("Found stale theia database entries: {}".format(str(list(stale_db_ids))))
    # Reap theia sessions
    for stale_pod_id in stale_pods_ids:</t>
  </si>
  <si>
    <t xml:space="preserve">        reap_theia_session_by_id(stale_pod_id)
    # Update database entries
    TheiaSession.query.filter(
        TheiaSession.id.in_(list(stale_db_ids)),</t>
  </si>
  <si>
    <t xml:space="preserve">    ).update({TheiaSession.active: False}, False)
    # Commit any and all changes to the database
    db.session.commit()</t>
  </si>
  <si>
    <t xml:space="preserve">
def list_theia_pods() -&gt; k8s.V1PodList:
    """
    Get a list of all theia pods that are currently active within the
    kubernetes cluster. This list may not match exactly what is marked
    as active in the database.
    :return:
    """
    v1 = k8s.CoreV1Api()
</t>
  </si>
  <si>
    <t xml:space="preserve">    v1 = k8s.CoreV1Api()
    # list pods by label selector
    pods = v1.list_namespaced_pod(
        namespace="anubis",</t>
  </si>
  <si>
    <t xml:space="preserve">
def active_theia_pod_count() -&gt; int:
    """
    Get the number of currently active theia pods in
    the kubernetes cluster.
    :return:
    """
    return len(list_theia_pods().items)</t>
  </si>
  <si>
    <t xml:space="preserve">
def reap_user_pvc(user_id: str):
    # Load the kubernetes incluster config
    k8s_config.load_incluster_config()
    v1 = k8s.CoreV1Api()</t>
  </si>
  <si>
    <t xml:space="preserve">        return get_config_str('DEVELOPER_VOLUME_SIZE', '4Gi')
    # Get home volume size from config
    if theia_session is not None and theia_session.playground:
        if theia_session.image.webtop:</t>
  </si>
  <si>
    <t xml:space="preserve">        return f"{user.netid}-{theia_session.id[:6]}-ide"
    # Overwrite the volume name to be the user's persistent volume
    return f"ide-volume-{user.netid}"
</t>
  </si>
  <si>
    <t xml:space="preserve">    netid = user.netid
    # Overwrite the volume name to be the user's persistent volume
    theia_volume_name = get_pvc_name(user, theia_session)
</t>
  </si>
  <si>
    <t xml:space="preserve">    theia_volume_name = get_pvc_name(user, theia_session)
    # The storage class to be used on prod is probably going to be longhorn. Regardless,
    # we'll want to be able to set this on the fly from a config value. If we default
    # to None, then the cluster default storage class will be used.
    theia_storage_class_name = get_config_str("THEIA_STORAGE_CLASS_NAME", default=None)
</t>
  </si>
  <si>
    <t xml:space="preserve">    theia_storage_class_name = get_config_str("THEIA_STORAGE_CLASS_NAME", default=None)
    # Create the persistent volume claim object. Since this is a
    # ReadWriteMany volume, the default storage class should
    # support it.
    theia_project_pvc = k8s.V1PersistentVolumeClaim(
        metadata=k8s.V1ObjectMeta(</t>
  </si>
  <si>
    <t xml:space="preserve">
def assert_google_credentials(google_credentials: google.oauth2.credentials.Credentials):
    # If we don't have credentials, then we can not communicate with the Google api.
    # Exit with error if google_creds is None at this point. Exiting with 1 will
    # make the pod fail which we can set up alerts for later.
    if google_credentials is None:
        raise GoogleCredentialsException("MISSING GOOGLE API CREDENTIALS")</t>
  </si>
  <si>
    <t xml:space="preserve">        raise GoogleCredentialsException("MISSING GOOGLE API CREDENTIALS")
    # The token can expire or be disabled. In these cases, then there is nothing
    # more we can do. Exit with an error.
    if not google_credentials.valid:
        raise GoogleCredentialsException("GOOGLE API CREDENTIALS INVALID")</t>
  </si>
  <si>
    <t xml:space="preserve">    scopes: list[str],
) -&gt; googleapiclient.discovery.Resource:
    """
    Build the Google service object for interacting with gmail/calendar apis.
    :param secret_name:
    :param google_api:
    :param google_api_version:
    :param scopes:
    :return:
    """
    # setup Kubernetes incluster client</t>
  </si>
  <si>
    <t xml:space="preserve">    """
    # setup Kubernetes incluster client
    kubernetes.config.load_incluster_config()
</t>
  </si>
  <si>
    <t xml:space="preserve">    kubernetes.config.load_incluster_config()
    # Get CoreV1Api object
    v1 = kubernetes.client.CoreV1Api()
</t>
  </si>
  <si>
    <t xml:space="preserve">    v1 = kubernetes.client.CoreV1Api()
    # Get kubernetes credentials secret object
    secret = get_google_secret(v1, secret_name)
</t>
  </si>
  <si>
    <t xml:space="preserve">    secret = get_google_secret(v1, secret_name)
    # Use credentials secret and turn it into a Google credentials
    # object for building the Google service object
    google_credentials = get_google_credentials(v1, secret, scopes)
</t>
  </si>
  <si>
    <t xml:space="preserve">    google_credentials = get_google_credentials(v1, secret, scopes)
    # Assert that the Google credentials are valid and usable. Otherwise,
    # this will raise a GoogleCredentialsException
    assert_google_credentials(google_credentials)
</t>
  </si>
  <si>
    <t xml:space="preserve">    assert_google_credentials(google_credentials)
    # Create the Google service object using Google credentials
    service = build(google_api, google_api_version, credentials=google_credentials)
    service: googleapiclient.discovery.Resource</t>
  </si>
  <si>
    <t xml:space="preserve">    raise_: bool = False,
):
    """Send an email message.
    Args:
      service: Authorized Gmail API service instance.
      user_id: User's email address. The special value "me"
      can be used to indicate the authenticated user.
      message: Message to be sent.
    Returns:
      Sent Message.
    """
    email_send_enabled: bool = get_config_bool('EMAIL_SEND_ENABLED', default=False)</t>
  </si>
  <si>
    <t xml:space="preserve">
def _get_logger(logger_name):
    """
    For any of the anubis services that use the API, the
    logger name should be specified. In prod, container
    logs will be captured by filebeat and pushed into
    elasticsearch in the elastic namespace.
    :param logger_name:
    :return:
    """
    # Initialize a logger for this app with the logger</t>
  </si>
  <si>
    <t xml:space="preserve">    """
    # Initialize a logger for this app with the logger
    # name specified
    streamer = logging.StreamHandler()
    formatter = logging.Formatter("%(asctime)s %(name)s %(filename)s %(levelname)s :: %(message)s")</t>
  </si>
  <si>
    <t xml:space="preserve">
# Create a single logger object for the current app instance
logger = _get_logger(env.LOGGER_NAME)</t>
  </si>
  <si>
    <t xml:space="preserve">
def set_config_value(key: str, value: str) -&gt; Config:
    # Find existing config
    config: Config = Config.query.filter(Config.key == key).first()
</t>
  </si>
  <si>
    <t xml:space="preserve">    config: Config = Config.query.filter(Config.key == key).first()
    # If config does not exist, add it
    if config is None:
        config: Config = Config(key=key)</t>
  </si>
  <si>
    <t xml:space="preserve">        db.session.add(config)
    # set value
    config.value = value
</t>
  </si>
  <si>
    <t xml:space="preserve">    config.value = value
    # Commit change
    db.session.commit()
</t>
  </si>
  <si>
    <t>@cache.memoize(timeout=10, source_check=True)
def get_config_dict(key: str, default: dict | None = None) -&gt; dict | None:
    """
    Get a config str entry for a given config key. Optionally specify a
    default value for if the key does not exist in the config table.
    :param key:
    :param default:
    :return:
    """
    # Query database for config row</t>
  </si>
  <si>
    <t xml:space="preserve">    """
    # Query database for config row
    config_value_raw: Config = Config.query.filter(Config.key == key).first()
</t>
  </si>
  <si>
    <t xml:space="preserve">    config_value_raw: Config = Config.query.filter(Config.key == key).first()
    # Check that the config value exists
    if config_value_raw is None:
        # Return default if entry was not found</t>
  </si>
  <si>
    <t xml:space="preserve">    # Check that the config value exists
    if config_value_raw is None:
        # Return default if entry was not found
        return default
</t>
  </si>
  <si>
    <t xml:space="preserve">        return default
    # Return the parsed json value if we are able
    try:
        return json.loads(config_value_raw.value)</t>
  </si>
  <si>
    <t>@cache.memoize(timeout=10, source_check=True)
def get_config_str(key: str, default: str | None = None) -&gt; str | None:
    """
    Get a config str entry for a given config key. Optionally specify a
    default value for if the key does not exist in the config table.
    :param key:
    :param default:
    :return:
    """
    # Query database for config row</t>
  </si>
  <si>
    <t xml:space="preserve">    """
    # Query database for config row
    config_value: Config = Config.query.filter(Config.key == key).first()
</t>
  </si>
  <si>
    <t xml:space="preserve">    config_value: Config = Config.query.filter(Config.key == key).first()
    # Check that the config value exists
    if config_value is None:
        # Return default if entry was not found</t>
  </si>
  <si>
    <t xml:space="preserve">    # Check that the config value exists
    if config_value is None:
        # Return default if entry was not found
        return default
</t>
  </si>
  <si>
    <t xml:space="preserve">        return default
    # Return the string value if it exists
    return config_value.value
</t>
  </si>
  <si>
    <t>@cache.memoize(timeout=10, source_check=True)
def get_config_int(key: str, default: int | None = None) -&gt; int | None:
    """
    Get a config int entry for a given config key. Optionally specify a
    default value for if the key does not exist in the config table.
    :param key:
    :param default:
    :return:
    """
    # Query database for config row</t>
  </si>
  <si>
    <t xml:space="preserve">    """
    # Query database for config row
    value: str = get_config_str(key, None)
</t>
  </si>
  <si>
    <t xml:space="preserve">    value: str = get_config_str(key, None)
    # If value is None, then return default
    if value is None:
        return default</t>
  </si>
  <si>
    <t xml:space="preserve">        return default
    # Attempt to convert and return the entry as an int
    try:
        # Try to convert the value to an int. This will raise a value</t>
  </si>
  <si>
    <t xml:space="preserve">    # Attempt to convert and return the entry as an int
    try:
        # Try to convert the value to an int. This will raise a value
        # exception if there is any issue with the format with the
        # value.
        config_value_int = int(value.strip())
</t>
  </si>
  <si>
    <t xml:space="preserve">        config_value_int = int(value.strip())
        # Pass back the converted integer value
        return config_value_int
</t>
  </si>
  <si>
    <t xml:space="preserve">        return config_value_int
    # ValueError will be raised if the underlying config value could
    # not be converted to an int.
    except ValueError:
</t>
  </si>
  <si>
    <t xml:space="preserve">    except ValueError:
        # If there was any issue, return default
        return default
</t>
  </si>
  <si>
    <t>@cache.memoize(timeout=10, source_check=True)
def get_config_bool(key: str, default: bool = False) -&gt; bool:
    """
    Get a config bool entry for a given config key. Optionally specify a
    default value for if the key does not exist in the config table.
    Valid values for parsing will be ints, "ON"/"OFF", and "true"/"false"
    :param key:
    :param default:
    :return:
    """
    value = get_config_str(key, None)</t>
  </si>
  <si>
    <t xml:space="preserve">
    try:
        # Try to convert the value to an int. This will raise a value
        # exception if there is any issue with the format with the
        # value.
        return bool(int(value.strip()))
    except ValueError:</t>
  </si>
  <si>
    <t xml:space="preserve">        pass
    # Match on different acceptable variations
    match value.lower():
        case 'on' | 'true':</t>
  </si>
  <si>
    <t>@cache.memoize(timeout=1)
def cache_health():
    """
    This simple function is used to do health checks
    on the cache (redis specifically). If this function
    fails, then redis is probably failing.
    :return:
    """
    return None</t>
  </si>
  <si>
    <t xml:space="preserve">    @json_response
    def index():
        """
        Healthcheck endpoint.
        This preforms a very basic check to make sure that the database
        and the cache are reachable on the current instance. If the status
        comes back as "Unhealthy", then there was some exception that was
        raised when attempting to connect to it. It may only be a temporary
        issue, or something specific to the instance it is running on.
        response = {
          "db": "Healthy",
          "cache": "Healthy"
        }
        :return:
        """
        # Construct basic status &amp; status code</t>
  </si>
  <si>
    <t xml:space="preserve">        """
        # Construct basic status &amp; status code
        status_code = 200
        status = {</t>
  </si>
  <si>
    <t xml:space="preserve">        }
        # Attempt to connect to db
        try:
            Config.query.all()</t>
  </si>
  <si>
    <t xml:space="preserve">            Config.query.all()
        # If there is any issue, mark the db
        # connection as Unhealthy and log the error
        except Exception as e:
            status["db"] = "Unhealthy"</t>
  </si>
  <si>
    <t xml:space="preserve">            logger.error(traceback.format_exc())
        # Attempt to connect to cache
        try:
            cache_health()</t>
  </si>
  <si>
    <t xml:space="preserve">            cache_health()
        # If there is any issue, mark the cache
        # connection as Unhealthy and log the error
        except Exception as e:
            status["cache"] = "Unhealthy"</t>
  </si>
  <si>
    <t xml:space="preserve">            logger.error(traceback.format_exc())
        # Pass back status and status_code
        return status, status_code</t>
  </si>
  <si>
    <t xml:space="preserve">
class AssertError(Exception):
    """
    This exception should be raised when an assertion
    fails in the request.
    """
    def __init__(self, message: str, status_code: int = 400):</t>
  </si>
  <si>
    <t xml:space="preserve">
class AuthenticationError(Exception):
    """
    This exception should be raised if a request
    lacks the proper authentication fow whatever
    action they are requesting.
    If the view function is wrapped in any of the
    require auth decorators, then this exception
    will be caught and return a 401.
    """
</t>
  </si>
  <si>
    <t xml:space="preserve">
class LackCourseContext(Exception):
    """
    Most of the admin actions require there to
    be a course context to be set. This exception
    should be raised if there is not a course
    context set.
    If there is some other permission issue involving
    the course context, then a AuthenticationError
    may be more appropriate.
    """
</t>
  </si>
  <si>
    <t xml:space="preserve">
class GoogleCredentialsException(Exception):
    """
    This is raised when the google credentials are
    invalid in any way. This is not something that
    will ever be raised in a request context. Because
    the google apis are only used in rpc jobs, we only
    need to worry about having exception handlers for
    this exception there.
    """
</t>
  </si>
  <si>
    <t xml:space="preserve">
def add_app_exception_handlers(app: Flask):
    """
    Add exception handlers to the flask app.
    :param app:
    :return:
    """
    from anubis.utils.http import error_response</t>
  </si>
  <si>
    <t xml:space="preserve">    from anubis.utils.logging import logger
    # set AuthenticationError handler
    @app.errorhandler(AuthenticationError)
    def handler_authentication_error(e: AuthenticationError):</t>
  </si>
  <si>
    <t xml:space="preserve">        return jsonify(error_response(str(e) or "Unauthenticated")), 401
    # set LackCourseContext handler
    @app.errorhandler(LackCourseContext)
    def handle_lack_course_context(e: LackCourseContext):</t>
  </si>
  <si>
    <t xml:space="preserve">
def traces_sampler(sampling_context):
    # Examine provided context data (including parent decision, if any)
    # along with anything in the global namespace to compute the sample rate
    # or sampling decision for this transaction
    if 'REQUEST_URI' in sampling_context and sampling_context['REQUEST_URI'] == '/':</t>
  </si>
  <si>
    <t xml:space="preserve">        return 0
    else:
        # Default sample rate
        return 0.25
</t>
  </si>
  <si>
    <t xml:space="preserve">            integrations=[FlaskIntegration()] if not is_job() else [],
            # set traces_sample_rate to 1.0 to capture 100%
            # of transactions for performance monitoring.
            # We recommend adjusting this value in production.
            traces_sample_rate=1.0,
</t>
  </si>
  <si>
    <t xml:space="preserve">            traces_sample_rate=1.0,
            # By default the SDK will try to use the SENTRY_RELEASE
            # environment variable, or infer a git commit
            # SHA as release, however you may want to set
            # something more human-readable.
            # release="myapp@1.0.0",
            traces_sampler=traces_sampler,
        )</t>
  </si>
  <si>
    <t xml:space="preserve">
def is_debug() -&gt; bool:
    """
    Returns true if the app is running in debug mode
    :return:
    """
    return env.DEBUG
</t>
  </si>
  <si>
    <t xml:space="preserve">
def is_job() -&gt; bool:
    """
    Returns true if the app context is used in a job.
    :return:
    """
    return env.JOB</t>
  </si>
  <si>
    <t xml:space="preserve">
def jsonify(data, status_code=200):
    """
    Wrap a data response to set proper headers for json
    """
    res = Response(dumps(data))
    res.status_code = status_code</t>
  </si>
  <si>
    <t xml:space="preserve">
def verify_data_shape(data, shape, path=None) -&gt; tuple[bool, str | None]:
    """
    _verify_data_shape(
      {'data': []},
      {'data': list}
    ) == (True, None)
    _verify_data_shape(
      {'data': ''},
      {'data': list}
    ) == (False, '.data')
    _verify_data_shape(
      {'data': '', 'empty': 10},
      {'data': list}
    ) == (False, '.data')
    This function is what handles the data shape verification. You can use this function, or
    the decorator on uploaded data to verify its use before usage. You can basically write out
    what the shape should look like. This function supports nested dictionaries.
    Here, we will return a tuple of a boolean indicating success or failure, and a error string.
    If there was an error validating a given field, the error string will be a path to the
    unvalidated field. An example would be:
    _verify_data_shape(
      {'data': ''},
      {'data': list}
    ) -&gt; (False, '.data')
    :return: success as bool, error path
    """
    if path is None:</t>
  </si>
  <si>
    <t xml:space="preserve">        path = ""
    if shape is dict or shape is list:  # Free, just need a match
        if isinstance(data, shape):
            return True, None</t>
  </si>
  <si>
    <t xml:space="preserve">        return False, path
    # Verify if data is constant
    for _t in [int, str, float]:
        if isinstance(data, _t):</t>
  </si>
  <si>
    <t xml:space="preserve">            return (True, None) if shape == _t else (False, path)
    if isinstance(data, dict):  # Verify dict keys
        for s_key, s_value in shape.items():
</t>
  </si>
  <si>
    <t xml:space="preserve">        for s_key, s_value in shape.items():
            # Verify key is included
            if s_key not in data:
                return False, path + "." + s_key</t>
  </si>
  <si>
    <t xml:space="preserve">                return False, path + "." + s_key
            # Supported basic types
            for _t in [int, str, float]:
</t>
  </si>
  <si>
    <t xml:space="preserve">            for _t in [int, str, float]:
                # Check free strings are strings and lists
                if s_value is _t:
                    if not isinstance(data[s_key], s_value):</t>
  </si>
  <si>
    <t xml:space="preserve">                        return False, path + "." + s_key
                # Check explicit strings and lists
                elif isinstance(s_value, _t):
                    if not isinstance(data[s_key], type(s_value)):</t>
  </si>
  <si>
    <t xml:space="preserve">                        return False, path + "." + s_key
            # Recurse on other dicts
            if isinstance(s_value, dict):
</t>
  </si>
  <si>
    <t xml:space="preserve">            if isinstance(s_value, dict):
                # Free dict ( no need to verify more )
                if s_value == dict:
                    return True, None</t>
  </si>
  <si>
    <t xml:space="preserve">                    return True, None
                # Explicit dict ( need to recurse )
                elif isinstance(s_value, dict):
                    # Recurse on dict</t>
  </si>
  <si>
    <t xml:space="preserve">                # Explicit dict ( need to recurse )
                elif isinstance(s_value, dict):
                    # Recurse on dict
                    r, e = verify_data_shape(data[s_key], s_value, path + "." + s_key)
</t>
  </si>
  <si>
    <t xml:space="preserve">                        return r, e
                # Type s_value was not dict ( type mismatch )
                else:
                    return False, path + "." + s_key</t>
  </si>
  <si>
    <t xml:space="preserve">                    return False, path + "." + s_key
            # Recurse on lists
            if isinstance(s_value, list):
                # Free list ( no need to verify more )</t>
  </si>
  <si>
    <t xml:space="preserve">            # Recurse on lists
            if isinstance(s_value, list):
                # Free list ( no need to verify more )
                if s_value == list:
                    return True, None</t>
  </si>
  <si>
    <t xml:space="preserve">                    return True, None
                # Explicit list ( need to recurse )
                elif isinstance(s_value, list):
</t>
  </si>
  <si>
    <t xml:space="preserve">                elif isinstance(s_value, list):
                    # If we have a type specified in the list,
                    # we should iterate, then recurse on the
                    # elements of the data. Otherwise there's
                    # nothing to do.
                    if len(s_value) == 1:
                        s_value = s_value[0]</t>
  </si>
  <si>
    <t xml:space="preserve">
                        for item in data[s_key]:
                            # Recurse on list item
                            r, e = verify_data_shape(item, s_value, path + ".[" + s_key + "]")
</t>
  </si>
  <si>
    <t xml:space="preserve">                                return r, e
                # Type s_value was not dict ( type mismatch )
                else:
                    return False, path + "." + s_key</t>
  </si>
  <si>
    <t xml:space="preserve">
def split_chunks(lst: list, n: int) -&gt; list[list]:
    """
    Split lst into list of lists size n.
    :return: list of lists
    """
    _chunks = []
    for i in range(0, len(lst), n):</t>
  </si>
  <si>
    <t xml:space="preserve">
def rand(max_len: int | None = None) -&gt; str:
    """
    Get a relatively random hex string of up
    to max_len.
    :param max_len:
    :return:
    """
    rand_hash = sha512(urandom(32)).hexdigest()
    if max_len is not None:</t>
  </si>
  <si>
    <t xml:space="preserve">
def human_readable_to_bytes(size: str) -&gt; int:
    """
    Convert a string in the form of 5GB and get an integer value
    for the number of bytes in that data size.
    &gt;&gt;&gt; human_readable_to_bytes('1 GiB')
    &gt;&gt;&gt; 1073741824
    :param size:
    :return:
    """
    size_name = ("B", "KiB", "MiB", "GiB", "TiB", "PiB", "EiB", "ZiB", "YiB")
    size = size.split()  # divide '1 GB' into ['1', 'GB']</t>
  </si>
  <si>
    <t xml:space="preserve">    """
    size_name = ("B", "KiB", "MiB", "GiB", "TiB", "PiB", "EiB", "ZiB", "YiB")
    size = size.split()  # divide '1 GB' into ['1', 'GB']
    num, unit = int(size[0]), size[1]
    # index in list of sizes determines power to raise it to</t>
  </si>
  <si>
    <t xml:space="preserve">    size = size.split()  # divide '1 GB' into ['1', 'GB']
    num, unit = int(size[0]), size[1]
    # index in list of sizes determines power to raise it to
    idx = size_name.index(unit)
    # ** is the "exponent" operator - you can use it instead of math.pow()</t>
  </si>
  <si>
    <t xml:space="preserve">    # index in list of sizes determines power to raise it to
    idx = size_name.index(unit)
    # ** is the "exponent" operator - you can use it instead of math.pow()
    factor = 1024 ** idx
    return num * factor</t>
  </si>
  <si>
    <t xml:space="preserve">
def human_readable_timedelta(delta: timedelta) -&gt; str:
    """
    Take a timedelta and give a human-readable string
    version.
    &gt;&gt;&gt; d = timedelta(days=2, hours=1, seconds=10)
    &gt;&gt;&gt; human_readable_timedelta(d)
    &gt;&gt;&gt; '2d 1h 10s'
    :param delta:
    :return: string version of delta
    """
    years = delta.days // 365
    weeks = (delta.days % 365) // 7</t>
  </si>
  <si>
    <t xml:space="preserve">
def row2dict(row) -&gt; dict:
    """
    Convert an sqlalchemy object to a dictionary from its column
    values. This function looks at internal sqlalchemy fields
    to create a raw dictionary from the columns in the table.
    * Something to note is that datetime object fields will be
    converted to strings in the response *
    :param row:
    :return:
    """
    raw = {}</t>
  </si>
  <si>
    <t xml:space="preserve">    raw = {}
    # Read through the sqlalchemy internal
    # column values.
    for column in row.__table__.columns:
</t>
  </si>
  <si>
    <t xml:space="preserve">    for column in row.__table__.columns:
        # Get the value corresponding to the
        # name of the column.
        value = getattr(row, column.name)
</t>
  </si>
  <si>
    <t xml:space="preserve">        value = getattr(row, column.name)
        # If the value is a datetime object, then
        # we need to convert it to a string to
        # maintain that the response is a simple
        # dictionary.
        if isinstance(value, datetime):
            value = str(value)</t>
  </si>
  <si>
    <t xml:space="preserve">            value = str(value)
        # Write the column value into the response
        # dictionary.
        raw[column.name] = value
</t>
  </si>
  <si>
    <t xml:space="preserve">
def with_context(function):
    """
    This decorator is meant to save time and repetitive initialization
    when using flask-sqlalchemy outside of an app_context.
    :param function:
    :return:
    """
    @functools.wraps(function)</t>
  </si>
  <si>
    <t xml:space="preserve">    @functools.wraps(function)
    def wrapper(*args, **kwargs):
        # Do the import here to avoid circular
        # import issues.
        from anubis.app import create_app
</t>
  </si>
  <si>
    <t xml:space="preserve">        from anubis.app import create_app
        # Only create an app context if
        # there is not already one
        if has_app_context() and has_request_context():
            return function(*args, **kwargs)</t>
  </si>
  <si>
    <t xml:space="preserve">            return function(*args, **kwargs)
        # Create a fresh app
        app = create_app()
</t>
  </si>
  <si>
    <t xml:space="preserve">        app = create_app()
        # Push an app context
        with app.app_context():
            with app.test_request_context():</t>
  </si>
  <si>
    <t xml:space="preserve">        with app.app_context():
            with app.test_request_context():
                # Call the function within an app context
                return function(*args, **kwargs)
</t>
  </si>
  <si>
    <t xml:space="preserve">
def req_assert(*expressions, message: str = "invalid", status_code: int = 200):
    """
    Call this at any point to check if an expression is True. If any
    of the expressions provided are False, then an anubis.utils.exceptions.AssertError
    will be raised. The global handler will then use the message and status
    code in a error_response.
    &gt;&gt;&gt; thing = None
    &gt;&gt;&gt; req_assert(thing is not None, message='thing was None')
    &gt;&gt;&gt; # raise AssertError('thing was None', 200)
    :param expressions:
    :param message:
    :param status_code:
    :return:
    """
    if not all(expressions):
        raise AssertError(message, status_code)</t>
  </si>
  <si>
    <t xml:space="preserve">
def check_submission_token(func):
    """
    This decorator should be exclusively used on the pipeline manager.
    For the report endpoints, it will find and verify submission data
    for endpoints that follow the shape:
    /report/.../&lt;int:submission_id&gt;?token=&lt;token&gt;
    If the submission and the token are not verified, and error response
    with status code 406 (rejected) will be returned.
    :param func:
    :return:
    """
    @wraps(func)</t>
  </si>
  <si>
    <t xml:space="preserve">    @wraps(func)
    def wrapper(submission_id: str):
        # Try to get the submission
        submission = Submission.query.filter(Submission.id == submission_id).first()
</t>
  </si>
  <si>
    <t xml:space="preserve">        submission = Submission.query.filter(Submission.id == submission_id).first()
        # Try to get a token from the request query
        token = request.args.get("token", default=None)
</t>
  </si>
  <si>
    <t xml:space="preserve">        token = request.args.get("token", default=None)
        # Verify submission exists
        if submission is None:
            # Log that there was an issue with finding the submission</t>
  </si>
  <si>
    <t xml:space="preserve">        # Verify submission exists
        if submission is None:
            # Log that there was an issue with finding the submission
            logger.error(
                "Invalid submission from submission pipeline",</t>
  </si>
  <si>
    <t xml:space="preserve">            )
            # Give back a 406 rejected error
            return error_response("Invalid"), 406
</t>
  </si>
  <si>
    <t xml:space="preserve">            return error_response("Invalid"), 406
        # Verify we got a token
        if token is None:
            # Log that there was an issue with finding a token</t>
  </si>
  <si>
    <t xml:space="preserve">        # Verify we got a token
        if token is None:
            # Log that there was an issue with finding a token
            logger.error(
                "Attempted report post with no token",</t>
  </si>
  <si>
    <t xml:space="preserve">            return error_response("Invalid"), 406
        # Verify token matches
        if token != submission.token:
            # Log that there was an issue verifying tokens</t>
  </si>
  <si>
    <t xml:space="preserve">        # Verify token matches
        if token != submission.token:
            # Log that there was an issue verifying tokens
            logger.error(
                "Invalid token reported from pipeline",</t>
  </si>
  <si>
    <t xml:space="preserve">            return error_response("Invalid"), 406
        # Log that the request was validated
        logger.info("Pipeline request validated {}".format(request.path))
</t>
  </si>
  <si>
    <t xml:space="preserve">        logger.info("Pipeline request validated {}".format(request.path))
        # Call the view function, and pass the
        # submission sqlalchemy object.
        return func(submission)
</t>
  </si>
  <si>
    <t xml:space="preserve">
def get_current_user() -&gt; User | None:
    """
    Load current user based on the token
    :return: User or None
    """
    if g.get("user", default=None) is not None:
        return g.user</t>
  </si>
  <si>
    <t xml:space="preserve">        return g.user
    # Attempt to get the token from the request
    token = get_token()
    if token is None:</t>
  </si>
  <si>
    <t xml:space="preserve">        return None
    # Try to decode the jwt
    try:
        decoded = jwt.decode(token, env.SECRET_KEY, algorithms=["HS256"])</t>
  </si>
  <si>
    <t xml:space="preserve">        return None
    # Make sure there is a netid in the jwt
    if "netid" not in decoded:
        return None</t>
  </si>
  <si>
    <t xml:space="preserve">        return None
    # Get the user from the decoded jwt
    netid = decoded["netid"]
    user = User.query.filter_by(netid=netid).first()</t>
  </si>
  <si>
    <t xml:space="preserve">
    if user is not None:
        # Check if the user is disabled
        req_assert(
            not user.disabled,</t>
  </si>
  <si>
    <t xml:space="preserve">        )
    # Cache the user in the request context
    g.user = user
</t>
  </si>
  <si>
    <t xml:space="preserve">
def verify_users(netids: list[str]) -&gt; tuple[list[User], set[str]]:
    """
    Takes a list of netids, and returns a list of the users that
    were found, and a set of netids that were not found
    :param netids:
    :return:
    """
    found_users: list[User] = User.query.filter(User.netid.in_(netids)).all()
    found_netids = set(user.netid for user in found_users)</t>
  </si>
  <si>
    <t>def _create_get_current_user_field(field: str) -&gt; Callable:
    def _func() -&gt; Any | None:
        """
        Load current_user.id
        :return:
        """
        # Get current user</t>
  </si>
  <si>
    <t xml:space="preserve">        """
        # Get current user
        user = get_current_user()
</t>
  </si>
  <si>
    <t xml:space="preserve">        user = get_current_user()
        # Make sure they exist
        if user is None:
            return None</t>
  </si>
  <si>
    <t xml:space="preserve">            return None
        # Return the user.id
        return getattr(user, field)
</t>
  </si>
  <si>
    <t xml:space="preserve">
def get_token() -&gt; Union[str, None]:
    """
    Attempt to get the token from the request. Both the cookie, and the
    headers will be checked.
    :return:
    """
    if not has_request_context():</t>
  </si>
  <si>
    <t xml:space="preserve">
def create_token(netid: str, exp_kwargs=None, **extras) -&gt; Union[str, None]:
    """
    Get token for user by netid. You can provide a dictionary
    to the exp_kwargs to set a different expire time for this token.
    By default it is 6 hours. If you wanted to do 6 days exp_kwargs={'days': 6}
    :param exp_kwargs:
    :param netid:
    :return: token string or None (if user not found)
    """
    # Get user</t>
  </si>
  <si>
    <t xml:space="preserve">    """
    # Get user
    user: User = User.query.filter_by(netid=netid).first()
</t>
  </si>
  <si>
    <t xml:space="preserve">    user: User = User.query.filter_by(netid=netid).first()
    # Get setting for number of hours that tokens should last.
    token_exp_hours = get_config_int("AUTH_TOKEN_EXP_HOURS", default=6)
</t>
  </si>
  <si>
    <t xml:space="preserve">    token_exp_hours = get_config_int("AUTH_TOKEN_EXP_HOURS", default=6)
    # set the expire kwargs
    if exp_kwargs is None:
        exp_kwargs = {"hours": token_exp_hours}</t>
  </si>
  <si>
    <t xml:space="preserve">        exp_kwargs = {"hours": token_exp_hours}
    # Verify user exists
    if user is None:
        return None</t>
  </si>
  <si>
    <t xml:space="preserve">        return None
    # Create new token
    return jwt.encode(
        {</t>
  </si>
  <si>
    <t xml:space="preserve">
def require_user(unless_debug=False):
    """
    Wrap a function to require a user to be logged in.
    If they are not logged in, they will get an Unathed
    error response with status code 401.
    :param unless_debug:
    :return:
    """
    def decorator(func):</t>
  </si>
  <si>
    <t xml:space="preserve">        @wraps(func)
        def wrapper(*args, **kwargs):
            # Get the user in the current
            # request context.
            user = get_current_user()
</t>
  </si>
  <si>
    <t xml:space="preserve">            user = get_current_user()
            # Bypass auth if the api is in debug
            # mode and unless_debug is true.
            if unless_debug and is_debug():
                return func(*args, **kwargs)</t>
  </si>
  <si>
    <t xml:space="preserve">                return func(*args, **kwargs)
            # Check that there is a user specified
            # in the current request context, and
            # that use is an admin.
            if user is None:
                raise AuthenticationError()</t>
  </si>
  <si>
    <t xml:space="preserve">                raise AuthenticationError()
            # Pass the parameters to the
            # decorated function.
            return func(*args, **kwargs)
</t>
  </si>
  <si>
    <t xml:space="preserve">
def require_admin(unless_debug=False):
    """
    Wrap a function to require an admin to be logged in.
    If they are not logged in, they will get an Unathed
    error response with status code 401.
    :param unless_debug:
    :return:
    """
    def decorator(func):</t>
  </si>
  <si>
    <t xml:space="preserve">                return func(*args, **kwargs)
            # Check that there is a user specified
            # in the current request context, and
            # that use is an admin.
            if user is None:
                raise AuthenticationError("Request is anonymous")</t>
  </si>
  <si>
    <t xml:space="preserve">                raise AuthenticationError("User is not ta or professor")
            # Pass the parameters to the
            # decorated function.
            return func(*args, **kwargs)
</t>
  </si>
  <si>
    <t xml:space="preserve">
def require_superuser(unless_debug=False):
    """
    Wrap a function to require an superuser to be logged in.
    If they are not logged in, they will get an Unathed
    error response with status code 401.
    :param unless_debug:
    :return:
    """
    def decorator(func):</t>
  </si>
  <si>
    <t xml:space="preserve">                return func(*args, **kwargs)
            # Check that there is a user specified
            # in the current request context, and
            # that use is a superuser.
            if user is None:
                raise AuthenticationError()</t>
  </si>
  <si>
    <t xml:space="preserve">                raise AuthenticationError()
            # If the user is not a superuser, then return a 400 error
            # so it will be displayed in a snackbar.
            if user.is_superuser is False:
                raise AssertError("This requires superuser permissions", 200)</t>
  </si>
  <si>
    <t xml:space="preserve">                raise AssertError("This requires superuser permissions", 200)
            # Pass the parameters to the
            # decorated function.
            return func(*args, **kwargs)
</t>
  </si>
  <si>
    <t xml:space="preserve">
def get_theia_sessions(course_id: str = None, start: datetime = None) -&gt; pd.DataFrame:
    """
    Get all theia session objects, and throw them into a dataframe
    When ``course_id`` is None will return playground sessions.
    :return:
    """
    filters = []</t>
  </si>
  <si>
    <t xml:space="preserve">        filters.append(TheiaSession.created &gt;= start)
    # Get all the theia session sqlalchemy objects
    if course_id is not None:
        raw_theia_sessions = TheiaSession.query.join(Assignment).filter(</t>
  </si>
  <si>
    <t xml:space="preserve">        ).all()
    # Specify which columns we want
    columns = ["id", "owner_id", "assignment_id", "image_id", "created", "ended"]
</t>
  </si>
  <si>
    <t xml:space="preserve">    columns = ["id", "owner_id", "assignment_id", "image_id", "created", "ended"]
    # Build a dataframe of from the columns we pull out of each theia session object
    theia_sessions = pd.DataFrame(
        data=list(</t>
  </si>
  <si>
    <t xml:space="preserve">    )
    # Round the timestamps to the nearest hour
    theia_sessions["created"] = theia_sessions["created"].apply(lambda date: pd.to_datetime(date).round("H"))
    theia_sessions["ended"] = theia_sessions["ended"].apply(lambda date: pd.to_datetime(date).round("H"))</t>
  </si>
  <si>
    <t xml:space="preserve">    theia_sessions["ended"] = theia_sessions["ended"].apply(lambda date: pd.to_datetime(date).round("H"))
    # Add a duration column
    if len(theia_sessions) &gt; 0:
        # Get the duration from subtracting the end from the start time, and converting to minutes</t>
  </si>
  <si>
    <t xml:space="preserve">    # Add a duration column
    if len(theia_sessions) &gt; 0:
        # Get the duration from subtracting the end from the start time, and converting to minutes
        theia_sessions["duration"] = theia_sessions[["ended", "created"]].apply(
            lambda row: (row[0] - row[1]).seconds / 60, axis=1</t>
  </si>
  <si>
    <t xml:space="preserve">        )
    # The apply breaks if there are no rows, so make it empty in that case
    else:
        theia_sessions["duration"] = []</t>
  </si>
  <si>
    <t xml:space="preserve">        theia_sessions["duration"] = []
    # Drop outliers based on duration
    theia_sessions = theia_sessions[
        np.abs(theia_sessions.duration - theia_sessions.duration.mean()) &lt;= (3 * theia_sessions.duration.std())</t>
  </si>
  <si>
    <t xml:space="preserve">
def get_submissions(course_id: str) -&gt; pd.DataFrame:
    """
    Get all submissions from visible assignments, and put them in a dataframe
    :return:
    """
    # Get the submission sqlalchemy objects
    raw_submissions = (</t>
  </si>
  <si>
    <t xml:space="preserve">    :return:
    """
    # Get the submission sqlalchemy objects
    raw_submissions = (
        Submission.query.join(Assignment)</t>
  </si>
  <si>
    <t xml:space="preserve">    )
    # Specify which columns we want
    columns = ["id", "owner_id", "assignment_id", "processed", "created"]
</t>
  </si>
  <si>
    <t xml:space="preserve">    columns = ["id", "owner_id", "assignment_id", "processed", "created"]
    # Build a dataframe of from the columns we pull out of each submission object
    submissions = pd.DataFrame(
        data=list(</t>
  </si>
  <si>
    <t xml:space="preserve">    )
    # Round the submission timestamps to the nearest hour
    submissions["created"] = submissions["created"].apply(lambda date: pd.to_datetime(date).round("H"))
</t>
  </si>
  <si>
    <t xml:space="preserve">
def clear_database():
    # Yeet
    ForumPostViewed.query.delete()
    ForumPostUpvote.query.delete()</t>
  </si>
  <si>
    <t xml:space="preserve">    clear_database()
    # OS test course
    intro_to_os_students = create_students(100)
    intro_to_os_course = create_course(</t>
  </si>
  <si>
    <t xml:space="preserve">
def create_name() -&gt; str:
    """
    Get a randomly generated first and last
    name from the list of names.
    :return:
    """
    return f"{random.choice(names)} {random.choice(names)}"
</t>
  </si>
  <si>
    <t xml:space="preserve">
def create_netid(name: str) -&gt; str:
    """
    Generate a netid from a provided name. This will
    pull the initials from the name and append some
    numbers.
    :param name:
    :return:
    """
    initials = "".join(word[0].lower() for word in name.split())
    numbers = "".join(random.choice(string.digits) for _ in range(3))</t>
  </si>
  <si>
    <t xml:space="preserve">
def rand_commit(n=40) -&gt; str:
    """
    Generate a random commit hash. The commit length will
    be 40 characters.
    :param n:
    :return:
    """
    from anubis.utils.data import rand
</t>
  </si>
  <si>
    <t xml:space="preserve">    grace = due + timedelta(hours=1)
    # Assignment 1 uniq
    assignment = Assignment(
        id=default_id_factory(),</t>
  </si>
  <si>
    <t xml:space="preserve">    while len(students) &lt; n:
        # Make random name + netid
        name = create_name()
        netid = create_netid(name)</t>
  </si>
  <si>
    <t xml:space="preserve">        netid = create_netid(name)
        # If netid is already in list of students, then
        # continue to make a new one. Netid's need to be
        # unique or it causes problems
        if netid in netids:
            continue</t>
  </si>
  <si>
    <t xml:space="preserve">        netids.add(netid)
        # Add student to list
        students.append(
            User(</t>
  </si>
  <si>
    <t xml:space="preserve">    from anubis.lms.submissions import init_submission
    # Init models
    for submission in submissions:
        init_submission(submission, commit=False, verbose=False)</t>
  </si>
  <si>
    <t xml:space="preserve">    clear_database()
    # Create
    logger.info('creating top level users')
    superuser = User(netid="superuser", github_username="superuser", name="super", is_superuser=True)</t>
  </si>
  <si>
    <t xml:space="preserve">    db.session.commit()
    # OS test course
    logger.info('creating os students')
    intro_to_os_students = create_students(50) + [</t>
  </si>
  <si>
    <t xml:space="preserve">    db.session.add_all([professor, ta])
    # MMDS test course
    logger.info('creating mmds student')
    mmds_students = create_students(50)</t>
  </si>
  <si>
    <t xml:space="preserve">
def get_mime_type(blob: bytes) -&gt; str:
    """
    Get an approximate content type for a given blob. This
    is very useful for getting the content-type of an
    uploaded file.
    * This function uses libmagic, which requires some
    extra .so files outside of the python install *
    :param blob:
    :return:
    """
    # If this fails to import, you probably need to</t>
  </si>
  <si>
    <t xml:space="preserve">    """
    # If this fails to import, you probably need to
    # install libmagic system wide. It should be:
    #
    # OSX     : brew install libmagic
    # Windows : pip install python-magic-bin
    # Debian  : apt install libmagic1
    # Arch    : pacman -S imagemagick
    import magic
</t>
  </si>
  <si>
    <t xml:space="preserve">    import magic
    # Create some magic
    m = magic.Magic(mime=True)
</t>
  </si>
  <si>
    <t xml:space="preserve">    m = magic.Magic(mime=True)
    # Calculate mime from bytes
    return m.from_buffer(blob)
</t>
  </si>
  <si>
    <t xml:space="preserve">
def make_blob_response(file: StaticFile) -&gt; Response:
    """
    Take a static file object, and form a flask response,
    having the correct bytes content and content-type header.
    :param file:
    :return:
    """
    # Make a flask response from file data blob
    response = make_response(file.blob)</t>
  </si>
  <si>
    <t xml:space="preserve">    :return:
    """
    # Make a flask response from file data blob
    response = make_response(file.blob)
</t>
  </si>
  <si>
    <t xml:space="preserve">    response = make_response(file.blob)
    # set its content type header to the proper value
    response.headers["Content-Type"] = file.content_type
</t>
  </si>
  <si>
    <t xml:space="preserve">    response.headers["Content-Type"] = file.content_type
    # If the image is an svg, then we need to make sure that it has
    # the +xml or it will not be rendered correctly in browser.
    if file.content_type == "image/svg":
        response.headers["Content-Type"] = "imag/svg+xml"</t>
  </si>
  <si>
    <t xml:space="preserve">        response.headers["Content-Type"] = "imag/svg+xml"
    # Hand the flask response back
    return response
</t>
  </si>
  <si>
    <t xml:space="preserve">
def process_file_upload() -&gt; StaticFile:
    # Create a path hash
    path = "/" + rand(16)
</t>
  </si>
  <si>
    <t xml:space="preserve">    path = "/" + rand(16)
    # Pull file from request
    stream, filename = get_request_file_stream(with_filename=True)
</t>
  </si>
  <si>
    <t xml:space="preserve">    stream, filename = get_request_file_stream(with_filename=True)
    # Make sure we got a file
    req_assert(stream is not None, message="No file uploaded")
</t>
  </si>
  <si>
    <t xml:space="preserve">    req_assert(stream is not None, message="No file uploaded")
    # Figure out content type
    mime_type = get_mime_type(stream)
</t>
  </si>
  <si>
    <t xml:space="preserve">        mime_type = "image/svg+xml"
    # Check to see if blob path already exists
    blob = StaticFile.query.filter(StaticFile.path == path).first()
</t>
  </si>
  <si>
    <t xml:space="preserve">    blob = StaticFile.query.filter(StaticFile.path == path).first()
    # If the blob doesn't already exist, create one
    if blob is None:
        blob = StaticFile(path=path, course_id=course_context.id)</t>
  </si>
  <si>
    <t xml:space="preserve">        blob = StaticFile(path=path, course_id=course_context.id)
    # Update the fields
    blob.filename = filename
    blob.blob = stream</t>
  </si>
  <si>
    <t xml:space="preserve">    blob.content_type = mime_type
    # Add to db
    db.session.add(blob)
    db.session.commit()</t>
  </si>
  <si>
    <t xml:space="preserve">
def make_png_response(blob: bytes) -&gt; Response:
    # Take the png bytes, and make a flask response
    response = make_response(blob)
</t>
  </si>
  <si>
    <t xml:space="preserve">    response = make_response(blob)
    # set the response content type
    response.headers["Content-Type"] = "image/png"
</t>
  </si>
  <si>
    <t xml:space="preserve">    response.headers["Content-Type"] = "image/png"
    # Pass back the image response
    return response</t>
  </si>
  <si>
    <t xml:space="preserve">
def get_request_ip():
    """
    Since we are using a request forwarder,
    the real client IP will be added as a header.
    This function will search the expected headers
    to find that ip.
    """
    def check(header):</t>
  </si>
  <si>
    <t xml:space="preserve">
    def check(header):
        """get header from request else empty string"""
        return request.headers[header] if header in request.headers else ""
</t>
  </si>
  <si>
    <t xml:space="preserve">
    def check_(headers, n=0):
        """check headers based on ordered piority"""
        if n == len(headers):
            return ""</t>
  </si>
  <si>
    <t xml:space="preserve">        check_(
            [
                "x-forwarded-for",  # highest priority
                "X-Forwarded-For",
                "x-real-ip",</t>
  </si>
  <si>
    <t xml:space="preserve">                "X-Forwarded-For",
                "x-real-ip",
                "X-Real-Ip",  # lowest priority
            ]
        )</t>
  </si>
  <si>
    <t xml:space="preserve">
def error_response(error_message: str) -&gt; dict:
    """
    Form an error REST api response dict.
    :param error_message: string error message
    :return:
    """
    return {
        "success": False,</t>
  </si>
  <si>
    <t xml:space="preserve">
def success_response(data: dict | str | None) -&gt; dict:
    """
    Form a success REST api response dict.
    :param data:
    :return:
    """
    return {
        "success": True,</t>
  </si>
  <si>
    <t xml:space="preserve">
def get_number_arg(arg_name: str = "number", default_value: int = 10, reject_negative: bool = True) -&gt; int:
    """
    Quick function for getting a number http query argument. If the
    argument is not found, or cannot be converted to an int
    then use a fallback default value.
    Optionally if reject_negative is True, then it will fallback
    to the default value if the user specified is negative.
    :param arg_name:
    :param default_value:
    :param reject_negative:
    :return:
    """
    # Get the query argument in string form</t>
  </si>
  <si>
    <t xml:space="preserve">    """
    # Get the query argument in string form
    n_str: str = request.args.get(arg_name, default=default_value)
</t>
  </si>
  <si>
    <t xml:space="preserve">
    try:
        # Attempt to convert to a python int
        n: int = int(n_str)
</t>
  </si>
  <si>
    <t xml:space="preserve">        n: int = int(n_str)
        # If reject_negative, then check if
        # the parsed value is negative.
        if reject_negative and n &lt; 0:
            # If it was negative, then fallback to default</t>
  </si>
  <si>
    <t xml:space="preserve">        # the parsed value is negative.
        if reject_negative and n &lt; 0:
            # If it was negative, then fallback to default
            return default_value
</t>
  </si>
  <si>
    <t xml:space="preserve">            return default_value
        # Return integer value
        return n
    except ValueError:</t>
  </si>
  <si>
    <t xml:space="preserve">        return n
    except ValueError:
        # ValueError is raised if the string to int
        # conversion was unsuccessful. In that case,
        # then we fallback to default
        return default_value
</t>
  </si>
  <si>
    <t xml:space="preserve">    with_filename=False, fail_ok=False
) -&gt; bytes | None | tuple[bytes, str] | tuple[None, None]:
    """
    Get first file uploaded in the request. Will return None if
    there is no file uploaded.
    :return:
    """
    # Check to see if we have a file</t>
  </si>
  <si>
    <t xml:space="preserve">    """
    # Check to see if we have a file
    if len(request.files) == 0:
        # If failing is not allowed, call assert false to abort request</t>
  </si>
  <si>
    <t xml:space="preserve">    # Check to see if we have a file
    if len(request.files) == 0:
        # If failing is not allowed, call assert false to abort request
        if not fail_ok:
            req_assert(False, message="No file uploaded")</t>
  </si>
  <si>
    <t xml:space="preserve">            req_assert(False, message="No file uploaded")
        # If failing is ok, then we can pass back None
        return None, None if with_filename else None
</t>
  </si>
  <si>
    <t xml:space="preserve">        return None, None if with_filename else None
    # Get file from request
    file = list(request.files.values())[0]
</t>
  </si>
  <si>
    <t xml:space="preserve">    file = list(request.files.values())[0]
    # If they want the filename too
    if with_filename:
        return file.stream.read(), secure_filename(file.filename)</t>
  </si>
  <si>
    <t xml:space="preserve">        return file.stream.read(), secure_filename(file.filename)
    # Read its stream
    return file.stream.read()
</t>
  </si>
  <si>
    <t xml:space="preserve">
def get_request_days_offset():
    """
    From the days and offset values specified in GET query, construct
    datetime objects for the start and end time.
    :return:
    """
    days = get_number_arg("days", default_value=100)
    offset = get_number_arg("offset", default_value=0)</t>
  </si>
  <si>
    <t xml:space="preserve">
def load_from_id(model, verify_owner=False):
    """
    This flask decorator loads the id kwarg passed in by flask
    and uses it to pull the sqlalchemy object corresponding to that id
    &gt;&gt;&gt; @app.route('/assignment/&lt;string:id&gt;')
    &gt;&gt;&gt; @require_user()
    &gt;&gt;&gt; @load_from_id(Assignment)
    &gt;&gt;&gt; def view_function(assignment: Assignment):
    &gt;&gt;&gt;     pass
    If the verify_owner is true, then the sqlachemy object's owner
    relationship (assuming it has one) will be checked against the
    current logged in user.
    :param model:
    :param verify_owner:
    :return:
    """
    def wrapper(func):</t>
  </si>
  <si>
    <t xml:space="preserve">        @wraps(func)
        def decorator(id, *args, **kwargs):
            # Use the id from the view functions params to query for
            # the object.
            r = model.query.filter_by(id=id).first()
</t>
  </si>
  <si>
    <t xml:space="preserve">            r = model.query.filter_by(id=id).first()
            # If the sqlalchemy object was not found, then return a 400
            if r is None:
                return error_response("Unable to find"), 400</t>
  </si>
  <si>
    <t xml:space="preserve">                return error_response("Unable to find"), 400
            # If the verify_owner option is on, then
            # check the object's owner against the currently
            # logged in user.
            if verify_owner and current_user.id != r.owner.id:
                raise AuthenticationError()</t>
  </si>
  <si>
    <t xml:space="preserve">
def json_response(func):
    """
    Wrap a route so that it always converts data
    response to proper json.
    @app.route('/')
    @json
    def test():
        return {
            'success': True
        }
    """
    @wraps(func)</t>
  </si>
  <si>
    <t xml:space="preserve">    only_required: bool = False,
):
    """
    Wrap a route so that it always converts data response to proper
    json. This decorator will save a whole lot of time verifying
    json body data.
    The required fields should be a list of either strings or tuples.
    If the required fields is a list of strings, then each of the
    strings will be verified in the json body, and passed to the
    view function as a kwarg.
    &gt;&gt;&gt; @app.route('/')
    &gt;&gt;&gt; @json_endpoint(['name')])
    &gt;&gt;&gt; def test(name, **_):
    &gt;&gt;&gt;    return {
    &gt;&gt;&gt;        'success': True
    &gt;&gt;&gt;    }
    If the required fields are a list of tuples, then the first item
    should be the string name of the field, then its type. When you
    specify the type in a tuple, then that fields type will also
    be verified in the json body.
    &gt;&gt;&gt; @app.route('/')
    &gt;&gt;&gt; @json_endpoint([('name', str)])
    &gt;&gt;&gt; def test(name: str, **_):
    &gt;&gt;&gt;    return {
    &gt;&gt;&gt;        'success': True
    &gt;&gt;&gt;    }
    """
    def wrapper(func):</t>
  </si>
  <si>
    <t xml:space="preserve">        def json_wrap(*args, **kwargs):
            # Get the content type header
            content_type = request.headers.get("Content-Type", default="")
</t>
  </si>
  <si>
    <t xml:space="preserve">            content_type = request.headers.get("Content-Type", default="")
            # Verify that the content type header was application json.
            # If the content type header is not application/json, then
            # flask will not parse the body of the request.
            if not content_type.startswith("application/json"):
                # If the content-type was not set properly, then we</t>
  </si>
  <si>
    <t xml:space="preserve">            # flask will not parse the body of the request.
            if not content_type.startswith("application/json"):
                # If the content-type was not set properly, then we
                # should hand back a 406 not acceptable error code.
                return (
                    error_response("Content-Type header is not application/json"),</t>
  </si>
  <si>
    <t xml:space="preserve">                )
            # After verifying that the content type header was set,
            # then we can access the request json body
            json_body: dict = request.json
</t>
  </si>
  <si>
    <t xml:space="preserve">            json_body: dict = request.json
            # Build a list of the required field string values
            _required_fields: list[str] = []
</t>
  </si>
  <si>
    <t xml:space="preserve">            _required_fields: list[str] = []
            # If the required fields was set, then we
            # need to verify that they exist in the json
            # body, along with type checks if they were
            # specified.
            if required_fields is not None:
                # Check required fields</t>
  </si>
  <si>
    <t xml:space="preserve">            # specified.
            if required_fields is not None:
                # Check required fields
                for index, field in enumerate(required_fields):
                    # If field was a tuple, extract field name and required type.</t>
  </si>
  <si>
    <t xml:space="preserve">                # Check required fields
                for index, field in enumerate(required_fields):
                    # If field was a tuple, extract field name and required type.
                    required_type = None
                    if isinstance(field, tuple):</t>
  </si>
  <si>
    <t xml:space="preserve">                    if isinstance(field, tuple):
                        # If the tuple was more than two items, then
                        # we dont know how to handle.
                        if len(field) != 2:
                            pass</t>
  </si>
  <si>
    <t xml:space="preserve">                            pass
                        # Pull the field apart into the field and required type
                        field, required_type = field
</t>
  </si>
  <si>
    <t xml:space="preserve">                        field, required_type = field
                    # At this point, the tuple will have been parsed if it had one,
                    # so the field will always be a string. Add it to the running
                    # (fresh) list of required field string objects.
                    _required_fields.append(field)
</t>
  </si>
  <si>
    <t xml:space="preserve">                    _required_fields.append(field)
                    # Make sure that the field is in the json body.
                    # If this condition is not met, then we will return
                    # a 406 not acceptable.
                    if field not in json_body:
                        # field missing, return error</t>
  </si>
  <si>
    <t xml:space="preserve">                    # a 406 not acceptable.
                    if field not in json_body:
                        # field missing, return error
                        # Not Acceptable
                        return (
                            error_response(f"Malformed requests. Missing field {field}."),</t>
  </si>
  <si>
    <t xml:space="preserve">                        )
                    # If a type was specified, verify it
                    if required_type is not None:
</t>
  </si>
  <si>
    <t xml:space="preserve">                    if required_type is not None:
                        # Do a type check on the json body field
                        if not isinstance(json_body[field], required_type):
                            # Not Acceptable</t>
  </si>
  <si>
    <t xml:space="preserve">                        # Do a type check on the json body field
                        if not isinstance(json_body[field], required_type):
                            # Not Acceptable
                            return (
                                error_response("Malformed requests. Invalid field type."),</t>
  </si>
  <si>
    <t xml:space="preserve">                            )
            # Give the positional args first,
            # then the json data (in the order of
            # the required fields), and lastly
            # the kwargs that were passed in.
            if required_fields is not None:
</t>
  </si>
  <si>
    <t xml:space="preserve">            if required_fields is not None:
                # We can optionally specify only_required to
                # skip this step. Here we are adding the key
                # values from the posted json to the kwargs
                # of the function. This is potentially destructive
                # as it will overwrite any keys already in the
                # kwargs with the values in the json.
                if not only_required:
                    for key, value in json_body.items():</t>
  </si>
  <si>
    <t xml:space="preserve">                            kwargs[key] = value
                # Call the function while trying to maintain a
                # logical order to the arguments
                return func(
                    *args,</t>
  </si>
  <si>
    <t xml:space="preserve">                )
            # If there was no required fields specified, then we can just call the
            # view function with the first argument being the json body.
            return func(json_body, *args, **kwargs)
</t>
  </si>
  <si>
    <t xml:space="preserve">
def verify_shape(*shapes):
    """
    This is the decorator form of the data shape verification function. It will validate the
    arguments of a function before calling it. You can just sequentially provide the expected shapes
    of the arguments. It will return error_response's if there was a problem validating something.
    :param shapes: sequence of argument shapes
    :return: error_response on error
    """
    def decorator(func):</t>
  </si>
  <si>
    <t xml:space="preserve">        def wrapper(*args, **kwargs):
            # We should reject if we're not able to use all our shapes
            if len(args) &lt; len(shapes):
                return error_response("Missing fields"), 406</t>
  </si>
  <si>
    <t xml:space="preserve">                return error_response("Missing fields"), 406
            # Verify our argument shapes
            for data, shape in zip(args, shapes):
                r, e = verify_data_shape(data, shape)</t>
  </si>
  <si>
    <t xml:space="preserve">                    return error_response("Shape invalid {}".format(e)), 406
            # Shapes pass, run function
            return func(*args, **kwargs)
</t>
  </si>
  <si>
    <t xml:space="preserve">        ylabel='Registered Users',
    )
    # set y max to the nearest hundred
    ax.set_ylim([0, ((yy[-1] // 100) + 1) * 100])
    add_watermark(ax)</t>
  </si>
  <si>
    <t>@cache.memoize(timeout=60, unless=is_debug)
def get_admin_assignment_visual_data(assignment_id: str) -&gt; list[dict[str, Any]]:
    """
    Get the admin visual data for an assignment. Visual data is generated
    for each assignment test that is part of the assignment.
    :param assignment_id:
    :return:
    """
    # Get all the assignment tests for the specified assignment</t>
  </si>
  <si>
    <t xml:space="preserve">    """
    # Get all the assignment tests for the specified assignment
    assignment_tests = AssignmentTest.query.filter(AssignmentTest.assignment_id == assignment_id).all()
</t>
  </si>
  <si>
    <t xml:space="preserve">    assignment_tests = AssignmentTest.query.filter(AssignmentTest.assignment_id == assignment_id).all()
    # Build a list of visual data for each assignment test
    response = []
    for assignment_test in assignment_tests:</t>
  </si>
  <si>
    <t xml:space="preserve">
def get_assignment_tests_pass_times(assignment_test: AssignmentTest):
    """
    Calculate the amount of time it took each student in the class
    to get their test to pass. This is measured as the time between
    their first submission for the assignment and the first submission
    that passed the specific test.
    :param assignment_test:
    :return:
    """
    # Run the very long query to generate the list of netids and timedetlas</t>
  </si>
  <si>
    <t xml:space="preserve">    """
    # Run the very long query to generate the list of netids and timedetlas
    result = db.session.execute(
        time_to_pass_test_sql,</t>
  </si>
  <si>
    <t xml:space="preserve">    )
    # Build a dataframe of the durations, converted to hours
    df = pd.DataFrame(
        data=[x[2].total_seconds() // 3600 for x in result.fetchall()],</t>
  </si>
  <si>
    <t xml:space="preserve">    )
    # Drop outlier values (&gt; 3 sigma)
    df = df[np.abs(df.duration - df.duration.mean()) &lt;= (3 * df.duration.std())].value_counts().to_dict()
</t>
  </si>
  <si>
    <t xml:space="preserve">    df = df[np.abs(df.duration - df.duration.mean()) &lt;= (3 * df.duration.std())].value_counts().to_dict()
    # Return the x and y plot data for the scatter visual
    return [{"x": np.abs(x[0]), "y": y, "size": 3} for x, y in df.items()]
</t>
  </si>
  <si>
    <t xml:space="preserve">
def get_assignment_tests_pass_counts(assignment_test: AssignmentTest):
    """
    Get the number of students that had:
    - no submission
    - passed the test
    - failed the test
    for the specified test.
    The data from this function is turned into the pass counts
    radial donut on the autograde page.
    :param assignment_test:
    :return:
    """
    # Run a query to find the number of students with no submission</t>
  </si>
  <si>
    <t xml:space="preserve">    """
    # Run a query to find the number of students with no submission
    result = db.session.execute(
        assignment_test_fail_nosub_sql,</t>
  </si>
  <si>
    <t xml:space="preserve">    nosub_count = int(n if n is not None else 0)
    # Run a query to find the number of students that failed the test
    result = db.session.execute(
        assignment_test_fail_count_sql,</t>
  </si>
  <si>
    <t xml:space="preserve">    fail_count = int(n if n is not None else 0)
    # Run a query to find the number of students that passed the test
    result = db.session.execute(
        assignment_test_pass_count_sql,</t>
  </si>
  <si>
    <t xml:space="preserve">    pass_count = int(n if n is not None else 0)
    # Format the response to fit what the frontend is expecting
    return [
        {"label": "no submission", "theta": nosub_count, "color": "grey"},</t>
  </si>
  <si>
    <t>@cache.memoize(timeout=60, unless=is_debug, source_check=True)
def get_assignment_history(assignment_id, netid):
    """
    :param assignment_id:
    :param netid:
    :return:
    """
    assignment = Assignment.query.filter(Assignment.id == assignment_id).first()</t>
  </si>
  <si>
    <t>@cache.memoize(timeout=-1, source_check=True, forced_update=is_job)
def get_assignment_sundial(assignment_id):
    """
    Get the sundial data for a specific assignment. The basic breakdown of
    this data is:
    submission -&gt; test -&gt; {passed, failed}
    :param assignment_id:
    :return:
    """
    # Get the assignment</t>
  </si>
  <si>
    <t xml:space="preserve">    assignment = Assignment.query.filter(Assignment.id == assignment_id).first()
    # Create base sundial
    sundial = {
        "children": [</t>
  </si>
  <si>
    <t xml:space="preserve">    sundial = {
        "children": [
            # Build Passed
            {
                "name": "build passed",</t>
  </si>
  <si>
    <t xml:space="preserve">                        "hex": "#004080",
                        "children": [
                            # Test Passed
                            {"name": "passed", "hex": "#008000", "value": 0},
                            # Test Failed</t>
  </si>
  <si>
    <t xml:space="preserve">                            # Test Passed
                            {"name": "passed", "hex": "#008000", "value": 0},
                            # Test Failed
                            {"name": "failed", "hex": "#800000", "value": 0},
                        ],</t>
  </si>
  <si>
    <t xml:space="preserve">                ],
            },
            # Build Failed
            {
                "name": "build failed",</t>
  </si>
  <si>
    <t xml:space="preserve">                "value": 0,
            },
            # No Submission
            {
                "name": "no submission",</t>
  </si>
  <si>
    <t xml:space="preserve">    }
    # Get the autograde results for the entire assignment. This
    # function call is cached.
    autograde_results = bulk_autograde(assignment_id, offset=0, limit=300)
</t>
  </si>
  <si>
    <t xml:space="preserve">    autograde_results = bulk_autograde(assignment_id, offset=0, limit=300)
    # Count the number of build and no submissions to
    # insert into the name label.
    build_passed = 0
    build_failed = 0</t>
  </si>
  <si>
    <t xml:space="preserve">    no_submission = 0
    # Go through all the autograde results
    for result in autograde_results:
</t>
  </si>
  <si>
    <t xml:space="preserve">    for result in autograde_results:
        # If there was no submission, then increment no submission
        if result["submission"] is None:
            no_submission += 1</t>
  </si>
  <si>
    <t xml:space="preserve">            continue
        # If the build passed, go through the tests
        if result["build_passed"]:
            build_passed += 1</t>
  </si>
  <si>
    <t xml:space="preserve">            build_passed += 1
            # set of tests passed names
            tests_passed = set(result["tests_passed_names"])
</t>
  </si>
  <si>
    <t xml:space="preserve">
            for index in range(len(sundial["children"][0]["children"])):
                # Get the test name
                test_name = sundial["children"][0]["children"][index]["name"]
</t>
  </si>
  <si>
    <t xml:space="preserve">                test_name = sundial["children"][0]["children"][index]["name"]
                # If this student passed this test, then increment the tests passed value
                if test_name in tests_passed:
                    sundial["children"][0]["children"][index]["children"][0]["value"] += 1</t>
  </si>
  <si>
    <t xml:space="preserve">                    sundial["children"][0]["children"][index]["children"][0]["value"] += 1
                # If this student failed this test, then increment the tests failed value
                else:
                    sundial["children"][0]["children"][index]["children"][1]["value"] += 1</t>
  </si>
  <si>
    <t xml:space="preserve">            continue
        # If the build failed, then skip the tests
        if not result["build_passed"]:
            # If the student failed the build, then we increment the failed build value</t>
  </si>
  <si>
    <t xml:space="preserve">        # If the build failed, then skip the tests
        if not result["build_passed"]:
            # If the student failed the build, then we increment the failed build value
            build_failed += 1
            sundial["children"][1]["value"] += 1</t>
  </si>
  <si>
    <t xml:space="preserve">            continue
    # Update the title for the high level names
    sundial["children"][0]["name"] = f"{build_passed} builds passed"
    sundial["children"][1]["name"] = f"{build_failed} builds failed"</t>
  </si>
  <si>
    <t xml:space="preserve">    sundial["children"][2]["name"] = f"{no_submission} no submissions"
    # Update the title for the individual tests
    for test in sundial["children"][0]["children"]:
        passed = test["children"][0]</t>
  </si>
  <si>
    <t xml:space="preserve">    fig, axs = plt.subplots(2, 1, figsize=(12, 10))
    # submissions over hour line
    ss = submissions.groupby(["assignment_id", "created"])["id"].count().reset_index().rename(
        columns={"id": "count"}</t>
  </si>
  <si>
    <t xml:space="preserve">    ).groupby("assignment_id")
    # ides over hour line
    tt = theia_sessions.groupby(["assignment_id", "created"])["id"].count().reset_index().rename(
        columns={"id": "count"}</t>
  </si>
  <si>
    <t xml:space="preserve">                )
    # Watermarks
    add_watermark(axs[0])
    add_watermark(axs[1])</t>
  </si>
  <si>
    <t xml:space="preserve">    add_watermark(axs[1])
    # Legends
    axs[0].legend(loc="upper left")
    axs[1].legend(loc="upper left")</t>
  </si>
  <si>
    <t xml:space="preserve">    axs[1].legend(loc="upper left")
    # Grids
    axs[0].grid(True)
    axs[1].grid(True)</t>
  </si>
  <si>
    <t xml:space="preserve">    axs[1].grid(True)
    # Labels
    axs[0].set(
        title=f"{course.course_code} - Submissions over time",</t>
  </si>
  <si>
    <t xml:space="preserve">    ax: plt.Axes
    # Get list of unique TheiaImages (that are public to playgrounds). Sort by
    # id so that they are always in the same order.
    images = TheiaImage.query.filter(TheiaImage.public == True).order_by(TheiaImage.id.desc()).all()
</t>
  </si>
  <si>
    <t xml:space="preserve">    images = TheiaImage.query.filter(TheiaImage.public == True).order_by(TheiaImage.id.desc()).all()
    # Get all playground theia sessions after start datetime
    theia_sessions = get_theia_sessions(None, start)
</t>
  </si>
  <si>
    <t xml:space="preserve">    theia_sessions = get_theia_sessions(None, start)
    # Count number of playground IDEs per hour using some pandas df witchcraft
    s = theia_sessions.groupby(["image_id", "created"])["id"].count().reset_index().rename(
        columns={"id": "count"}</t>
  </si>
  <si>
    <t xml:space="preserve">    )
    # Value counts outside 4 std devs
    # should be brought down to 4 std devs
    # to keep plot concise. A few hours in
    # the year have 6-7x the amount of starts
    # which throws off the entire look of
    # the graph.
    s_std = s['count'].std()
    s_mean = s['count'].mean()</t>
  </si>
  <si>
    <t xml:space="preserve">    s[s['count'] &gt;= s_max] = s_max
    # Group by image
    for key, group in s.groupby("image_id"):
        logger.info(key)</t>
  </si>
  <si>
    <t xml:space="preserve">                ax.plot(group["created"], group["count"], label=image.title)
    # Add extra bits
    add_watermark(ax)
    ax.legend()</t>
  </si>
  <si>
    <t xml:space="preserve">    ).first()
    # If event already sent, then skip
    if event is not None:
        logger.debug(f'Email already sent. '</t>
  </si>
  <si>
    <t xml:space="preserve">        return
    # Build templates
    subject_template = jinja2.Template(email_template.subject)
    body_template = jinja2.Template(email_template.body)</t>
  </si>
  <si>
    <t xml:space="preserve">    body_template = jinja2.Template(email_template.body)
    # Render templates
    subject = subject_template.render(**context)
    body = body_template.render(**context)</t>
  </si>
  <si>
    <t xml:space="preserve">    body = body_template.render(**context)
    # Create email message
    message = create_message(
        EMAIL_FROM,</t>
  </si>
  <si>
    <t xml:space="preserve">    )
    # Send email
    try:
        success = send_message(service, message) is not False</t>
  </si>
  <si>
    <t xml:space="preserve">
def create_message(sender: str, to: str, subject: str, message_text: str) -&gt; dict[str, str]:
    """Create a message for an email.
    Args:
      sender: Email address of the sender.
      to: Email address of the receiver.
      subject: The subject of the email message.
      message_text: The text of the email message.
    Returns:
      An object containing a base64url encoded email object.
    """
    message = MIMEMultipart("mixed")
    message["to"] = to</t>
  </si>
  <si>
    <t xml:space="preserve">    filename: str,
) -&gt; dict[str, str]:
    """Create a message for an email.
    Args:
      sender: Email address of the sender.
      to: Email address of the receiver.
      subject: The subject of the email message.
      message_text: The text of the email message.
      file: The path to the file to be attached.
      filename: The name of the file to be attached to the message.
    Returns:
      An object containing a base64url encoded email object.
    """
    message = MIMEMultipart()
    message["to"] = to</t>
  </si>
  <si>
    <t xml:space="preserve">    __table_args__ = {"mysql_charset": DB_CHARSET, "mysql_collate": DB_COLLATION}
    # Fields
    key: str = Column(String(length=128), primary_key=True)
    value: str = Column(String(length=2048))</t>
  </si>
  <si>
    <t xml:space="preserve">    __table_args__ = {"mysql_charset": DB_CHARSET, "mysql_collate": DB_COLLATION}
    # id
    id = default_id()
</t>
  </si>
  <si>
    <t xml:space="preserve">    id = default_id()
    # Fields
    netid: str = Column(String(length=128), unique=True, nullable=False)
    github_username = Column(Text(length=2 ** 14), index=True)</t>
  </si>
  <si>
    <t xml:space="preserve">    release_email_enabled: bool = Column(Boolean, nullable=False, default=True)
    # Timestamps
    created: datetime = Column(DateTime, default=datetime.now)
    last_updated: datetime = Column(DateTime, default=datetime.now, onupdate=datetime.now)</t>
  </si>
  <si>
    <t xml:space="preserve">    id = default_id()
    # Fields
    name = Column(Text(length=2 ** 14), nullable=False)
    course_code = Column(Text(length=2 ** 14), nullable=False)</t>
  </si>
  <si>
    <t xml:space="preserve">    __table_args__ = {"mysql_charset": DB_CHARSET, "mysql_collate": DB_COLLATION}
    # Foreign Keys
    owner_id: str = Column(String(length=default_id_length), ForeignKey(User.id), primary_key=True)
    course_id: str = Column(String(length=default_id_length), ForeignKey(Course.id), primary_key=True)</t>
  </si>
  <si>
    <t xml:space="preserve">    id = default_id()
    # Foreign Keys
    course_id: str = Column(String(length=default_id_length), ForeignKey(Course.id), index=True)
</t>
  </si>
  <si>
    <t xml:space="preserve">    course_id: str = Column(String(length=default_id_length), ForeignKey(Course.id), index=True)
    # Fields
    name = Column(Text(length=2 ** 14), nullable=False, index=True)
    hidden: bool = Column(Boolean, default=False)</t>
  </si>
  <si>
    <t xml:space="preserve">    email_notifications_enabled: bool = Column(Boolean, default=True, nullable=False)
    # Autograde
    pipeline_image = Column(Text(length=2 ** 14), nullable=True, index=True)
    autograde_enabled: bool = Column(Boolean, default=True)</t>
  </si>
  <si>
    <t xml:space="preserve">    autograde_enabled: bool = Column(Boolean, default=True)
    # IDE
    ide_enabled: bool = Column(Boolean, default=True)
    theia_image_id: str = Column(String(length=default_id_length), ForeignKey("theia_image.id"), default=None)</t>
  </si>
  <si>
    <t xml:space="preserve">    theia_options = Column(JSON, default=lambda: copy.deepcopy(THEIA_DEFAULT_OPTIONS))
    # Cheat Detection
    anti_cheat_enabled: bool = Column(Boolean, default=False)
</t>
  </si>
  <si>
    <t xml:space="preserve">    anti_cheat_enabled: bool = Column(Boolean, default=False)
    # Github
    github_template = Column(Text(length=2 ** 14), nullable=True, default="")
    github_repo_required: bool = Column(Boolean, default=False)</t>
  </si>
  <si>
    <t xml:space="preserve">    github_repo_required: bool = Column(Boolean, default=False)
    # Dates
    release_date: datetime = Column(DateTime, nullable=False)
    due_date: datetime = Column(DateTime, nullable=False)</t>
  </si>
  <si>
    <t xml:space="preserve">            "ide_active":           self.due_date + timedelta(days=3 * 7) &gt; datetime.now(),
            "tests":                [t.data for t in self.tests if t.hidden is False],
            # IDE
            "ide_enabled":          self.ide_enabled,
            "autosave":             self.theia_options.get("autosave", True),</t>
  </si>
  <si>
    <t xml:space="preserve">            "autosave":             self.theia_options.get("autosave", True),
            "persistent_storage":   self.theia_options.get("persistent_storage", False),
            # Github
            "github_repo_required": self.github_repo_required,
        }</t>
  </si>
  <si>
    <t xml:space="preserve">    id = default_id()
    # Foreign Keys
    owner_id: str = Column(String(length=default_id_length), ForeignKey(User.id), nullable=True)
    assignment_id: str = Column(String(length=default_id_length), ForeignKey(Assignment.id), nullable=False)</t>
  </si>
  <si>
    <t xml:space="preserve">    assignment_id: str = Column(String(length=default_id_length), ForeignKey(Assignment.id), nullable=False)
    # Fields
    netid: str = Column(String(length=128), nullable=False)
    repo_url: str = Column(String(length=512), nullable=False)</t>
  </si>
  <si>
    <t xml:space="preserve">    shared: bool = Column(Boolean, default=False)
    # State booleans
    repo_created: bool = Column(Boolean, default=False)
    collaborator_configured: bool = Column(Boolean, default=False)</t>
  </si>
  <si>
    <t xml:space="preserve">    ta_configured: bool = Column(Boolean, default=False)
    # Timestamps
    created: datetime = Column(DateTime, default=datetime.now)
    last_updated: datetime = Column(DateTime, default=datetime.now, onupdate=datetime.now)</t>
  </si>
  <si>
    <t xml:space="preserve">    id = default_id()
    # Foreign Keys
    assignment_id: str = Column(String(length=default_id_length), ForeignKey(Assignment.id))
</t>
  </si>
  <si>
    <t xml:space="preserve">    assignment_id: str = Column(String(length=default_id_length), ForeignKey(Assignment.id))
    # Fields
    name = Column(Text(length=2 ** 14), index=True)
    hidden: bool = Column(Boolean, default=False)</t>
  </si>
  <si>
    <t xml:space="preserve">    id = default_id()
    # Foreign Keys
    assignment_id: str = Column(String(length=default_id_length), ForeignKey(Assignment.id), index=True)
</t>
  </si>
  <si>
    <t xml:space="preserve">    assignment_id: str = Column(String(length=default_id_length), ForeignKey(Assignment.id), index=True)
    # Fields
    question = Column(Text(length=2 ** 14), nullable=False)
    solution = Column(Text(length=2 ** 14), nullable=True)</t>
  </si>
  <si>
    <t xml:space="preserve">    placeholder = Column(Text(length=2 ** 14), nullable=True, default="")
    # Timestamps
    created: datetime = Column(DateTime, default=datetime.now)
    last_updated: datetime = Column(DateTime, default=datetime.now, onupdate=datetime.now)</t>
  </si>
  <si>
    <t xml:space="preserve">    id = default_id()
    # Foreign Keys
    owner_id: str = Column(String(length=default_id_length), ForeignKey(User.id))
    assignment_id: str = Column(String(length=default_id_length), ForeignKey(Assignment.id), index=True, nullable=False)</t>
  </si>
  <si>
    <t xml:space="preserve">    )
    # Timestamps
    created: datetime = Column(DateTime, default=datetime.now)
    last_updated: datetime = Column(DateTime, default=datetime.now, onupdate=datetime.now)</t>
  </si>
  <si>
    <t xml:space="preserve">    last_updated: datetime = Column(DateTime, default=datetime.now, onupdate=datetime.now)
    # Relationships
    question = relationship(AssignmentQuestion)
    responses = relationship("AssignedQuestionResponse", cascade="all,delete", backref="question")</t>
  </si>
  <si>
    <t xml:space="preserve">    @property
    def data(self):
        """
        Returns simple dictionary representation of the object.
        :return:
        """
        response: AssignedQuestionResponse = (</t>
  </si>
  <si>
    <t xml:space="preserve">    id = default_id()
    # Foreign Keys
    assigned_question_id = Column(
        String(length=128),</t>
  </si>
  <si>
    <t xml:space="preserve">    )
    # Fields
    response = Column(Text(length=2 ** 14), default="", nullable=False)
</t>
  </si>
  <si>
    <t xml:space="preserve">    response = Column(Text(length=2 ** 14), default="", nullable=False)
    # Timestamps
    created: datetime = Column(DateTime, default=datetime.now)
    last_updated: datetime = Column(DateTime, default=datetime.now, onupdate=datetime.now)</t>
  </si>
  <si>
    <t xml:space="preserve">    id = default_id()
    # Foreign Keys
    owner_id: str = Column(String(length=default_id_length), ForeignKey(User.id), index=True, nullable=True)
    assignment_id: str = Column(String(length=default_id_length), ForeignKey(Assignment.id), index=True, nullable=False)</t>
  </si>
  <si>
    <t xml:space="preserve">    assignment_repo_id: str = Column(String(length=default_id_length), ForeignKey(AssignmentRepo.id), nullable=False)
    # Timestamps
    created: datetime = Column(DateTime, default=datetime.now)
    last_updated: datetime = Column(DateTime, default=datetime.now, onupdate=datetime.now)</t>
  </si>
  <si>
    <t xml:space="preserve">    last_updated: datetime = Column(DateTime, default=datetime.now, onupdate=datetime.now)
    # Fields
    commit: str = Column(String(length=128), unique=True, index=True, nullable=False)
    processed: bool = Column(Boolean, default=False)</t>
  </si>
  <si>
    <t xml:space="preserve">    pipeline_log: str = deferred(Column(Text(length=2 ** 16)))
    # Relationships
    build = relationship(
        "SubmissionBuild",</t>
  </si>
  <si>
    <t xml:space="preserve">        from anubis.lms.assignments import get_assignment_tests
        # Add connected models
        data = self.data
        data["repo"] = self.repo.repo_url</t>
  </si>
  <si>
    <t xml:space="preserve">    id = default_id()
    # Foreign Keys
    submission_id: str = Column(String(length=default_id_length), ForeignKey(Submission.id), primary_key=True)
    assignment_test_id: str = Column(String(length=default_id_length), ForeignKey(AssignmentTest.id), primary_key=True)</t>
  </si>
  <si>
    <t xml:space="preserve">    assignment_test_id: str = Column(String(length=default_id_length), ForeignKey(AssignmentTest.id), primary_key=True)
    # Timestamps
    created: datetime = Column(DateTime, default=datetime.now)
    last_updated: datetime = Column(DateTime, default=datetime.now, onupdate=datetime.now)</t>
  </si>
  <si>
    <t xml:space="preserve">    last_updated: datetime = Column(DateTime, default=datetime.now, onupdate=datetime.now)
    # Fields
    output_type: str = Column(String(length=128), default="text")
    output = deferred(Column(Text(length=2 ** 16)))</t>
  </si>
  <si>
    <t xml:space="preserve">    passed: bool = Column(Boolean)
    # Relationships
    assignment_test = relationship(AssignmentTest)
</t>
  </si>
  <si>
    <t xml:space="preserve">    id = default_id()
    # Foreign Keys
    submission_id: str = Column(String(length=default_id_length), ForeignKey(Submission.id), index=True)
</t>
  </si>
  <si>
    <t xml:space="preserve">    submission_id: str = Column(String(length=default_id_length), ForeignKey(Submission.id), index=True)
    # Fields
    stdout = deferred(Column(Text(length=2 ** 14)))
    passed: bool = Column(Boolean, default=None)</t>
  </si>
  <si>
    <t xml:space="preserve">    passed: bool = Column(Boolean, default=None)
    # Timestamps
    created: datetime = Column(DateTime, default=datetime.now)
    last_updated: datetime = Column(DateTime, default=datetime.now, onupdate=datetime.now)</t>
  </si>
  <si>
    <t xml:space="preserve">    id = default_id()
    # Foreign keys
    owner_id: str = Column(String(length=default_id_length), ForeignKey(User.id), nullable=False)
    course_id: str = Column(String(length=default_id_length), ForeignKey(Course.id), nullable=True, index=True)</t>
  </si>
  <si>
    <t xml:space="preserve">    submission_id: str = Column(String(length=default_id_length), ForeignKey(Submission.id), nullable=True)
    # Fields
    playground: bool = Column(Boolean, default=False)
    repo_url: str = Column(String(length=128), nullable=True)</t>
  </si>
  <si>
    <t xml:space="preserve">    cluster_address = Column(Text(length=2 ** 14), nullable=True, default=None)
    # IDE settings
    resources = Column(JSON, default=lambda: {})
    network_policy: str = Column(String(length=128), default="os-student")</t>
  </si>
  <si>
    <t xml:space="preserve">    k8s_requested: bool = Column(Boolean, default=False)
    # Timestamps
    created: datetime = Column(DateTime, default=datetime.now)
    ended: datetime = Column(DateTime, nullable=True, default=None)</t>
  </si>
  <si>
    <t xml:space="preserve">    course_id: str = Column(String(length=default_id_length), ForeignKey(Course.id), nullable=False, index=True)
    # Fields
    filename = Column(Text(length=2 ** 14))
    path = Column(Text(length=2 ** 14))</t>
  </si>
  <si>
    <t xml:space="preserve">    hidden: bool = Column(Boolean, default=False)
    # Timestamps
    created: datetime = Column(DateTime, default=datetime.now)
    last_updated: datetime = Column(DateTime, default=datetime.now, onupdate=datetime.now)</t>
  </si>
  <si>
    <t xml:space="preserve">    assignment_id: str = Column(String(length=default_id_length), ForeignKey(Assignment.id), primary_key=True)
    # New Due Date
    due_date: datetime = Column(DateTime, nullable=False)
</t>
  </si>
  <si>
    <t xml:space="preserve">    due_date: datetime = Column(DateTime, nullable=False)
    # Timestamps
    created: datetime = Column(DateTime, default=datetime.now)
    last_updated: datetime = Column(DateTime, default=datetime.now, onupdate=datetime.now)</t>
  </si>
  <si>
    <t xml:space="preserve">    id = default_id()
    # Foreign keys
    static_file_id: str = Column(
        String(length=default_id_length), ForeignKey(StaticFile.id), nullable=False, index=True</t>
  </si>
  <si>
    <t xml:space="preserve">    course_id: str = Column(String(length=default_id_length), ForeignKey(Course.id), nullable=False, index=True)
    # Meta fields
    post_time: datetime = Column(DateTime, nullable=True, default=datetime.now)
    title = Column(Text(length=2 ** 14), default="")</t>
  </si>
  <si>
    <t xml:space="preserve">    seen_count: int = Column(Integer, default=0)
    # Content
    title = Column(Text(length=1024))
    content = deferred(Column(Text(length=2 ** 14)))</t>
  </si>
  <si>
    <t xml:space="preserve">    content = deferred(Column(Text(length=2 ** 14)))
    # Timestamps
    created: datetime = Column(DateTime, default=datetime.now)
    last_updated: datetime = Column(DateTime, default=datetime.now, onupdate=datetime.now)</t>
  </si>
  <si>
    <t xml:space="preserve">    course_id: str = Column(String(length=default_id_length), ForeignKey(Course.id))
    # Timestamps
    created: datetime = Column(DateTime, default=datetime.now)
    last_updated: datetime = Column(DateTime, default=datetime.now, onupdate=datetime.now)</t>
  </si>
  <si>
    <t xml:space="preserve">    category_id: str = Column(String(length=default_id_length), ForeignKey(ForumCategory.id), primary_key=True)
    # Timestamps
    created: datetime = Column(DateTime, default=datetime.now)
    last_updated: datetime = Column(DateTime, default=datetime.now, onupdate=datetime.now)</t>
  </si>
  <si>
    <t xml:space="preserve">    post_id: str = Column(String(length=default_id_length), ForeignKey(ForumPost.id), primary_key=True)
    # Timestamps
    created: datetime = Column(DateTime, default=datetime.now)
    last_updated: datetime = Column(DateTime, default=datetime.now, onupdate=datetime.now)</t>
  </si>
  <si>
    <t xml:space="preserve">    content: str = deferred(Column(Text(length=2 ** 12)))
    # Timestamps
    created: datetime = Column(DateTime, default=datetime.now)
    last_updated: datetime = Column(DateTime, default=datetime.now, onupdate=datetime.now)</t>
  </si>
  <si>
    <t xml:space="preserve">    id: str = default_id()
    # Who the email was sent to
    owner_id: str = Column(String(length=default_id_length), ForeignKey(User.id))
</t>
  </si>
  <si>
    <t xml:space="preserve">    owner_id: str = Column(String(length=default_id_length), ForeignKey(User.id))
    # Email Template used
    template_id: str = Column(String(length=128), ForeignKey(EmailTemplate.key))
</t>
  </si>
  <si>
    <t xml:space="preserve">    template_id: str = Column(String(length=128), ForeignKey(EmailTemplate.key))
    # The id of the thing that was referenced (like say an assignment id for
    # a deadline notification)
    reference_id: str = Column(String(length=default_id_length))
</t>
  </si>
  <si>
    <t xml:space="preserve">    reference_id: str = Column(String(length=default_id_length))
    # The type of thing being referenced in reference id (like "assignment_deadline" if
    # it is an assignment deadline)
    reference_type: str = Column(String(length=128))
</t>
  </si>
  <si>
    <t xml:space="preserve">    reference_type: str = Column(String(length=128))
    # Email subject and body
    subject: str = deferred(Column(String(2048)))
    body: str = deferred(Column(String(8192)))</t>
  </si>
  <si>
    <t xml:space="preserve">    body: str = deferred(Column(String(8192)))
    # Timestamps
    created: datetime = Column(DateTime, default=datetime.now)
    last_updated: datetime = Column(DateTime, default=datetime.now, onupdate=datetime.now)</t>
  </si>
  <si>
    <t xml:space="preserve">
def get_student_assignment_repo_name(user: User, assignment: Assignment) -&gt; str:
    # Get assignment name (lowercase and spaces removed)
    assignment_name = get_github_safe_assignment_name(assignment)
</t>
  </si>
  <si>
    <t xml:space="preserve">    assignment_name = get_github_safe_assignment_name(assignment)
    # Create a repo name from assignment name, unique code and github username
    new_repo_name = f"{assignment_name}-{assignment.unique_code}-{user.netid}"
</t>
  </si>
  <si>
    <t xml:space="preserve">
def get_group_assignment_repo_name(users: list[User], assignment: Assignment) -&gt; str:
    # Get assignment name (lowercase and spaces removed)
    assignment_name = get_github_safe_assignment_name(assignment)
</t>
  </si>
  <si>
    <t xml:space="preserve">    netids = "-".join(user.netid for user in users)
    # Create a repo name from assignment name, unique code and github username
    new_repo_name = f"{assignment_name}-{assignment.unique_code}-{netids}"
</t>
  </si>
  <si>
    <t xml:space="preserve">
def get_student_assignment_repo_url(user: User, assignment: Assignment) -&gt; str:
    # Create a repo url from assignment name, unique code and github username
    new_repo_name = get_student_assignment_repo_name(user, assignment)
</t>
  </si>
  <si>
    <t xml:space="preserve">
def get_group_assignment_repo_url(users: list[User], assignment: Assignment) -&gt; str:
    # Create a repo url from assignment name, unique code and github username
    new_repo_name = get_group_assignment_repo_name(users, assignment)
</t>
  </si>
  <si>
    <t xml:space="preserve">
def delete_assignment_repo(user: User, assignment: Assignment, commit: bool = True):
    # Get template information
    github_org = assignment.course.github_org
</t>
  </si>
  <si>
    <t xml:space="preserve">    github_org = assignment.course.github_org
    # Get a generated assignment repo name
    new_repo_name = get_student_assignment_repo_name(user, assignment)
</t>
  </si>
  <si>
    <t xml:space="preserve">    new_repo_name = get_student_assignment_repo_name(user, assignment)
    # Try to get the assignment repo from the database
    repo: AssignmentRepo = AssignmentRepo.query.filter(
        AssignmentRepo.assignment_id == assignment.id,</t>
  </si>
  <si>
    <t xml:space="preserve">
    if repo is not None:
        # Fetch all submissions for the student
        submissions: list[Submission] = Submission.query.filter(
            Submission.assignment_id == assignment.id,</t>
  </si>
  <si>
    <t xml:space="preserve">        logger.info(f'Deleting submissions len = {len(submission_ids)}')
        # Go through all the submissions, deleting builds
        # and tests as we go
        logger.info(f'Deleting submission builds')
        SubmissionBuild.query.filter(SubmissionBuild.submission_id.in_(submission_ids)).delete()</t>
  </si>
  <si>
    <t xml:space="preserve">        SubmissionTestResult.query.filter(SubmissionTestResult.submission_id.in_(submission_ids)).delete()
        # Delete submissions themselves
        logger.info(f'Deleting submissions')
        Submission.query.filter(</t>
  </si>
  <si>
    <t xml:space="preserve">        ).delete()
        # Parse out github org and repo_name from url before deletion
        github_org, repo_name = parse("https://github.com/{}/{}", repo.repo_url)
</t>
  </si>
  <si>
    <t xml:space="preserve">        github_org, repo_name = parse("https://github.com/{}/{}", repo.repo_url)
        # Delete the repo
        logger.info(f'Deleting assignment repo db record')
        AssignmentRepo.query.filter(AssignmentRepo.id == repo.id).delete(synchronize_session=False)</t>
  </si>
  <si>
    <t xml:space="preserve">
        if commit:
            # Commit the deletes
            db.session.commit()
</t>
  </si>
  <si>
    <t xml:space="preserve">
    try:
        # Make the github api call to delete the repo on github
        r = github_rest(f"/repos/{github_org}/{repo_name}", method="delete")
        logger.info(f'successfully deleted repo {r}')</t>
  </si>
  <si>
    <t xml:space="preserve">    user: User, assignment: Assignment, new_repo_url: str, commit: bool = True
) -&gt; AssignmentRepo:
    """
    Create the database entry for a repo if it does not exist. This function
    does not handle creating the actual github repo on github.
    If the commit parameter is True, then any changes to the database will
    be committed. db.session.commit() will not be called if there are no
    changes though (if the repo already exists for example)
    :param user: Owner of repo
    :param assignment: Assignment for the repo
    :param new_repo_url: generated github URL
    :param commit: commit changes to db or not
    :return: assignment repo object
    """
    # Try to get the assignment repo from the database</t>
  </si>
  <si>
    <t xml:space="preserve">    """
    # Try to get the assignment repo from the database
    repo: AssignmentRepo = AssignmentRepo.query.filter(
        AssignmentRepo.assignment_id == assignment.id,</t>
  </si>
  <si>
    <t xml:space="preserve">    ).first()
    # If repo does not exist yet, create one
    if repo is None:
        repo = AssignmentRepo(</t>
  </si>
  <si>
    <t xml:space="preserve">            db.session.commit()
    # If the database entry already exists, but the
    # repo url is different, then update it.
    if repo.repo_url != new_repo_url:
        repo.repo_url = new_repo_url</t>
  </si>
  <si>
    <t xml:space="preserve">
def create_assignment_group_repo(users: list[User], assignment: Assignment) -&gt; tuple[list[AssignmentRepo], list[str]]:
    """
    This function takes a list of users and an assignment, and creates a single
    assignment repo for the group. This will create an AssignmentRepo entry for
    each student, but only one will be returned.
    :param users:
    :param assignment:
    :return:
    """
    # Get a generated assignment repo name</t>
  </si>
  <si>
    <t xml:space="preserve">    """
    # Get a generated assignment repo name
    new_repo_name = get_group_assignment_repo_name(users, assignment)
    new_repo_url = get_group_assignment_repo_url(users, assignment)</t>
  </si>
  <si>
    <t xml:space="preserve">    new_repo_url = get_group_assignment_repo_url(users, assignment)
    # Create the assignment repo row in the db
    repos: list[AssignmentRepo] = []
    for user in users:</t>
  </si>
  <si>
    <t xml:space="preserve">    repos: list[AssignmentRepo] = []
    for user in users:
        # Create repo db entry
        repo = _create_assignment_repo_obj(user, assignment, new_repo_url, commit=False)
</t>
  </si>
  <si>
    <t xml:space="preserve">        repo = _create_assignment_repo_obj(user, assignment, new_repo_url, commit=False)
        # Mark repo as shared
        repo.shared = True
</t>
  </si>
  <si>
    <t xml:space="preserve">    db.session.commit()
    # Create the assignment repo
    repos, errors = create_assignment_github_repo(
        repos,</t>
  </si>
  <si>
    <t xml:space="preserve">
def create_assignment_student_repo(user: User, assignment: Assignment) -&gt; tuple[AssignmentRepo, list[str]]:
    # Get a generated assignment repo name
    new_repo_name = get_student_assignment_repo_name(user, assignment)
    new_repo_url = get_student_assignment_repo_url(user, assignment)</t>
  </si>
  <si>
    <t xml:space="preserve">    new_repo_url = get_student_assignment_repo_url(user, assignment)
    # Create the assignment repo row in the db
    repo = _create_assignment_repo_obj(user, assignment, new_repo_url)
</t>
  </si>
  <si>
    <t xml:space="preserve">    new_repo_name: str,
) -&gt; tuple[list[AssignmentRepo], list[str]]:
    """
    Creates an assignment repo and adds collaborators.
    :param n:
    :param repos: AssignmentRepo object
    :param template_repo_path: "AnubisLMS/xv6"
    :param github_org: "os3224"
    :param new_repo_name: ""
    :return:
    """
    errors = set()</t>
  </si>
  <si>
    <t xml:space="preserve">
    try:
        # If repo has not been created yet
        if not repo_created:
</t>
  </si>
  <si>
    <t xml:space="preserve">        if not repo_created:
            # We need to use some of github's internal ID values
            # for creating a repo from the template.
            data = get_github_template_ids(template_repo_path, github_org)
</t>
  </si>
  <si>
    <t xml:space="preserve">            data = get_github_template_ids(template_repo_path, github_org)
            # If response from github is no good
            if data is None:
                # set all repos to failed</t>
  </si>
  <si>
    <t xml:space="preserve">            # If response from github is no good
            if data is None:
                # set all repos to failed
                for repo in repos:
                    repo.repo_created = False</t>
  </si>
  <si>
    <t xml:space="preserve">                db.session.commit()
                # Log error
                logger.error('Could not get template id')
                errors.add('There was an issue with connecting to github. '</t>
  </si>
  <si>
    <t xml:space="preserve">                return repos, list(errors)
            # If the response was None, the api request failed. Also check that
            # some expected values are present in the json data response.
            if "repository" not in data or "id" not in data["repository"]:
                # set all repos to failed</t>
  </si>
  <si>
    <t xml:space="preserve">            # some expected values are present in the json data response.
            if "repository" not in data or "id" not in data["repository"]:
                # set all repos to failed
                for repo in repos:
                    repo.repo_created = False</t>
  </si>
  <si>
    <t xml:space="preserve">                db.session.commit()
                # Log error
                logger.warning('Could not find repo template id')
                errors.add('This assignment is misconfiguration. Github says that the template repo we are suppose to '</t>
  </si>
  <si>
    <t xml:space="preserve">                return repos, list(errors)
            # Get organization and template repo IDs
            owner_id = data["organization"]["id"]
            template_repo_id = data["repository"]["id"]</t>
  </si>
  <si>
    <t xml:space="preserve">            template_repo_id = data["repository"]["id"]
            # Try to create the student's assignment repo from the template
            # using the github graphql api.
            data = create_repo_from_template(owner_id, template_repo_id, new_repo_name)
</t>
  </si>
  <si>
    <t xml:space="preserve">            data = create_repo_from_template(owner_id, template_repo_id, new_repo_name)
            # If the response was None, the api request failed
            if data is None:
                logger.warning("Create repo failed")</t>
  </si>
  <si>
    <t xml:space="preserve">                return repos, list(errors)
            # Mark the repo as created
            for repo in repos:
                repo.repo_created = True</t>
  </si>
  <si>
    <t xml:space="preserve">        for repo in repos:
            # If repo has not been configured
            if not repo.collaborator_configured:
</t>
  </si>
  <si>
    <t xml:space="preserve">            if not repo.collaborator_configured:
                # Get user github username
                collaborator = repo.owner.github_username
                if is_debug():</t>
  </si>
  <si>
    <t xml:space="preserve">
                for i in range(3):
                    # Use github REST api to add the student as a collaborator
                    # to the repo.
                    data = add_collaborator(github_org, new_repo_name, collaborator)
</t>
  </si>
  <si>
    <t xml:space="preserve">                    data = add_collaborator(github_org, new_repo_name, collaborator)
                    # Sometimes it takes a moment before we are able to add collaborators to
                    # the repo. The message in the response will be Not Found in this situation.
                    # We can have it try again to fix.
                    if data.get("message", None) == "Not Found":
                        logger.warning(f"Failed to add collaborator (Not Found). Trying again. {i}")</t>
  </si>
  <si>
    <t xml:space="preserve">                    continue
                # Mark the repo as collaborator configured
                repo.collaborator_configured = True
                db.session.commit()</t>
  </si>
  <si>
    <t xml:space="preserve">        for repo in repos:
            # If repo has not been configured
            if not repo.ta_configured:
</t>
  </si>
  <si>
    <t xml:space="preserve">            if not repo.ta_configured:
                # Get user github username
                team_slug = repo.assignment.course.github_ta_team_slug
</t>
  </si>
  <si>
    <t xml:space="preserve">
                for i in range(3):
                    # Use github REST api to add the ta team as a collaborator
                    # to the repo.
                    data = add_team(github_org, new_repo_name, team_slug)
</t>
  </si>
  <si>
    <t xml:space="preserve">                    data = add_team(github_org, new_repo_name, team_slug)
                    # Sometimes it takes a moment before we are able to add collaborators to
                    # the repo. The message in the response will be Not Found in this situation.
                    # We can have it try again to fix.
                    if data.get("message", None) == "Not Found":
                        logger.warning(f"Failed to add ta team (Not Found). Trying again. {i}")</t>
  </si>
  <si>
    <t xml:space="preserve">                    continue
                # Mark the repo as collaborator configured
                repo.ta_configured = True
                db.session.commit()</t>
  </si>
  <si>
    <t xml:space="preserve">
def get_github_token() -&gt; str | None:
    # Get GITHUB token from environment
    token = os.environ.get("GITHUB_TOKEN", None)
</t>
  </si>
  <si>
    <t xml:space="preserve">    token = os.environ.get("GITHUB_TOKEN", None)
    # If we could not get the token, log and return None
    if token is None:
        logger.error("MISSING GITHUB_TOKEN")</t>
  </si>
  <si>
    <t xml:space="preserve">
def github_rest(url, body=None, method: str = "get"):
    # Get the github api token
    token = get_github_token()
</t>
  </si>
  <si>
    <t xml:space="preserve">
def github_graphql(query: str, variables: dict[str, Any] = None) -&gt; dict[str, Any] | None:
    # Default values for variables
    if variables is None:
        variables = dict()</t>
  </si>
  <si>
    <t xml:space="preserve">    token = get_github_token()
    # set up request options
    url = "https://api.github.com/graphql"
    json = {"query": query, "variables": variables}</t>
  </si>
  <si>
    <t xml:space="preserve">    headers = {"Authorization": "token %s" % token}
    # Make the graph request over http
    try:
        r = requests.post(url=url, json=json, headers=headers)</t>
  </si>
  <si>
    <t xml:space="preserve">
def fix_github_broken_repos():
    # Search for broken repos
    broken_repos: list[AssignmentRepo] = AssignmentRepo.query.filter(
        or_(</t>
  </si>
  <si>
    <t xml:space="preserve">    broken_repos: list[AssignmentRepo] = AssignmentRepo.query.filter(
        or_(
            # Repo not created
            AssignmentRepo.repo_created == False,
            # Collaborator not configured</t>
  </si>
  <si>
    <t xml:space="preserve">            # Repo not created
            AssignmentRepo.repo_created == False,
            # Collaborator not configured
            AssignmentRepo.collaborator_configured == False,
            # Tas not configured</t>
  </si>
  <si>
    <t xml:space="preserve">            # Collaborator not configured
            AssignmentRepo.collaborator_configured == False,
            # Tas not configured
            AssignmentRepo.ta_configured == False,
        ),</t>
  </si>
  <si>
    <t xml:space="preserve">    ).all()
    # Iterate over broken repos, fixing as we go
    for repo in broken_repos:
        # Get student &amp; assignment</t>
  </si>
  <si>
    <t xml:space="preserve">    # Iterate over broken repos, fixing as we go
    for repo in broken_repos:
        # Get student &amp; assignment
        student: User = repo.owner
        assignment: Assignment = repo.assignment</t>
  </si>
  <si>
    <t xml:space="preserve">        assignment: Assignment = repo.assignment
        # Log fix event
        logger.info(f"Attempting to fix broken repo netid={student.netid} assignment={assignment.unique_code}")
</t>
  </si>
  <si>
    <t xml:space="preserve">        logger.info(f"Attempting to fix broken repo netid={student.netid} assignment={assignment.unique_code}")
        # The create assignment repo function will attempt
        # to fix missing steps.
        create_assignment_student_repo(student, assignment)
</t>
  </si>
  <si>
    <t xml:space="preserve">    from anubis.rpc.enqueue import enqueue_autograde_pipeline
    # Do graphql nonsense
    # Refer to here for graphql over https: https://graphql.org/learn/serving-over-http/
    query = """
    query githubCommits($orgName: String!) {</t>
  </si>
  <si>
    <t xml:space="preserve">    """
    # Make the github query
    data = github_graphql(query, {"orgName": org_name})
</t>
  </si>
  <si>
    <t xml:space="preserve">    data = github_graphql(query, {"orgName": org_name})
    # Check that the data is there
    if data is None:
        return</t>
  </si>
  <si>
    <t xml:space="preserve">        return
    # Get organization and repositories from response
    organization = data["organization"]
    repositories = organization["repositories"]["nodes"]</t>
  </si>
  <si>
    <t xml:space="preserve">    repositories = organization["repositories"]["nodes"]
    # Running map of unique_code -&gt; assignment objects
    assignments = dict()
</t>
  </si>
  <si>
    <t xml:space="preserve">    assignments = dict()
    # Parse out repo name and url from graphql response
    repos = map(lambda node: (node["name"], node["url"], node["ref"]), repositories)
    for repo_name, repo_url, ref in repos:</t>
  </si>
  <si>
    <t xml:space="preserve">        assignment = None
        # Try to get the assignment object from running map
        for code in repo_name.split("-"):
            assignment = assignments.get(code, None)</t>
  </si>
  <si>
    <t xml:space="preserve">            assignment = assignments.get(code, None)
        # If not in the map, then try to get from the database
        if assignment is None:
            assignment = Assignment.query.filter(Assignment.unique_code.in_(repo_name.split("-"))).first()</t>
  </si>
  <si>
    <t xml:space="preserve">                assignments[assignment.unique_code] = assignment
        # If not in database or map, then eject
        if assignment is None:
            print(f"Could not find assignment for {repo_name}")</t>
  </si>
  <si>
    <t xml:space="preserve">            continue
        # Guess github username, then create the repo if it doesn't yet exist
        user, netid = guess_github_repo_owner(assignment, repo_name)
        repo = check_repo(assignment, repo_url, user, user.netid)</t>
  </si>
  <si>
    <t xml:space="preserve">            continue
        # Check for broken submissions
        submissions = []
        for submission in Submission.query.filter(Submission.assignment_repo_id == repo.id).all():</t>
  </si>
  <si>
    <t xml:space="preserve">            enqueue_autograde_pipeline(sid)
        # Check for missing submissions
        try:
            for commit in map(lambda x: x["node"]["oid"], ref["target"]["history"]["edges"]):</t>
  </si>
  <si>
    <t xml:space="preserve">
def parse_github_org_name(org_url: str) -&gt; Optional[str]:
    """
    Get org name from a github url
    "https://github.com/os3224" -&gt; "os3224"
    """
    r = parse("https://github.com/{}", org_url)
</t>
  </si>
  <si>
    <t xml:space="preserve">
def parse_github_repo_name(repo_url: str) -&gt; Optional[str]:
    """
    Get github repo name from https url.
    parse_github_repo_name("https://github.com/GusSand/Anubis")
    -&gt; "Anubis"
    :param repo_url:
    :return:
    """
    r = parse("https://github.com/{}/{}", repo_url)
</t>
  </si>
  <si>
    <t xml:space="preserve">
def autograde_recalculate():
    """
    Calculate stats for recent submissions
    :return:
    """
    recent_assignments = get_recent_assignments(autograde_enabled=True)</t>
  </si>
  <si>
    <t xml:space="preserve">
def generate_report(mobile: bool = False) -&gt; str:
    """
    Generate a report of the statuses of Anubis. The statuses are:
        Course names and code
        Number of students for each course
        Number of IDES opened for each course
        Number of active users this semester
        Number of IDEs opened this semester
    :return: The text of the report
    """
    # Course List</t>
  </si>
  <si>
    <t xml:space="preserve">    """
    # Course List
    # Number of students, IDEs for each course
    data = [
        [</t>
  </si>
  <si>
    <t xml:space="preserve">
def images_to_bytes(img: Image) -&gt; BytesIO:
    # In order to send through discord, *must* wrap getvalue() in BytesIO()
    b = BytesIO()
    img.save(b, format="PNG")</t>
  </si>
  <si>
    <t>@with_context
def generate_ide_report(day=None, mobile: bool = False) -&gt; discord.Embed | Image.Image:
    """
    Generate a report of the statuses of Anubis. The statuses are:
        Course names and code
        Number of students for each course
        Number of IDES opened for each course
        Number of active users this semester
        Number of IDEs opened this semester
    :return: The text of the report
    """
    today = get_day(day)</t>
  </si>
  <si>
    <t>)
async def report_(ctx, platform="desktop", *args):
    """
    Respond to `!report` command with a report of the statuses of Anubis
    :return:
    """
    if ctx.author.is_on_mobile() or platform == "mobile":
        await ctx.send(</t>
  </si>
  <si>
    <t>)
async def ides_(ctx, day=None, *_):
    """
    Respond to `!report` command with a report of the statuses of Anubis
    :return:
    """
    if ctx.author.is_on_mobile():
        await ctx.send(</t>
  </si>
  <si>
    <t xml:space="preserve">)
async def email_(ctx, day=None, *_):
    """
    Respond to `!report` command with a report of the statuses of Anubis
    :return:
    """
    await ctx.send(embed=generate_email_report(day))
</t>
  </si>
  <si>
    <t>@bot.command(name="contribute", aliases=("github",), help="Contributing to Anubis")
async def contribute_(ctx, *args):
    """
    Respond to `!contribute` command with a link to the GitHub repo
    :return:
    """
    desc = (
        "Thanks for your interest in contributing to Anubis! We're always"</t>
  </si>
  <si>
    <t>@bot.command(name="help", aliases=("commands",), help="Shows you this list")
async def help_(ctx, *args):
    """
    Respond to `!help` command with a list of valid commands and their descriptions
    :return:
    """
    emb = discord.Embed(
        title="Anubis Bot Help", description=""</t>
  </si>
  <si>
    <t xml:space="preserve">
def reap_github_admin_teams():
    """
    Make sure tas are properly added to groups
    :return:
    """
    # Get all current courses</t>
  </si>
  <si>
    <t xml:space="preserve">    """
    # Get all current courses
    courses: list[Course] = get_active_courses()
</t>
  </si>
  <si>
    <t xml:space="preserve">    courses: list[Course] = get_active_courses()
    # Iterate through all courses within the system
    for course in courses:
        if course.github_ta_team_slug == '' or course.github_ta_team_slug is None:</t>
  </si>
  <si>
    <t xml:space="preserve">                    f'org = "{course.github_org}" team = "{course.github_ta_team_slug}"')
        # Get all students, professors and TAs for course
        superusers: list[User] = User.query.filter(User.is_superuser == True).all()
        tas: list[User] = get_course_tas(course)</t>
  </si>
  <si>
    <t xml:space="preserve">        members: list[str] = list_github_team_members(course.github_org, course.github_ta_team_slug)
        # Set of members of the team that should be there
        accounted_for_members = set()
</t>
  </si>
  <si>
    <t xml:space="preserve">            accounted_for_members.add(user.github_username)
        # Remove unaccounted for members
        for github_username in set(members).difference(accounted_for_members):
            remote_github_team_member(course.github_org, course.github_ta_team_slug, github_username)</t>
  </si>
  <si>
    <t xml:space="preserve">
def reap_ta_professor():
    """
    Find TAs and Professors that do not have an InCourse row
    for their course, and attempt to fix the problem.
    :return:
    """
    # Get all current courses</t>
  </si>
  <si>
    <t xml:space="preserve">    courses: list[Course] = get_active_courses()
    # Iterate through all courses within the system
    for course in courses:
</t>
  </si>
  <si>
    <t xml:space="preserve">    for course in courses:
        # Get all students, professors and TAs for course
        students: list[User] = get_course_users(course)
        tas: list[User] = get_course_tas(course)</t>
  </si>
  <si>
    <t xml:space="preserve">        profs: list[User] = get_course_professors(course)
        # Convert to user.id sets
        student_ids: set[str] = user_to_user_id_set(students)
        ta_ids: set[str] = user_to_user_id_set(tas)</t>
  </si>
  <si>
    <t xml:space="preserve">        prof_ids: set[str] = user_to_user_id_set(profs)
        # Create a set of user ids that will need to have InCourse
        # objects created for them.
        students_to_add: set[str] = set()
</t>
  </si>
  <si>
    <t xml:space="preserve">        students_to_add: set[str] = set()
        # Calculate which ta and professor ids exist outside of the
        # student ids. Theses ids are the users that are missing
        # InCourse rows.
        students_to_add = students_to_add.union(ta_ids.difference(student_ids))
        students_to_add = students_to_add.union(prof_ids.difference(student_ids))</t>
  </si>
  <si>
    <t xml:space="preserve">        students_to_add = students_to_add.union(prof_ids.difference(student_ids))
        # Iterate through the users that need to have InCourse rows
        # added. Create new rows as we go.
        for user_id in students_to_add:
            # Log the creation</t>
  </si>
  <si>
    <t xml:space="preserve">        # added. Create new rows as we go.
        for user_id in students_to_add:
            # Log the creation
            logger.info(f'Adding user to course: user_id={user_id} course_id={course.id}')
</t>
  </si>
  <si>
    <t xml:space="preserve">            logger.info(f'Adding user to course: user_id={user_id} course_id={course.id}')
            # Create new InCourse row
            in_course = InCourse(
                owner_id=user_id,</t>
  </si>
  <si>
    <t xml:space="preserve">            )
            # Add row to session
            db.session.add(in_course)
</t>
  </si>
  <si>
    <t xml:space="preserve">            db.session.add(in_course)
    # Commit the changes (if there are any)
    db.session.commit()
</t>
  </si>
  <si>
    <t xml:space="preserve">
def fix_question_assignments():
    """
    Attempt to fix missing question assignments.
    :return:
    """
    recent_assignments = get_recent_assignments()</t>
  </si>
  <si>
    <t xml:space="preserve">@with_context
def reap():
    # Fix tas and professors missing InCourse
    reap_ta_professor()
</t>
  </si>
  <si>
    <t xml:space="preserve">    reap_ta_professor()
    # Fix question assignments
    fix_question_assignments()
</t>
  </si>
  <si>
    <t xml:space="preserve">    fix_question_assignments()
    # Check that course admins are in ta group on GitHub
    reap_github_admin_teams()
</t>
  </si>
  <si>
    <t xml:space="preserve">
def reap_stale_submissions():
    """
    This will set find stale submission and set them to processed. A stale
    submission is one that has not been updated in 15 minutes and is still
    in a processing state.
    Flask app context is required before calling this function.
    :return:
    """
    print("Reaping stale submissions")</t>
  </si>
  <si>
    <t xml:space="preserve">    print("Reaping stale submissions")
    # Find and update stale submissions
    Submission.query.filter(
        Submission.last_updated &lt; datetime.now() - timedelta(minutes=60),</t>
  </si>
  <si>
    <t xml:space="preserve">    }, False)
    # Commit any changes
    db.session.commit()
</t>
  </si>
  <si>
    <t xml:space="preserve">
def reap_recent_assignments():
    """
    Attempt to fix submissions in active (recent) assignments
    :return:
    """
    recent_assignments = get_recent_assignments()</t>
  </si>
  <si>
    <t xml:space="preserve">
def reap_github():
    """
    For reasons not clear to me yet, the webhooks are sometimes missing
    on the first commit. The result is that repos will be created on
    github without anubis seeing them.
    This function should be the fix for this. It will call out to the
    github api to list all the repos under the organization then try to
    create repos for each listed repo.
    :return:
    """
    # Pull all courses</t>
  </si>
  <si>
    <t xml:space="preserve">    """
    # Pull all courses
    courses: list[Course] = get_active_courses()
</t>
  </si>
  <si>
    <t xml:space="preserve">    courses: list[Course] = get_active_courses()
    # Iterate over all course attempting to fix issues
    # on each github org.
    for course in courses:
        # Get the org_name from the matches values</t>
  </si>
  <si>
    <t xml:space="preserve">    # on each github org.
    for course in courses:
        # Get the org_name from the matches values
        org_name = course.github_org
</t>
  </si>
  <si>
    <t xml:space="preserve">            continue
        # Attempt to fix any broken or lost repos for the course org.
        try:
            fix_github_missing_submissions(org_name)</t>
  </si>
  <si>
    <t xml:space="preserve">            continue
    # Attempt to fix any broken github repo permissions
    fix_github_broken_repos()
</t>
  </si>
  <si>
    <t xml:space="preserve">
def update_student_lists():
    """
    Iterate through all courses, updating the cached entry for
    the student lists in each.
    :return:
    """
    # Pull all courses</t>
  </si>
  <si>
    <t xml:space="preserve">    courses: list[Course] = get_active_courses()
    # Iterate through courses, updating student list
    for course in courses:
        get_students(course.id)</t>
  </si>
  <si>
    <t xml:space="preserve">@with_context
def reap():
    # Enqueue a job to reap stale ide k8s resources
    enqueue_ide_reap_stale()
</t>
  </si>
  <si>
    <t xml:space="preserve">    enqueue_ide_reap_stale()
    # Enqueue a job to reap stale pipeline k8s resources
    enqueue_pipeline_reap_stale()
</t>
  </si>
  <si>
    <t xml:space="preserve">    enqueue_pipeline_reap_stale()
    # Reap the stale submissions
    reap_stale_submissions()
</t>
  </si>
  <si>
    <t xml:space="preserve">    reap_stale_submissions()
    # Reap broken repos
    reap_github()
</t>
  </si>
  <si>
    <t xml:space="preserve">    reap_github()
    # Reap broken submissions in recent assignments
    reap_recent_assignments()
</t>
  </si>
  <si>
    <t xml:space="preserve">    reap_recent_assignments()
    # Update student lists
    update_student_lists()
</t>
  </si>
  <si>
    <t>@with_context
def main():
    # Get courses with visuals enabled
    courses_with_visuals: list[Course] = Course.query.filter(
        Course.display_visuals == True</t>
  </si>
  <si>
    <t xml:space="preserve">    ).all()
    # Generate usage plot for each course
    for course in courses_with_visuals:
        get_usage_plot(course.id)</t>
  </si>
  <si>
    <t xml:space="preserve">        get_usage_plot(course.id)
    # Get recent assignments
    recent_assignments: list[Assignment] = Assignment.query.filter(
        Assignment.release_date &gt; datetime.now(),</t>
  </si>
  <si>
    <t xml:space="preserve">    ).all()
    # Generate sundial for each
    for assignment in recent_assignments:
        get_assignment_sundial(assignment.id)</t>
  </si>
  <si>
    <t xml:space="preserve">        get_assignment_sundial(assignment.id)
    # Generate playgrounds usage plot
    get_usage_plot_playgrounds()
</t>
  </si>
  <si>
    <t xml:space="preserve">    get_usage_plot_playgrounds()
    # Generate plot for active
    for days, step in [(14, 1), (90, 7), (180, 1), (365, 30)]:
        get_usage_plot_active(days=days, step=step)</t>
  </si>
  <si>
    <t xml:space="preserve">        get_usage_plot_active(days=days, step=step)
    # Generate plot for last year registered users
    for days, step in [(365, 1), (365, 30)]:
        get_platform_users_plot(days=days, step=step)</t>
  </si>
  <si>
    <t xml:space="preserve">            }
            # Skip if student has disabled notifications
            match reference_type:
                case 'assignment_release':</t>
  </si>
  <si>
    <t>"""
This is where we should implement any and all job function for the
redis queue. The rq library requires special namespacing in order to work,
so these functions must reside in a separate file.
"""
import traceback</t>
  </si>
  <si>
    <t xml:space="preserve">
def rpc_enqueue(func, queue=None, args=None):
    """
    Enqueues a job on the redis cache
    :func callable: any callable object
    :args tuple: ordered arguments for function
    """
    # set defaults</t>
  </si>
  <si>
    <t xml:space="preserve">    """
    # set defaults
    if queue is None:
        queue = "default"</t>
  </si>
  <si>
    <t xml:space="preserve">        args = tuple()
    # If we are running in mindebug, there is
    # no rq cluster to send things off to.
    if env.MINDEBUG:
        try:</t>
  </si>
  <si>
    <t xml:space="preserve">
def enqueue_autograde_pipeline(*args, queue: str = "regrade"):
    """Enqueues a test job"""
    rpc_enqueue(create_submission_pipeline, queue=queue, args=args)
</t>
  </si>
  <si>
    <t xml:space="preserve">
def enqueue_ide_initialize(*args):
    """Enqueue an ide initialization job"""
    rpc_enqueue(initialize_theia_session, queue="theia", args=args)
</t>
  </si>
  <si>
    <t xml:space="preserve">
def enqueue_ide_stop(*args):
    """Reap theia session kube resources"""
    rpc_enqueue(reap_theia_session_by_id, queue="theia", args=args)
</t>
  </si>
  <si>
    <t xml:space="preserve">
def enqueue_ide_reap_stale(*args):
    """Reap stale ide resources"""
    rpc_enqueue(reap_stale_theia_sessions, queue="theia", args=args)
</t>
  </si>
  <si>
    <t xml:space="preserve">
def enqueue_pipeline_reap_stale(*args):
    """Reap stale pipeline job resources"""
    rpc_enqueue(reap_pipeline_jobs, queue="theia", args=args)
</t>
  </si>
  <si>
    <t xml:space="preserve">
def enqueue_seed():
    """Enqueue debug seed data"""
    rpc_enqueue(seed, queue="default")
</t>
  </si>
  <si>
    <t xml:space="preserve">
def enqueue_assign_missing_questions(*args):
    """Enqueue assign missing questions"""
    rpc_enqueue(assign_missing_questions, queue="default", args=args)
</t>
  </si>
  <si>
    <t xml:space="preserve">
def enqueue_make_shared_assignment(*args):
    """Enqueue make shared assignment"""
    rpc_enqueue(make_shared_assignment, queue="default", args=args)
</t>
  </si>
  <si>
    <t xml:space="preserve">
def enqueue_create_assignment_github_repo(*args):
    """Enqueue make shared assignment"""
    rpc_enqueue(create_assignment_github_repo, queue="default", args=args)
</t>
  </si>
  <si>
    <t xml:space="preserve">
def enqueue_reap_pvc_user(*args):
    """Enqueue reap pvc for user"""
    rpc_enqueue(reap_user_pvc, queue='default', args=args)
</t>
  </si>
  <si>
    <t xml:space="preserve">
def enqueue_bulk_autograde(*args):
    """Enqueue bulk autograde of assignment"""
    rpc_enqueue(bulk_autograde, queue="regrade", args=args)
</t>
  </si>
  <si>
    <t xml:space="preserve">
def enqueue_bulk_regrade_assignment(*args):
    """Enqueue bulk autograde of assignment"""
    rpc_enqueue(bulk_regrade_assignment, queue="regrade", args=args)
</t>
  </si>
  <si>
    <t xml:space="preserve">
def enqueue_bulk_regrade_submissions(*args):
    """Enqueue bulk autograde of assignment"""
    rpc_enqueue(bulk_regrade_submissions, queue="regrade", args=args)</t>
  </si>
  <si>
    <t>@json_response
def pipeline_report_panic(submission: Submission):
    """
    Pipeline workers will hit this endpoint if there was
    a panic that needs to be reported. This view function
    should mark the submission as processed, and update
    its state.
    POSTed json should be of the shape:
    {
      "message": "yikers this was a bad error",
      "traceback": "optional traceback",
    }
    :param submission:
    :return:
    """
    # log th panic</t>
  </si>
  <si>
    <t xml:space="preserve">    """
    # log th panic
    logger.error(
        "submission panic reported",</t>
  </si>
  <si>
    <t xml:space="preserve">    )
    # set the submission state
    submission.processed = True
    submission.state = "Whoops! There was an error on our end. The error has been logged."</t>
  </si>
  <si>
    <t xml:space="preserve">    submission.errors = {"panic": request.json}
    # commit the changes to the session
    db.session.add(submission)
    db.session.commit()</t>
  </si>
  <si>
    <t>@json_endpoint([("stdout", str), ("passed", bool)])
def pipeline_report_build(submission: Submission, stdout: str, passed: bool, **_):
    """
    POSTed json should be of the shape:
    {
      "stdout": "build logs...",
      "passed": True
    }
    :param submission:
    :param stdout:
    :param passed:
    :return:
    """
    if len(stdout) &gt; MYSQL_TEXT_MAX_LENGTH:</t>
  </si>
  <si>
    <t xml:space="preserve">        stdout = stdout[:MYSQL_TEXT_MAX_LENGTH]
    # Log the build being reported
    logger.info(
        "submission build reported",</t>
  </si>
  <si>
    <t xml:space="preserve">    )
    # Update submission build
    submission.build.stdout = stdout
    submission.build.passed = passed</t>
  </si>
  <si>
    <t xml:space="preserve">    submission.build.passed = passed
    # If the build did not passed, then the
    # submission pipeline is done
    if passed is False:
        submission.processed = True</t>
  </si>
  <si>
    <t xml:space="preserve">        submission.state = "Build did not succeed"
    # Add and commit
    db.session.add(submission)
    db.session.add(submission.build)</t>
  </si>
  <si>
    <t xml:space="preserve">    db.session.commit()
    # Report success
    return success_response("Build successfully reported.")
</t>
  </si>
  <si>
    <t>def pipeline_report_test(submission: Submission, test_name: str, passed: bool, message: str, output_type: str,
                         output: str, **_):
    """
    Submission pipelines will hit this endpoint when there
    is a test result to report.
    POSTed json should be of the shape:
    {
      "test_name": "name of the test",
      "passed": True,
      "message": "This test worked",
      "output_type": "diff",
      "output": "--- \n\n+++ \n\n@@ -1,3 +1,3 @@\n\n a\n-c\n+b\n d"
    }
    :param submission:
    :param test_name:
    :param passed:
    :param message:
    :param output:
    :param output_type:
    :return:
    """
    if len(output) &gt; MYSQL_TEXT_MAX_LENGTH:</t>
  </si>
  <si>
    <t xml:space="preserve">        output = output[:MYSQL_TEXT_MAX_LENGTH]
    # Log the build
    logger.info(
        "submission test reported",</t>
  </si>
  <si>
    <t xml:space="preserve">    submission_test_result: SubmissionTestResult | None = None
    # Look for corresponding submission_test_result based on given name
    for result in submission.test_results:
        # Compare name</t>
  </si>
  <si>
    <t xml:space="preserve">    # Look for corresponding submission_test_result based on given name
    for result in submission.test_results:
        # Compare name
        if result.assignment_test.name == test_name:
            submission_test_result = result</t>
  </si>
  <si>
    <t xml:space="preserve">            break
    # Verify we got a match
    if submission_test_result is None:
        logger.error("Invalid submission test result reported", extra={"request": request.json})</t>
  </si>
  <si>
    <t xml:space="preserve">        return success_response({"status": "invalid test name"})
    # Update the fields
    submission_test_result.passed = passed
    submission_test_result.message = message</t>
  </si>
  <si>
    <t xml:space="preserve">    submission_test_result.output = output
    # Add and commit
    db.session.add(submission_test_result)
    db.session.commit()</t>
  </si>
  <si>
    <t>@json_endpoint(required_fields=[("state", str)])
def pipeline_report_state(submission: Submission, state: str, **kwargs):
    """
    When a submission pipeline wants to report a state, it
    hits this endpoint. If there is a ?processed=1 in the
    http query, then the submission will also be marked as
    processed.
    POSTed json should be of the shape:
    {
      "state": "",
      "processed": True  # optional
    }
    :param submission:
    :param state:
    :return:
    """
    # Log the state update</t>
  </si>
  <si>
    <t xml:space="preserve">    """
    # Log the state update
    logger.info(
        "submission state update",</t>
  </si>
  <si>
    <t xml:space="preserve">    )
    # Get the processed option if it was specified
    processed = request.args.get("processed", default="0")
</t>
  </si>
  <si>
    <t xml:space="preserve">    processed = request.args.get("processed", default="0")
    # set the processed field if it was specified
    submission.processed = processed != "0"
</t>
  </si>
  <si>
    <t xml:space="preserve">    submission.processed = processed != "0"
    # Figure out if the test is hidden
    # We do this by checking the state that was given,
    # to read the name of the test. If the assignment
    # test that was found is marked as hidden, then
    # we should not update the state of the submission
    # model.
    #
    # If we were to update the state of the submission
    # when a hidden test is reported, then it would be
    # visible to the students in the frontend.
    hidden_test = False
</t>
  </si>
  <si>
    <t xml:space="preserve">    hidden_test = False
    # Do a basic match on the expected test
    match = parse("Running test: {}", state)
</t>
  </si>
  <si>
    <t xml:space="preserve">    match = parse("Running test: {}", state)
    # If we got a match
    if match:
        # Get the parsed assignment test name</t>
  </si>
  <si>
    <t xml:space="preserve">    # If we got a match
    if match:
        # Get the parsed assignment test name
        test_name = match[0]
</t>
  </si>
  <si>
    <t xml:space="preserve">        test_name = match[0]
        # Try to get the assignment test
        assignment_test = AssignmentTest.query.filter(
            AssignmentTest.assignment_id == submission.assignment_id,</t>
  </si>
  <si>
    <t xml:space="preserve">        ).first()
        # set hidden_test to True if the test exists, and if it is marked as hidden
        hidden_test = assignment_test is not None and assignment_test.hidden
</t>
  </si>
  <si>
    <t xml:space="preserve">        hidden_test = assignment_test is not None and assignment_test.hidden
    # Update state field if the state report is not for a hidden test
    if not hidden_test:
        submission.state = state</t>
  </si>
  <si>
    <t xml:space="preserve">        submission.state = state
    # If processed was specified and is of type bool, then update that too
    if "processed" in request.json and isinstance(request.json["processed"], bool):
        submission.processed = request.json["processed"]</t>
  </si>
  <si>
    <t xml:space="preserve">        submission.processed = request.json["processed"]
    # Add and commit
    db.session.add(submission)
    db.session.commit()</t>
  </si>
  <si>
    <t>@require_superuser(unless_debug=True)
def private_token_netid(netid):
    """
    For debugging, you can use this to sign in as the given user.
    :param netid:
    :return:
    """
    # Get other user</t>
  </si>
  <si>
    <t xml:space="preserve">    """
    # Get other user
    other = User.query.filter_by(netid=netid).first()
</t>
  </si>
  <si>
    <t xml:space="preserve">    other = User.query.filter_by(netid=netid).first()
    # Verify that the other user exists
    req_assert(other is not None, message="user does not exist")
</t>
  </si>
  <si>
    <t xml:space="preserve">    req_assert(other is not None, message="user does not exist")
    # Verify that the other user is not a superuser
    if not is_debug():
        req_assert(not other.is_superuser, message="You cannot log in as a superuser")</t>
  </si>
  <si>
    <t>@json_response
def admin_late_exception_list(assignment_id: str):
    """
    list all late exceptions for an assignment
    :param assignment_id:
    :return:
    """
    # Get the assignment</t>
  </si>
  <si>
    <t xml:space="preserve">    """
    # Get the assignment
    assignment = Assignment.query.filter(
        Assignment.id == assignment_id,</t>
  </si>
  <si>
    <t xml:space="preserve">    ).first()
    # Make sure it exists
    req_assert(assignment is not None, message="assignment does not exist")
</t>
  </si>
  <si>
    <t xml:space="preserve">    req_assert(assignment is not None, message="assignment does not exist")
    # Assert the course context
    assert_course_context(assignment)
</t>
  </si>
  <si>
    <t xml:space="preserve">    assert_course_context(assignment)
    # Get late exceptions
    late_exceptions = LateException.query.filter(LateException.assignment_id == assignment.id).all()
</t>
  </si>
  <si>
    <t xml:space="preserve">    late_exceptions = LateException.query.filter(LateException.assignment_id == assignment.id).all()
    # Break down for response
    return success_response(
        {</t>
  </si>
  <si>
    <t>@json_endpoint([("assignment_id", str), ("user_id", str), ("due_date", str)])
def admin_late_exception_update(assignment_id: str = None, user_id: str = None, due_date: str = None):
    """
    Add or update a late exception
    :param due_date:
    :param user_id:
    :param assignment_id:
    :return:
    """
    # Get the assignment and user</t>
  </si>
  <si>
    <t xml:space="preserve">    """
    # Get the assignment and user
    assignment = Assignment.query.filter(
        Assignment.id == assignment_id,</t>
  </si>
  <si>
    <t xml:space="preserve">    student = User.query.filter(User.id == user_id).first()
    # Make sure assignment and user exist
    req_assert(assignment is not None, message="assignment does not exist")
    req_assert(student is not None, message="student does not exist")</t>
  </si>
  <si>
    <t xml:space="preserve">    assert_course_context(assignment, student)
    # Get late exceptions
    late_exception: LateException | None = LateException.query.filter(
        LateException.assignment_id == assignment.id,</t>
  </si>
  <si>
    <t xml:space="preserve">    ).first()
    # Check that it exists
    if late_exception is None:
        # Create if it did not already exist</t>
  </si>
  <si>
    <t xml:space="preserve">    # Check that it exists
    if late_exception is None:
        # Create if it did not already exist
        late_exception = LateException(
            assignment_id=assignment.id,</t>
  </si>
  <si>
    <t xml:space="preserve">        db.session.add(late_exception)
    # Try to parse the datetime
    try:
        due_date = date_parse(due_date)</t>
  </si>
  <si>
    <t xml:space="preserve">        return error_response("datetime could not be parsed")
    # Double check that the new due data is not before the actual deadline
    if due_date &lt;= assignment.due_date:
        return error_response("Exception cannot be before assignment due date")</t>
  </si>
  <si>
    <t xml:space="preserve">        return error_response("Exception cannot be before assignment due date")
    # Update the due date
    late_exception.due_date = due_date
</t>
  </si>
  <si>
    <t xml:space="preserve">    db.session.commit()
    # Recalculate the late submissions
    recalculate_late_submissions(student, assignment)
</t>
  </si>
  <si>
    <t xml:space="preserve">    recalculate_late_submissions(student, assignment)
    # Break down for response
    return success_response({"status": "Late exceptions updated"})
</t>
  </si>
  <si>
    <t>@json_response
def admin_late_exception_remove(assignment_id: str = None, user_id: str = None):
    """
    Add or update a late exception
    :param user_id:
    :param assignment_id:
    :return:
    """
    # Get the assignment and user</t>
  </si>
  <si>
    <t xml:space="preserve">    assert_course_context(assignment, student)
    # Delete the exception if it exists
    LateException.query.filter(
        LateException.assignment_id == assignment.id,</t>
  </si>
  <si>
    <t xml:space="preserve">    ).delete()
    # Recalculate the late submissions
    recalculate_late_submissions(student, assignment)
</t>
  </si>
  <si>
    <t xml:space="preserve">    db.session.commit()
    # Break down for response
    return success_response(
        {</t>
  </si>
  <si>
    <t>@json_response
def admin_regrade_status(assignment: Assignment):
    """
    Get the autograde status for an assignment. The status
    is some high level stats the proportion of submissions
    within the assignment that have been processed
    :param assignment:
    :return:
    """
    # Assert that the assignment is within the current course context</t>
  </si>
  <si>
    <t xml:space="preserve">    """
    # Assert that the assignment is within the current course context
    assert_course_context(assignment)
</t>
  </si>
  <si>
    <t xml:space="preserve">    assert_course_context(assignment)
    # Get the number of submissions that are being processed
    processing = Submission.query.filter(
        Submission.assignment_id == assignment.id,</t>
  </si>
  <si>
    <t xml:space="preserve">    ).count()
    # Get the total number of submissions
    total = Submission.query.filter(
        Submission.assignment_id == assignment.id,</t>
  </si>
  <si>
    <t xml:space="preserve">    ).count()
    # Calculate the percent of submissions that have been processed
    percent = math.ceil(((total - processing) / total) * 100) if total &gt; 0 else 0
</t>
  </si>
  <si>
    <t xml:space="preserve">    percent = math.ceil(((total - processing) / total) * 100) if total &gt; 0 else 0
    # Return the status
    return success_response(
        {</t>
  </si>
  <si>
    <t>@json_response
def admin_regrade_submission_commit(commit: str):
    """
    Regrade a specific submission via the unique commit hash.
    :param commit:
    :return:
    """
    # Find the submission</t>
  </si>
  <si>
    <t xml:space="preserve">    """
    # Find the submission
    submission: Submission = Submission.query.filter(
        Submission.commit == commit,</t>
  </si>
  <si>
    <t xml:space="preserve">    ).first()
    # Make sure the submission exists
    req_assert(submission is not None, message="submission does not exist")
</t>
  </si>
  <si>
    <t xml:space="preserve">    req_assert(submission is not None, message="submission does not exist")
    # Assert that the submission is within the current course context
    assert_course_context(submission)
</t>
  </si>
  <si>
    <t xml:space="preserve">    assert_course_context(submission)
    # Reset submission in database
    init_submission(submission)
</t>
  </si>
  <si>
    <t xml:space="preserve">    init_submission(submission)
    # Enqueue the submission pipeline
    enqueue_autograde_pipeline(submission.id)
</t>
  </si>
  <si>
    <t xml:space="preserve">    enqueue_autograde_pipeline(submission.id)
    # Return status
    return success_response({"submission": submission.data, "user": submission.owner.data})
</t>
  </si>
  <si>
    <t>@json_response
def private_regrade_student_assignment_netid(assignment_id: str, netid: str):
    """
    :param assignment_id:
    :param netid:
    :return:
    """
    # Find the assignment</t>
  </si>
  <si>
    <t xml:space="preserve">    """
    # Find the assignment
    assignment: Assignment = Assignment.query.filter(
        or_(Assignment.id == assignment_id, Assignment.name == assignment_id)</t>
  </si>
  <si>
    <t xml:space="preserve">    ).first()
    # Verify that the assignment exists
    req_assert(assignment is not None, message="assignment does not exist")
</t>
  </si>
  <si>
    <t xml:space="preserve">    req_assert(assignment is not None, message="assignment does not exist")
    # Get the student
    student: User = User.query.filter(User.netid == netid).first()
</t>
  </si>
  <si>
    <t xml:space="preserve">    student: User = User.query.filter(User.netid == netid).first()
    # Verify the student exists
    req_assert(student is not None, message="student does not exist")
</t>
  </si>
  <si>
    <t xml:space="preserve">    req_assert(student is not None, message="student does not exist")
    # Assert that the course exists
    assert_course_context(student, assignment)
</t>
  </si>
  <si>
    <t xml:space="preserve">    ).all()
    # Get a count of submissions for the response
    submission_count = len(submissions)
</t>
  </si>
  <si>
    <t xml:space="preserve">    submission_count = len(submissions)
    # Split the submissions into bite sized chunks
    submission_ids = [s.id for s in submissions]
    submission_chunks = split_chunks(submission_ids, 100)</t>
  </si>
  <si>
    <t xml:space="preserve">    submission_chunks = split_chunks(submission_ids, 100)
    # Enqueue each chunk as a job for the rpc workers
    for chunk in submission_chunks:
        rpc_enqueue(bulk_regrade_submissions, "regrade", args=[chunk])</t>
  </si>
  <si>
    <t xml:space="preserve">        rpc_enqueue(bulk_regrade_submissions, "regrade", args=[chunk])
    # Clear cache of autograde results
    cache.delete_memoized(bulk_autograde, assignment.id)
    cache.delete_memoized(autograde, student.id, assignment.id)</t>
  </si>
  <si>
    <t>@json_response
def private_regrade_assignment(assignment_id):
    """
    This route is used to restart / re-enqueue jobs.
    The work required for this is potentially very IO entinsive
    on the database. We basically need to load the entire submission
    history out of the database, reset each, then re-enqueue them
    for processing. This makes resetting a single assignment actually
    very time consuming. For this we need to be a bit smart about how to
    handle this.
    We will split all submissions for the given assignment into
    chunks of 100. We can then push each of those chunks as a
    bulk_regrade job to the rpc workers.
    This solution isn't the fastest, but it gets the job done.
    :param assignment_id: name of assignment to regrade
    :return:
    """
    # Get the options for the regrade</t>
  </si>
  <si>
    <t xml:space="preserve">    """
    # Get the options for the regrade
    hours = get_number_arg("hours", default_value=-1)
    not_processed = get_number_arg("not_processed", default_value=-1)</t>
  </si>
  <si>
    <t xml:space="preserve">    latest_only = get_number_arg("latest_only", default_value=-1)
    # Find the assignment
    assignment = Assignment.query.filter(or_(Assignment.id == assignment_id, Assignment.name == assignment_id)).first()
</t>
  </si>
  <si>
    <t xml:space="preserve">    assignment = Assignment.query.filter(or_(Assignment.id == assignment_id, Assignment.name == assignment_id)).first()
    # Verify that the assignment exists
    req_assert(assignment is not None, message="assignment does not exist")
</t>
  </si>
  <si>
    <t xml:space="preserve">    req_assert(assignment is not None, message="assignment does not exist")
    # Assert that the assignment is within the current course context
    assert_course_context(assignment)
</t>
  </si>
  <si>
    <t xml:space="preserve">    assert_course_context(assignment)
    # Enqueue assignment regrade for rpc worker
    enqueue_bulk_regrade_assignment(assignment.id, hours, not_processed, processed, reaped, latest_only)
</t>
  </si>
  <si>
    <t xml:space="preserve">    enqueue_bulk_regrade_assignment(assignment.id, hours, not_processed, processed, reaped, latest_only)
    # Pass back the enqueued status
    return success_response(
        {</t>
  </si>
  <si>
    <t>@json_response
def admin_questions_add_unique_code(assignment_id: str):
    """
    Add a new blank question to the assignment.
    :param assignment_id:
    :return:
    """
    # Try to find assignment</t>
  </si>
  <si>
    <t xml:space="preserve">    """
    # Try to find assignment
    assignment: Assignment = Assignment.query.filter(Assignment.id == assignment_id).first()
</t>
  </si>
  <si>
    <t xml:space="preserve">    assignment: Assignment = Assignment.query.filter(Assignment.id == assignment_id).first()
    # If the assignment does not exist, then stop
    req_assert(assignment is not None, message="assignment does not exist")
</t>
  </si>
  <si>
    <t xml:space="preserve">    req_assert(assignment is not None, message="assignment does not exist")
    # Assert that the set course context matches the course of the assignment
    assert_course_context(assignment)
</t>
  </si>
  <si>
    <t xml:space="preserve">    assert_course_context(assignment)
    # Create a new, blank question
    aq = AssignmentQuestion(
        assignment_id=assignment.id,</t>
  </si>
  <si>
    <t xml:space="preserve">    )
    # Add and commit the question
    db.session.add(aq)
    db.session.commit()</t>
  </si>
  <si>
    <t xml:space="preserve">    db.session.commit()
    # Return the status
    return success_response(
        {</t>
  </si>
  <si>
    <t>@json_response
def admin_questions_delete_question_id(assignment_question_id: str):
    """
    Delete an assignment question
    :param assignment_question_id:
    :return:
    """
    # Get the assignment question</t>
  </si>
  <si>
    <t xml:space="preserve">    """
    # Get the assignment question
    assignment_question: AssignmentQuestion = AssignmentQuestion.query.filter(
        AssignmentQuestion.id == assignment_question_id,</t>
  </si>
  <si>
    <t xml:space="preserve">    ).first()
    # Verify that the question exists
    req_assert(assignment_question is not None, message="question does not exist")
</t>
  </si>
  <si>
    <t xml:space="preserve">    req_assert(assignment_question is not None, message="question does not exist")
    # Assert that the set course context matches the course of the assignment
    assert_course_context(assignment_question)
</t>
  </si>
  <si>
    <t xml:space="preserve">
    try:
        # Try to delete the question
        AssignmentQuestion.query.filter(
            AssignmentQuestion.id == assignment_question_id,</t>
  </si>
  <si>
    <t xml:space="preserve">        ).delete()
        # Try to commit the delete
        db.session.commit()
</t>
  </si>
  <si>
    <t xml:space="preserve">
    except sqlalchemy.exc.IntegrityError:
        # Rollback the commit
        db.session.rollback()
</t>
  </si>
  <si>
    <t xml:space="preserve">        db.session.rollback()
        # If this commit fails, then it is assigned to students
        return error_response("Question is already assigned to students. Reset assignments to delete.")
</t>
  </si>
  <si>
    <t xml:space="preserve">        return error_response("Question is already assigned to students. Reset assignments to delete.")
    # Return the status
    return success_response(
        {</t>
  </si>
  <si>
    <t>@json_response
def private_questions_hard_reset_unique_code(assignment_id: str):
    """
    This endpoint should be used very sparingly. When this is hit,
    assuming the assignment exists, it will delete all questions
    for the given assignment. This is potentially very destructive,
    because you will not be able to get the question assignments
    back without a database backup.
    * If you chose to use this half way into an assignment without
    being able to reset, you will need to assign new questions to
    students! *
    If you end up needing to re-assign questions, this has the
    potential to create a great deal of confusion among students.
    ** Be careful with this one **
    :param assignment_id:
    :return:
    """
    # Try to find assignment</t>
  </si>
  <si>
    <t xml:space="preserve">    req_assert(assignment is not None, message="assignment does not exist")
    # Assert that the current user is a professor or superuser
    assert_course_superuser(assignment.course_id)
</t>
  </si>
  <si>
    <t xml:space="preserve">    assert_course_superuser(assignment.course_id)
    # Assert that the set course context matches the course of the assignment
    assert_course_context(assignment)
</t>
  </si>
  <si>
    <t xml:space="preserve">    assert_course_context(assignment)
    # Hard reset questions
    hard_reset_questions(assignment)
</t>
  </si>
  <si>
    <t xml:space="preserve">    hard_reset_questions(assignment)
    # Pass back the status
    return success_response(
        {</t>
  </si>
  <si>
    <t>@json_response
def private_questions_reset_assignments_assignment_id(assignment_id: str):
    """
    This endpoint should be used very sparingly. When this is hit,
    assuming the assignment exists, it will delete all questions
    for the given assignment. This is potentially very destructive,
    because you will not be able to get the question assignments
    back without a database backup.
    * If you chose to use this half way into an assignment without
    being able to reset, you will need to assign new questions to
    students! *
    If you end up needing to re-assign questions, this has the
    potential to create a great deal of confusion among students.
    ** Be careful with this one **
    :param assignment_id:
    :return:
    """
    # Try to find assignment</t>
  </si>
  <si>
    <t xml:space="preserve">    assignment: Assignment = Assignment.query.filter(Assignment.id == assignment_id).first()
    # Verify that the assignment exists
    req_assert(assignment is not None, message="assignment does not exist")
</t>
  </si>
  <si>
    <t xml:space="preserve">    assert_course_context(assignment)
    # Reset the question assignments
    reset_question_assignments(assignment, commit=True)
</t>
  </si>
  <si>
    <t xml:space="preserve">    reset_question_assignments(assignment, commit=True)
    # Pass back the status
    return success_response(
        {</t>
  </si>
  <si>
    <t>@json_endpoint(required_fields=[("question", dict)])
def admin_questions_update(assignment_question_id: str, question: dict):
    """
    Update the text for a question
    :param assignment_question_id:
    :param question:
    :return:
    """
    # Get the assignment question</t>
  </si>
  <si>
    <t xml:space="preserve">    """
    # Get the assignment question
    db_assignment_question: AssignmentQuestion = AssignmentQuestion.query.filter(
        AssignmentQuestion.id == assignment_question_id</t>
  </si>
  <si>
    <t xml:space="preserve">    ).first()
    # Verify that the assignment question exists
    req_assert(db_assignment_question is not None, message="question does not exist")
</t>
  </si>
  <si>
    <t xml:space="preserve">    req_assert(db_assignment_question is not None, message="question does not exist")
    # Assert that the set course context matches the course of the assignment
    assert_course_context(db_assignment_question)
</t>
  </si>
  <si>
    <t xml:space="preserve">    assert_course_context(db_assignment_question)
    # Update the fields of the question
    db_assignment_question.question = question["question"]
    db_assignment_question.solution = question["solution"]</t>
  </si>
  <si>
    <t xml:space="preserve">    db_assignment_question.pool = question["pool"]
    # Commit any changes
    db.session.commit()
</t>
  </si>
  <si>
    <t xml:space="preserve">    db.session.commit()
    # Pass back status
    return success_response({"status": "Question updated"})
</t>
  </si>
  <si>
    <t>@json_response
def private_questions_get_assignments_unique_code(assignment_id: str):
    """
    Get all questions for the given assignment.
    :param assignment_id:
    :return:
    """
    # Try to find assignment</t>
  </si>
  <si>
    <t xml:space="preserve">    req_assert(assignment is not None, message="assignment does not exist")
    # Assert that the assignment is within the course context
    assert_course_context(assignment)
</t>
  </si>
  <si>
    <t xml:space="preserve">    assert_course_context(assignment)
    # Get all the question assignments
    question_assignments = get_question_assignments(assignment)
</t>
  </si>
  <si>
    <t>@json_response
def private_questions_get_unique_code(assignment_id: str):
    """
    Get all questions for the given assignment.
    :param assignment_id:
    :return:
    """
    # Try to find assignment</t>
  </si>
  <si>
    <t>@json_response
def private_questions_assign_unique_code(assignment_id: str):
    """
    Assign questions that have been created. This action will only run once.
    Once a question is assigned to a student, the only way to change it is
    by manually editing the database. This is by design to reduce confusion.
    Questions must already be created to use this.
    :return:
    """
    # Try to find assignment</t>
  </si>
  <si>
    <t xml:space="preserve">    assignment: Assignment = Assignment.query.filter(Assignment.id == assignment_id).first()
    # Verify that we got an assignment
    req_assert(assignment is not None, message="assignment does not exist")
</t>
  </si>
  <si>
    <t xml:space="preserve">    req_assert(assignment is not None, message="assignment does not exist")
    # Verify that the assignment is accessible to the user in the current course context
    assert_course_context(assignment)
</t>
  </si>
  <si>
    <t xml:space="preserve">    assert_course_context(assignment)
    # Assign the questions
    assigned_questions = assign_questions(assignment)
</t>
  </si>
  <si>
    <t xml:space="preserve">    assigned_questions = assign_questions(assignment)
    # Pass back the response
    return success_response({"assigned": assigned_questions, "status": "Questions assigned"})
</t>
  </si>
  <si>
    <t>@require_admin()
def admin_assignments_export(assignment_id: str):
    """
    Export question assignments to a (potentially) large zip archive.
    :param assignment_id:
    :return:
    """
    # Get the assignment</t>
  </si>
  <si>
    <t xml:space="preserve">    assignment = Assignment.query.filter(Assignment.id == assignment_id).first()
    # Verify that we got an assignment
    req_assert(assignment is not None, message="assignment does not exist")
</t>
  </si>
  <si>
    <t xml:space="preserve">    assert_course_context(assignment)
    # Get now datetime
    now = datetime.now().replace(microsecond=0)
</t>
  </si>
  <si>
    <t xml:space="preserve">    now = datetime.now().replace(microsecond=0)
    # Generate an export of the assignment data
    zip_blob = export_assignment_questions(assignment.id)
</t>
  </si>
  <si>
    <t xml:space="preserve">    zip_blob = export_assignment_questions(assignment.id)
    # Get a filename from the assignment name and datetime
    assignment_name = clean_assignment_name(assignment)
    filename = f"anubis-question-assignments-{assignment_name}-{str(now)}.zip".replace(" ", "_").replace(":", "")</t>
  </si>
  <si>
    <t xml:space="preserve">    filename = f"anubis-question-assignments-{assignment_name}-{str(now)}.zip".replace(" ", "_").replace(":", "")
    # Send the file back
    return send_file(io.BytesIO(zip_blob), attachment_filename=filename, as_attachment=True)
</t>
  </si>
  <si>
    <t>@require_admin()
def admin_assignments_history(assignment_id: str, user_id: str):
    """
    Export question response history to a (potentially) large json file
    for a specific student.
    :param assignment_id:
    :param user_id:
    :return:
    """
    # Get the assignment &amp; user</t>
  </si>
  <si>
    <t xml:space="preserve">    """
    # Get the assignment &amp; user
    assignment = Assignment.query.filter(Assignment.id == assignment_id).first()
    user = User.query.filter(User.id == user_id).first()</t>
  </si>
  <si>
    <t xml:space="preserve">    user = User.query.filter(User.id == user_id).first()
    # Verify that we got an assignment
    req_assert(assignment is not None, message="assignment does not exist")
    req_assert(user is not None, message="user does not exist")</t>
  </si>
  <si>
    <t xml:space="preserve">    req_assert(user is not None, message="user does not exist")
    # Verify that the assignment is accessible to the user in the current course context
    assert_course_context(assignment, user)
</t>
  </si>
  <si>
    <t xml:space="preserve">    assert_course_context(assignment, user)
    # Get now datetime
    now = datetime.now().replace(microsecond=0)
</t>
  </si>
  <si>
    <t xml:space="preserve">    now = datetime.now().replace(microsecond=0)
    # Generate an export of the assignment data
    history_json = export_assignment_question_history(assignment.id, user.id) or '{}'
</t>
  </si>
  <si>
    <t xml:space="preserve">    history_json = export_assignment_question_history(assignment.id, user.id) or '{}'
    # Get a filename from the assignment name and datetime
    assignment_name = clean_assignment_name(assignment)
    filename = f"anubis-question-responses-{user.netid}-{assignment_name}-{str(now)}.json".replace(" ", "_").replace(":", "")</t>
  </si>
  <si>
    <t xml:space="preserve">    filename = f"anubis-question-responses-{user.netid}-{assignment_name}-{str(now)}.json".replace(" ", "_").replace(":", "")
    # Send the file back
    return send_file(io.BytesIO(history_json.encode()), attachment_filename=filename, as_attachment=True)</t>
  </si>
  <si>
    <t>@json_response
def admin_static_lectures_list():
    """
    list all lecture notes for the course
    /admin/lecture/list
    :return:
    """
    # Build Query. Defer the blob field so</t>
  </si>
  <si>
    <t xml:space="preserve">    """
    # Build Query. Defer the blob field so
    # it is not loaded.
    query = LectureNotes.query.filter(LectureNotes.course_id == course_context.id).order_by(
        LectureNotes.post_time.desc()</t>
  </si>
  <si>
    <t xml:space="preserve">    )
    # Get all public static files within this course
    lectures = query.all()
</t>
  </si>
  <si>
    <t xml:space="preserve">    lectures = query.all()
    # Pass back the list of files
    return success_response({"lectures": [lecture.data for lecture in lectures]})
</t>
  </si>
  <si>
    <t>@json_response
def admin_lecture_delete_lecture_id(lecture_notes_id: str):
    """
    Delete a course lecture notes.
    :param lecture_notes_id:
    :return:
    """
    # Get lecture notes</t>
  </si>
  <si>
    <t xml:space="preserve">    """
    # Get lecture notes
    lecture_notes = LectureNotes.query.filter(
        LectureNotes.id == lecture_notes_id,</t>
  </si>
  <si>
    <t xml:space="preserve">    ).first()
    # Assert that the static file is within the current course context
    assert_course_context(lecture_notes)
</t>
  </si>
  <si>
    <t xml:space="preserve">    assert_course_context(lecture_notes)
    # Make sure we got one
    req_assert(lecture_notes is not None, message="Lecture notes not found")
</t>
  </si>
  <si>
    <t xml:space="preserve">    req_assert(lecture_notes is not None, message="Lecture notes not found")
    # Mark the notes for deletion
    db.session.delete(lecture_notes)
</t>
  </si>
  <si>
    <t xml:space="preserve">    db.session.delete(lecture_notes)
    # Commit the delete
    db.session.commit()
</t>
  </si>
  <si>
    <t>@json_response
def admin_lecture_save(lecture_notes_id: str):
    """
    Update an existing lecture notes object. Change the
    lecture number, title or description.
    body = {
      number: 0,
      title: 'this is the title',
      description: 'this is the description',
    }
    :return:
    """
    # Get fields from params</t>
  </si>
  <si>
    <t xml:space="preserve">    """
    # Get fields from params
    post_time = request.args.get("post_time", default=None)
    title = request.args.get("title", default="")</t>
  </si>
  <si>
    <t xml:space="preserve">    description = request.args.get("description", default="")
    # If post time was in the http query, then try to parse it
    if isinstance(post_time, str):
        try:</t>
  </si>
  <si>
    <t xml:space="preserve">            post_time = None
    # Get lecture notes
    lecture_notes: LectureNotes = LectureNotes.query.filter(
        LectureNotes.id == lecture_notes_id,</t>
  </si>
  <si>
    <t xml:space="preserve">    ).first()
    # If post time is None for whatever reason, then
    # default to what it is set as already
    if post_time is None:
        post_time = lecture_notes.post_time</t>
  </si>
  <si>
    <t xml:space="preserve">        post_time = lecture_notes.post_time
    # Assert that the static file is within the current course context
    assert_course_context(lecture_notes)
</t>
  </si>
  <si>
    <t xml:space="preserve">    assert_course_context(lecture_notes)
    # Pull file from request (if there is one)
    stream, filename = get_request_file_stream(with_filename=True, fail_ok=True)
</t>
  </si>
  <si>
    <t xml:space="preserve">    stream, filename = get_request_file_stream(with_filename=True, fail_ok=True)
    # Update fields
    lecture_notes.post_time = post_time
    lecture_notes.title = title</t>
  </si>
  <si>
    <t>@json_response
def admin_lecture_upload():
    """
    Upload a new public static file. The file will immediately be
    publicly available.
    The StaticFiles are unique by the path specified by the admin. If the path
    already exists, then the file is replaced.
    params = {
      number: 0,
      title: 'this is the title',
      description: 'this is the description',
    }
    :return:
    """
    # Get fields from params</t>
  </si>
  <si>
    <t xml:space="preserve">            post_time = None
    # If post time is None for whatever reason, then
    # default to now
    if post_time is None:
        post_time = datetime.now()</t>
  </si>
  <si>
    <t xml:space="preserve">        post_time = datetime.now()
    # Process the file upload
    blob = process_file_upload()
</t>
  </si>
  <si>
    <t xml:space="preserve">    blob = process_file_upload()
    # Create the lecture notes to match
    lecture_notes = LectureNotes(
        static_file_id=blob.id,</t>
  </si>
  <si>
    <t xml:space="preserve">    db.session.commit()
    # Pass back the status
    return success_response(
        {</t>
  </si>
  <si>
    <t>@json_endpoint([("groups", list)])
def admin_assignments_shared_id(assignment: Assignment, groups: list[list[str]], **__):
    """
    Make a shared assignment
    groups = [
      [netid1, netid2],
      [netid3],
      [netid4, netid5]
    ]
    :param assignment:
    :param groups:
    :return:
    """
    assert_course_context(assignment)</t>
  </si>
  <si>
    <t>@load_from_id(Assignment, verify_owner=False)
def admin_assignments_reset_repos_id(assignment: Assignment):
    """
    Fully reset an assignment. Delete all repos, submissions, etc...
    :param assignment:
    :return:
    """
    assert_course_context(assignment)</t>
  </si>
  <si>
    <t>@json_response
def admin_assignments_repos_id(assignment: Assignment):
    """
    :param assignment:
    :return:
    """
    assert_course_context(assignment)</t>
  </si>
  <si>
    <t>@json_response
def admin_assignments_repo_delete_id(assignment_repo: AssignmentRepo):
    """
    :param assignment_repo:
    :return:
    """
    # list of repos to delete</t>
  </si>
  <si>
    <t xml:space="preserve">    """
    # list of repos to delete
    repos: list[AssignmentRepo] = [assignment_repo]
</t>
  </si>
  <si>
    <t xml:space="preserve">    repos: list[AssignmentRepo] = [assignment_repo]
    # If the assignment repo is shared
    if assignment_repo.shared:
        # Then we need to collect all the other repos, and delete those too</t>
  </si>
  <si>
    <t xml:space="preserve">    # If the assignment repo is shared
    if assignment_repo.shared:
        # Then we need to collect all the other repos, and delete those too
        repos = AssignmentRepo.query.filter(
            AssignmentRepo.repo_url == assignment_repo.repo_url,</t>
  </si>
  <si>
    <t xml:space="preserve">
    for repo in repos:
        # Get user
        user: User = repo.owner
</t>
  </si>
  <si>
    <t xml:space="preserve">        user: User = repo.owner
        # Delete the assignment user
        delete_assignment_repo(user, repo.assignment)
</t>
  </si>
  <si>
    <t xml:space="preserve">@json_response
def private_assignment_id_questions_get_netid(assignment: Assignment, netid: str):
    """
    Get questions assigned to a given student.
    :param assignment:
    :param netid:
    :return:
    """
    user = User.query.filter_by(netid=netid).first()
</t>
  </si>
  <si>
    <t xml:space="preserve">    user = User.query.filter_by(netid=netid).first()
    # Verify that the user exists, and that the assignment
    # is within the course context of the current user.
    req_assert(user is not None, message="user not found")
    assert_course_context(assignment)</t>
  </si>
  <si>
    <t>@json_response
def admin_assignments_get_id(assignment: Assignment):
    """
    Get the full data for an assignment id. The course context
    must be set, and will be checked.
    :param assignment:
    :return:
    """
    # Confirm that the assignment they are asking for is part</t>
  </si>
  <si>
    <t xml:space="preserve">    """
    # Confirm that the assignment they are asking for is part
    # of this course
    assert_course_context(assignment)
</t>
  </si>
  <si>
    <t xml:space="preserve">        assignment_data["theia_image"] = None
    # Pass back the full data
    return success_response(
        {</t>
  </si>
  <si>
    <t>@json_response
def admin_assignments_delete_id(assignment: Assignment):
    """
    Get the full data for an assignment id. The course context
    must be set, and will be checked.
    :param assignment:
    :return:
    """
    # Confirm that the assignment they are asking for is part</t>
  </si>
  <si>
    <t xml:space="preserve">    assert_course_context(assignment)
    # Make sure they are allowed to delete this assignment
    if not is_course_superuser(course_context.id, current_user.id):
        return error_response("You must be a professor or a superuser to delete this assignment")</t>
  </si>
  <si>
    <t xml:space="preserve">        return error_response("You must be a professor or a superuser to delete this assignment")
    # Delete the assignment
    delete_assignment(assignment)
</t>
  </si>
  <si>
    <t xml:space="preserve">    delete_assignment(assignment)
    # Pass back the full data
    return success_response(
        {</t>
  </si>
  <si>
    <t>@json_response
def admin_assignments_list():
    """
    list all assignments within the course context.
    * The response will be the row2dict of the assignment, not a data prop *
    :return:
    """
    # Get all the assignment objects within the course context,</t>
  </si>
  <si>
    <t xml:space="preserve">    """
    # Get all the assignment objects within the course context,
    # sorted by the due date.
    all_assignments = (
        Assignment.query.filter(Assignment.course_id == course_context.id).order_by(Assignment.due_date.desc()).all()</t>
  </si>
  <si>
    <t xml:space="preserve">    )
    # Pass back the row2dict of each assignment object
    return success_response({"assignments": [row2dict(assignment) for assignment in all_assignments]})
</t>
  </si>
  <si>
    <t>@json_response
def admin_assignment_tests_toggle_hide_assignment_test_id(assignment_test_id: str):
    """
    Toggle an assignment test being hidden.
    :param assignment_test_id:
    :return:
    """
    # Pull the assignment test</t>
  </si>
  <si>
    <t xml:space="preserve">    """
    # Pull the assignment test
    assignment_test: AssignmentTest = AssignmentTest.query.filter(
        AssignmentTest.id == assignment_test_id,</t>
  </si>
  <si>
    <t xml:space="preserve">    ).first()
    # Make sure the assignment test exists
    req_assert(assignment_test is not None, message="test not found")
</t>
  </si>
  <si>
    <t xml:space="preserve">    req_assert(assignment_test is not None, message="test not found")
    # Verify that course the assignment test is apart of and
    # the course context match
    assert_course_context(assignment_test)
</t>
  </si>
  <si>
    <t xml:space="preserve">    assert_course_context(assignment_test)
    # Toggle the hidden field
    assignment_test.hidden = not assignment_test.hidden
</t>
  </si>
  <si>
    <t xml:space="preserve">    assignment_test.hidden = not assignment_test.hidden
    # Commit the change
    db.session.commit()
</t>
  </si>
  <si>
    <t>@json_response
def admin_assignment_tests_delete_assignment_test_id(assignment_test_id: str):
    """
    Delete an assignment test.
    :param assignment_test_id:
    :return:
    """
    # Pull the assignment test</t>
  </si>
  <si>
    <t xml:space="preserve">    """
    # Pull the assignment test
    assignment_test = AssignmentTest.query.filter(
        AssignmentTest.id == assignment_test_id,</t>
  </si>
  <si>
    <t xml:space="preserve">    assert_course_context(assignment_test)
    # Save the test name so we can use it in the response
    test_name = assignment_test.name
</t>
  </si>
  <si>
    <t xml:space="preserve">    test_name = assignment_test.name
    # Delete all the submission test results that are pointing to
    # this test
    SubmissionTestResult.query.filter(
        SubmissionTestResult.assignment_test_id == assignment_test.id,</t>
  </si>
  <si>
    <t xml:space="preserve">    ).delete()
    # Delete the test itself
    AssignmentTest.query.filter(
        AssignmentTest.id == assignment_test_id,</t>
  </si>
  <si>
    <t xml:space="preserve">    ).delete()
    # Commit the changes
    db.session.commit()
</t>
  </si>
  <si>
    <t xml:space="preserve">@json_endpoint(required_fields=[("assignment", dict)])
def admin_assignments_save(assignment: dict):
    """
    Save assignment from raw fields
    :param assignment:
    :return:
    """
    logger.info(json.dumps(assignment, indent=2))
</t>
  </si>
  <si>
    <t xml:space="preserve">    logger.info(json.dumps(assignment, indent=2))
    # Get assignment
    assignment_id = assignment["id"]
    db_assignment = Assignment.query.filter(Assignment.id == assignment_id).first()</t>
  </si>
  <si>
    <t xml:space="preserve">    db_assignment = Assignment.query.filter(Assignment.id == assignment_id).first()
    # Make sure it exists
    if db_assignment is None:
        # Create it if it doesn't exist</t>
  </si>
  <si>
    <t xml:space="preserve">    # Make sure it exists
    if db_assignment is None:
        # Create it if it doesn't exist
        db_assignment = Assignment()
        assignment["id"] = rand()</t>
  </si>
  <si>
    <t xml:space="preserve">    assert_course_context(db_assignment)
    # Update all it's fields
    for key, value in assignment.items():
</t>
  </si>
  <si>
    <t xml:space="preserve">    for key, value in assignment.items():
        # If the key is a date, then convert to datetime
        if "date" in key and isinstance(value, str):
            value = dateparse(value.replace("T", " ").replace("Z", "")).replace(microsecond=0)</t>
  </si>
  <si>
    <t xml:space="preserve">            value = dateparse(value.replace("T", " ").replace("Z", "")).replace(microsecond=0)
        # If github.com is in what the user gave, remove it
        if key == "github_template" and value.startswith("https://github.com/"):
            value = value[len("https://github.com/"):]</t>
  </si>
  <si>
    <t xml:space="preserve">        setattr(db_assignment, key, value)
    # Attempt to commit
    try:
        db.session.commit()</t>
  </si>
  <si>
    <t xml:space="preserve">        db.session.commit()
    except (IntegrityError, DataError) as e:
        # Tell frontend what error happened
        return error_response(str(e))
</t>
  </si>
  <si>
    <t xml:space="preserve">        return error_response(str(e))
    # Return status
    return success_response(
        {</t>
  </si>
  <si>
    <t>@json_endpoint(required_fields=[("assignment", dict)])
def private_assignment_sync(assignment: dict):
    """
    Sync assignment data from the CLI. This should be used to create and update assignment data.
    body = {
      "assignment": {
        "name": "{name}",
        "course": "CS-UY 3224",
        "unique_code": "{code}",
        "pipeline_image": "registry.digitalocean.com/anubis/assignment/{code}"
      }
    }
    response = {
      assignment : {...},
    }
    :return:
    """
    # The course context assertion happens in the sync function</t>
  </si>
  <si>
    <t xml:space="preserve">    """
    # The course context assertion happens in the sync function
    # Create or update assignment</t>
  </si>
  <si>
    <t xml:space="preserve">    # The course context assertion happens in the sync function
    # Create or update assignment
    message, success = assignment_sync(assignment)
</t>
  </si>
  <si>
    <t xml:space="preserve">    message, success = assignment_sync(assignment)
    # If there was an error, pass it back
    req_assert(success, message=message, status_code=406)
</t>
  </si>
  <si>
    <t xml:space="preserve">    req_assert(success, message=message, status_code=406)
    # Return
    return success_response(message)</t>
  </si>
  <si>
    <t xml:space="preserve">                "image": image.data,
                "repo_url": course_context.autograde_tests_repo,
                # Options
                "admin": True,
                "docker": True,</t>
  </si>
  <si>
    <t>@json_endpoint([("settings", dict)])
def admin_ide_initialize_custom(settings: dict, **_):
    """
    Initialize a new management ide with options.
    :param settings:
    :param _:
    :return:
    """
    # Check to see if there is already a management session</t>
  </si>
  <si>
    <t xml:space="preserve">    """
    # Check to see if there is already a management session
    # allocated for the current user
    session: TheiaSession = TheiaSession.query.filter(
        TheiaSession.active,</t>
  </si>
  <si>
    <t xml:space="preserve">    ).first()
    # If there is already a session, then stop
    if session is not None:
        return success_response({"session": session.data})</t>
  </si>
  <si>
    <t xml:space="preserve">    default_image = default_admin_ide()
    # Read the options out of the posted data
    image = settings.get("image", dict())
    repo_url = settings.get("repo_url", "https://github.com/os3224/anubis-assignment-tests")</t>
  </si>
  <si>
    <t xml:space="preserve">        image: TheiaImage = default_image
    # Attempt to load the options_str into a dict object
    try:
        resources = json.loads(resources_str)</t>
  </si>
  <si>
    <t xml:space="preserve">        return error_response("Can not parse JSON options")
    # Get the config value for if ide starts are allowed.
    theia_starts_enabled = get_config_bool("THEIA_STARTS_ENABLED", default=True)
</t>
  </si>
  <si>
    <t xml:space="preserve">        course_id=course_context.id,
        repo_url=repo_url,
        # Options
        admin=admin,
        network_locked=network_locked,</t>
  </si>
  <si>
    <t>@json_response
def admin_ide_active():
    """
    Get the list of all active Theia ides within
    the current course context.
    :return:
    """
    # Query for an active theia session within this course context</t>
  </si>
  <si>
    <t xml:space="preserve">    """
    # Query for an active theia session within this course context
    session = TheiaSession.query.filter(
        TheiaSession.active,</t>
  </si>
  <si>
    <t xml:space="preserve">    ).first()
    # If there was no session, then stop
    if session is None:
        return success_response({"session": None})</t>
  </si>
  <si>
    <t xml:space="preserve">        return success_response({"session": None})
    # Return the active session information
    return success_response(
        {</t>
  </si>
  <si>
    <t>@json_response
def admin_ide_list():
    """
    list all active ide sessions
    :return:
    """
    # Get all active sessions</t>
  </si>
  <si>
    <t xml:space="preserve">    """
    # Get all active sessions
    sessions = TheiaSession.query.filter(
        TheiaSession.active == True,</t>
  </si>
  <si>
    <t xml:space="preserve">    ).all()
    # Hand back response
    return success_response({"sessions": [session.data for session in sessions]})
</t>
  </si>
  <si>
    <t>@json_response
def admin_ide_stop_id(id: str):
    """
    Stop a specific IDE
    :return:
    """
    # Search for the theia session</t>
  </si>
  <si>
    <t xml:space="preserve">    """
    # Search for the theia session
    session = TheiaSession.query.filter(
        TheiaSession.id == id,</t>
  </si>
  <si>
    <t xml:space="preserve">    ).first()
    # Verify it exists
    req_assert(session is not None, message="session does not exist")
</t>
  </si>
  <si>
    <t xml:space="preserve">    req_assert(session is not None, message="session does not exist")
    # set all the things as stopped
    session.active = False
    session.ended = datetime.now()</t>
  </si>
  <si>
    <t xml:space="preserve">    session.state = "Ending"
    # Commit the stop
    db.session.commit()
</t>
  </si>
  <si>
    <t xml:space="preserve">    db.session.commit()
    # Enqueue the theia stop cleanup
    enqueue_ide_stop(session.id)
</t>
  </si>
  <si>
    <t xml:space="preserve">    enqueue_ide_stop(session.id)
    # Hand back response
    return success_response({"status": "Session Killed."})
</t>
  </si>
  <si>
    <t>@json_response
def private_ide_reap_all():
    """
    Enqueue a job for the rpc workers to reap all the active
    theia submissions. They will end all active sessions in the
    database, then schedule all the kube resources for deletion.
    :return:
    """
    # Send reap job to rpc cluster</t>
  </si>
  <si>
    <t xml:space="preserve">    """
    # Send reap job to rpc cluster
    rpc_enqueue(reap_theia_sessions_in_course, "theia", args=(course_context.id,))
</t>
  </si>
  <si>
    <t xml:space="preserve">    rpc_enqueue(reap_theia_sessions_in_course, "theia", args=(course_context.id,))
    # Hand back status
    return success_response({"status": "Reap job enqueued. Session cleanup will take a minute."})
</t>
  </si>
  <si>
    <t xml:space="preserve">    @json_response
    def admin_seed():
        """
        Seed debug data.
        :return:
        """
        # Only allow seed to run if in debug mode</t>
  </si>
  <si>
    <t xml:space="preserve">        """
        # Only allow seed to run if in debug mode
        req_assert(is_debug(), message="seed only enabled in debug mode")
</t>
  </si>
  <si>
    <t xml:space="preserve">        req_assert(is_debug(), message="seed only enabled in debug mode")
        # Enqueue a seed job
        enqueue_seed()
</t>
  </si>
  <si>
    <t xml:space="preserve">        enqueue_seed()
        # Return the status
        return success_response({"status": "enqueued seed"})</t>
  </si>
  <si>
    <t>@json_response
def admin_static_delete_static_id(static_id: str):
    """
    Delete a static file item.
    :param static_id:
    :return:
    """
    # Get the static file object</t>
  </si>
  <si>
    <t xml:space="preserve">    """
    # Get the static file object
    static_file = StaticFile.query.filter(StaticFile.id == static_id).first()
</t>
  </si>
  <si>
    <t xml:space="preserve">    static_file = StaticFile.query.filter(StaticFile.id == static_id).first()
    # Verify that static file exists
    req_assert(static_file is not None, message="static file does not exist")
</t>
  </si>
  <si>
    <t xml:space="preserve">    req_assert(static_file is not None, message="static file does not exist")
    # Assert that the static file is within the current course context
    assert_course_context(static_file)
</t>
  </si>
  <si>
    <t xml:space="preserve">    assert_course_context(static_file)
    # Delete the object
    db.session.delete(static_file)
</t>
  </si>
  <si>
    <t xml:space="preserve">    db.session.delete(static_file)
    # Commit the delete
    db.session.commit()
</t>
  </si>
  <si>
    <t>@json_response
def admin_static_list():
    """
    list all public blob files. Optionally specify a limit
    and an offset.
    /admin/static/list
    :return:
    """
    # Build Query. Defer the blob field so</t>
  </si>
  <si>
    <t xml:space="preserve">    """
    # Build Query. Defer the blob field so
    # it is not loaded.
    query = (
        StaticFile.query.filter(StaticFile.course_id == course_context.id)</t>
  </si>
  <si>
    <t xml:space="preserve">    )
    # Get all public static files within this course
    public_files = query.all()
</t>
  </si>
  <si>
    <t xml:space="preserve">    public_files = query.all()
    # Pass back the list of files
    return success_response({"files": [public_file.data for public_file in public_files]})
</t>
  </si>
  <si>
    <t>@json_response
def admin_static_file_upload():
    """
    Upload a new public static file. The file will immediately be
    publicly available.
    The StaticFiles are unique by the path specified by the admin. If the path
    already exists, then the file is replaced.
    :return:
    """
    blob = process_file_upload()</t>
  </si>
  <si>
    <t xml:space="preserve">    blob = process_file_upload()
    # Pass back the status
    return success_response(
        {</t>
  </si>
  <si>
    <t>@json_response
def admin_courses_list():
    """
    list the data for the current course context.
    :return:
    """
    course_data = row2dict(course_context)</t>
  </si>
  <si>
    <t xml:space="preserve">        course_data["theia_default_image"] = None
    # Return the course context broken down
    return success_response(
        {</t>
  </si>
  <si>
    <t>@json_response
def admin_courses_new():
    """
    Create a new course will placeholder
    in all the fields.
    * Requires superuser *
    :return:
    """
    # Create a new course with placeholder</t>
  </si>
  <si>
    <t xml:space="preserve">    """
    # Create a new course with placeholder
    # in all the fields.
    course = Course(
        name="placeholder",</t>
  </si>
  <si>
    <t xml:space="preserve">    )
    # Add it to the session
    db.session.add(course)
</t>
  </si>
  <si>
    <t xml:space="preserve">    db.session.add(course)
    # Commit the new Course
    db.session.commit()
</t>
  </si>
  <si>
    <t>@json_endpoint(required_fields=[("course", dict)])
def admin_courses_save_id(course: dict):
    """
    Update information about the course.
    :param course:
    :return:
    """
    # Get the course id from the posted data</t>
  </si>
  <si>
    <t xml:space="preserve">    """
    # Get the course id from the posted data
    course_id = course.get("id", None)
</t>
  </si>
  <si>
    <t xml:space="preserve">    course_id = course.get("id", None)
    # Try to get the database object corresponding to that course
    db_course: Course = Course.query.filter(Course.id == course_id).first()
</t>
  </si>
  <si>
    <t xml:space="preserve">    db_course: Course = Course.query.filter(Course.id == course_id).first()
    # Make sure we got a course
    req_assert(db_course is not None, message="course not found")
</t>
  </si>
  <si>
    <t xml:space="preserve">    req_assert(db_course is not None, message="course not found")
    # Assert that the current user is a professor or a superuser
    assert_course_superuser(course_id)
</t>
  </si>
  <si>
    <t xml:space="preserve">    assert_course_superuser(course_id)
    # Check that the join code is valid
    req_assert(
        valid_join_code(course["join_code"]),</t>
  </si>
  <si>
    <t xml:space="preserve">    )
    # Update all the items in the course with the posted data
    for column in Course.__table__.columns:
        if column.name in course:</t>
  </si>
  <si>
    <t xml:space="preserve">        db_course.theia_default_image_id = None
    # Commit the changes
    try:
        db.session.commit()</t>
  </si>
  <si>
    <t xml:space="preserve">        return error_response("Unable to save " + str(e))
    # Return the status
    return success_response({"course": db_course.data, "status": "Changes saved."})
</t>
  </si>
  <si>
    <t>@json_response
def admin_course_list_students():
    """
    list all students for the current course context.
    :return:
    """
    # Get all the students in the current course context</t>
  </si>
  <si>
    <t xml:space="preserve">    """
    # Get all the students in the current course context
    students = (
        User.query.join(InCourse)</t>
  </si>
  <si>
    <t xml:space="preserve">    )
    # Return the list of basic user information about the tas
    return success_response(
        {</t>
  </si>
  <si>
    <t>@json_response
def admin_course_list_tas():
    """
    list all TAs for the current course context.
    :return:
    """
    # Get all the TAs in the current course context</t>
  </si>
  <si>
    <t xml:space="preserve">    """
    # Get all the TAs in the current course context
    tas = (
        User.query.join(TAForCourse)</t>
  </si>
  <si>
    <t>@json_response
def admin_course_list_professors():
    """
    Get all the professors for the current course context.
    :return:
    """
    # Get all the professors within the current course context</t>
  </si>
  <si>
    <t xml:space="preserve">    """
    # Get all the professors within the current course context
    professors = (
        User.query.join(ProfessorForCourse)</t>
  </si>
  <si>
    <t xml:space="preserve">    )
    # Return the list of basic user information about the professors
    return success_response(
        {</t>
  </si>
  <si>
    <t>@json_response
def admin_course_make_student_id(user_id: str):
    """
    Make a user a professor for a course
    :param user_id:
    :return:
    """
    # Get the other user</t>
  </si>
  <si>
    <t xml:space="preserve">    """
    # Get the other user
    other = User.query.filter(User.id == user_id).first()
</t>
  </si>
  <si>
    <t xml:space="preserve">    other = User.query.filter(User.id == user_id).first()
    # Make sure they exist
    req_assert(other is not None, message="user does not exist")
</t>
  </si>
  <si>
    <t xml:space="preserve">    req_assert(other is not None, message="user does not exist")
    # Check to see if the other user is already a professor
    # for this course
    student = InCourse.query.filter(
        InCourse.owner_id == user_id,</t>
  </si>
  <si>
    <t xml:space="preserve">    ).first()
    # If they are already a professor, then stop
    req_assert(student is None, message="they are already a student")
</t>
  </si>
  <si>
    <t xml:space="preserve">    req_assert(student is None, message="they are already a student")
    # Create a new professor
    student = InCourse(
        owner_id=user_id,</t>
  </si>
  <si>
    <t xml:space="preserve">    )
    # Add and commit the change
    db.session.add(student)
    db.session.commit()</t>
  </si>
  <si>
    <t xml:space="preserve">    db.session.commit()
    # Return the status
    return success_response({"status": "Student added to course"})
</t>
  </si>
  <si>
    <t>@json_response
def admin_course_remove_student_id(user_id: str):
    """
    Remove a professor from a course.
    :param user_id:
    :return:
    """
    # Get the other user</t>
  </si>
  <si>
    <t xml:space="preserve">    other = User.query.filter(User.id == user_id).first()
    # Make sure the other user exists
    req_assert(other is not None, message="user does not exist")
</t>
  </si>
  <si>
    <t xml:space="preserve">    req_assert(other is not None, message="user does not exist")
    # Delete the professor
    InCourse.query.filter(
        InCourse.owner_id == user_id,</t>
  </si>
  <si>
    <t xml:space="preserve">    ).delete()
    # Commit the delete
    db.session.commit()
</t>
  </si>
  <si>
    <t>@json_response
def admin_course_make_ta_id(user_id: str):
    """
    Make a user a ta for the current course.
    :param user_id:
    :return:
    """
    # Get the user that will be the TA</t>
  </si>
  <si>
    <t xml:space="preserve">    """
    # Get the user that will be the TA
    other: User = User.query.filter(User.id == user_id).first()
</t>
  </si>
  <si>
    <t xml:space="preserve">    other: User = User.query.filter(User.id == user_id).first()
    # Check that the user exists
    req_assert(other is not None, message="user does not exist")
</t>
  </si>
  <si>
    <t xml:space="preserve">    req_assert(other is not None, message="user does not exist")
    # Check to see if the user is already a ta
    ta = TAForCourse.query.filter(
        TAForCourse.owner_id == user_id,</t>
  </si>
  <si>
    <t xml:space="preserve">    ).first()
    # Check that they are not already a TA
    req_assert(ta is None, message="they are already a TA")
</t>
  </si>
  <si>
    <t xml:space="preserve">    req_assert(ta is None, message="they are already a TA")
    # Make the user a TA if they are not already
    ta = TAForCourse(
        owner_id=user_id,</t>
  </si>
  <si>
    <t xml:space="preserve">    )
    # Make sure they are in the course
    in_course = InCourse.query.filter(
        InCourse.course_id == course_context.id,</t>
  </si>
  <si>
    <t xml:space="preserve">        db.session.add(in_course)
    # Add and commit the change
    db.session.add(ta)
    db.session.commit()</t>
  </si>
  <si>
    <t xml:space="preserve">    )
    # Return the status
    return success_response({"status": "TA added to course"})
</t>
  </si>
  <si>
    <t>@json_response
def admin_course_remove_ta_id(user_id: str):
    """
    Remove a TA from the current course context
    :param user_id:
    :return:
    """
    # Assert that the current user is a professor or superuser</t>
  </si>
  <si>
    <t xml:space="preserve">    """
    # Assert that the current user is a professor or superuser
    assert_course_superuser(course_context.id)
</t>
  </si>
  <si>
    <t xml:space="preserve">    assert_course_superuser(course_context.id)
    # Get the user object for the specified user
    other: User = User.query.filter(User.id == user_id).first()
</t>
  </si>
  <si>
    <t xml:space="preserve">    other: User = User.query.filter(User.id == user_id).first()
    # Make sure that the other user exists
    req_assert(other is not None, message="user does not exist")
</t>
  </si>
  <si>
    <t xml:space="preserve">    req_assert(other is not None, message="user does not exist")
    # If the other user is the current user, then stop
    if not current_user.is_superuser:
        req_assert(other.id != current_user.id, message="cannot remove yourself")</t>
  </si>
  <si>
    <t xml:space="preserve">        req_assert(other.id != current_user.id, message="cannot remove yourself")
    # Delete the TA
    TAForCourse.query.filter(
        TAForCourse.owner_id == user_id,</t>
  </si>
  <si>
    <t xml:space="preserve">    )
    # Return the status
    return success_response(
        {</t>
  </si>
  <si>
    <t>@json_response
def admin_course_make_professor_id(user_id: str):
    """
    Make a user a professor for a course
    :param user_id:
    :return:
    """
    # Get the other user</t>
  </si>
  <si>
    <t xml:space="preserve">    """
    # Get the other user
    other: User = User.query.filter(User.id == user_id).first()
</t>
  </si>
  <si>
    <t xml:space="preserve">    other: User = User.query.filter(User.id == user_id).first()
    # Make sure they exist
    req_assert(other is not None, message="user does not exist")
</t>
  </si>
  <si>
    <t xml:space="preserve">    req_assert(other is not None, message="user does not exist")
    # Check to see if the other user is already a professor
    # for this course
    prof = ProfessorForCourse.query.filter(
        ProfessorForCourse.owner_id == user_id,</t>
  </si>
  <si>
    <t xml:space="preserve">    ).first()
    # If they are already a professor, then stop
    req_assert(prof is None, message="they are already a professor")
</t>
  </si>
  <si>
    <t xml:space="preserve">    req_assert(prof is None, message="they are already a professor")
    # Create a new professor
    prof = ProfessorForCourse(
        owner_id=user_id,</t>
  </si>
  <si>
    <t xml:space="preserve">        db.session.add(in_course)
    # Add and commit the change
    db.session.add(prof)
    db.session.commit()</t>
  </si>
  <si>
    <t xml:space="preserve">    )
    # Return the status
    return success_response({"status": "Professor added to course"})
</t>
  </si>
  <si>
    <t>@json_response
def admin_course_remove_professor_id(user_id: str):
    """
    Remove a professor from a course.
    :param user_id:
    :return:
    """
    # Get the other user</t>
  </si>
  <si>
    <t xml:space="preserve">    other: User = User.query.filter(User.id == user_id).first()
    # Make sure the other user exists
    req_assert(other is not None, message="user does not exist")
</t>
  </si>
  <si>
    <t xml:space="preserve">    req_assert(other is not None, message="user does not exist")
    # Delete the professor
    ProfessorForCourse.query.filter(
        ProfessorForCourse.owner_id == user_id,</t>
  </si>
  <si>
    <t>@json_response
def public_visuals_assignment_id(assignment_id: str):
    """
    Get the admin visual data for a specific assignment.
    Currently the data passed back feeds into the radial
    and passed time scatter graphs.
    :param assignment_id:
    :return:
    """
    # Get the assignment object</t>
  </si>
  <si>
    <t xml:space="preserve">    """
    # Get the assignment object
    assignment = Assignment.query.filter(Assignment.id == assignment_id).first()
</t>
  </si>
  <si>
    <t xml:space="preserve">    assignment = Assignment.query.filter(Assignment.id == assignment_id).first()
    # If the assignment does not exist, then stop
    req_assert(assignment is not None, message="assignment does not exist")
</t>
  </si>
  <si>
    <t xml:space="preserve">    assert_course_context(assignment)
    # Generate and pass back the visual data
    return success_response({"assignment_data": get_admin_assignment_visual_data(assignment_id)})
</t>
  </si>
  <si>
    <t>@json_response
def visual_history_assignment_netid(assignment_id: str, netid: str):
    """
    Get the visual history for a specific student and assignment.
    * lightly cached per assignment and user *
    :param assignment_id:
    :param netid:
    :return:
    """
    # Get the assignment object</t>
  </si>
  <si>
    <t xml:space="preserve">    req_assert(assignment is not None, message="assignment does not exist")
    # Get the student
    student = User.query.filter(User.netid == netid).first()
</t>
  </si>
  <si>
    <t xml:space="preserve">    student = User.query.filter(User.netid == netid).first()
    # Make sure that the student exists
    req_assert(student is not None, message="user does not exist")
</t>
  </si>
  <si>
    <t xml:space="preserve">    req_assert(student is not None, message="user does not exist")
    # Assert that both the course and the assignment are
    # within the view of the current admin.
    assert_course_context(student, assignment)
</t>
  </si>
  <si>
    <t xml:space="preserve">    assert_course_context(student, assignment)
    # Get tha cached assignment history
    return success_response(get_assignment_history(assignment.id, student.netid))
</t>
  </si>
  <si>
    <t>@json_response
def visual_sundial_assignment(assignment_id: str):
    """
    Get the summary sundial data for an assignment. This endpoint
    is ridiculously IO intensive.
    * heavily cached *
    :param assignment_id:
    :return:
    """
    # Get the assignment object
    assignment = Assignment.query.filter(Assignment.id == assignment_id).first()</t>
  </si>
  <si>
    <t xml:space="preserve">    :return:
    """
    # Get the assignment object
    assignment = Assignment.query.filter(Assignment.id == assignment_id).first()
</t>
  </si>
  <si>
    <t xml:space="preserve">    req_assert(assignment is not None, message="assignment does not exist")
    # Assert that the assignment is within the view of
    # the current admin.
    assert_course_context(assignment)
</t>
  </si>
  <si>
    <t xml:space="preserve">    assert_course_context(assignment)
    # Pull the (maybe cached) sundial data
    return success_response({"sundial": get_assignment_sundial(assignment.id)})</t>
  </si>
  <si>
    <t>@json_response
def private_dangling():
    """
    This route should hand back a json list of all submissions that are dangling.
    Dangling being that we have no netid to match to the github username that
    submitted the assignment.
    :return:
    """
    # Pull all the dandling submissions</t>
  </si>
  <si>
    <t xml:space="preserve">    """
    # Pull all the dandling submissions
    dangling_ = Submission.query.filter(
        Submission.owner_id == None,</t>
  </si>
  <si>
    <t xml:space="preserve">    ).all()
    # Get the data response for the dangling submissions
    dangling_ = [a.data for a in dangling_]
</t>
  </si>
  <si>
    <t xml:space="preserve">    dangling_ = [a.data for a in dangling_]
    # Pass back all the dangling submissions
    return success_response({"count": len(dangling_), "dangling": dangling_})
</t>
  </si>
  <si>
    <t>@json_response
def private_reset_dangling():
    """
    Reset all the submission that are dangling
    :return:
    """
    # Build a list of all the reset submissions</t>
  </si>
  <si>
    <t xml:space="preserve">    """
    # Build a list of all the reset submissions
    resets = []
</t>
  </si>
  <si>
    <t xml:space="preserve">    resets = []
    # Iterate over all the dangling submissions
    for submission in Submission.query.filter_by(owner_id=None).all():
        # Reset the submission models</t>
  </si>
  <si>
    <t xml:space="preserve">    # Iterate over all the dangling submissions
    for submission in Submission.query.filter_by(owner_id=None).all():
        # Reset the submission models
        init_submission(submission)
</t>
  </si>
  <si>
    <t xml:space="preserve">        init_submission(submission)
        # Append the new dangling submission data for the response
        resets.append(submission.data)
</t>
  </si>
  <si>
    <t xml:space="preserve">        resets.append(submission.data)
    # Return all the reset submissions
    return success_response({"reset": resets})
</t>
  </si>
  <si>
    <t>@json_response
def admin_student_list_basic():
    """
    list the most basic information about all the students
    within the Anubis system.
    :return:
    """
    # Get all users</t>
  </si>
  <si>
    <t xml:space="preserve">    """
    # Get all users
    students: list[User] = User.query.all()
</t>
  </si>
  <si>
    <t xml:space="preserve">    students: list[User] = User.query.all()
    # Return their id and netid
    return success_response({"users": [{"id": user.id, "netid": user.netid, "name": user.name} for user in students]})
</t>
  </si>
  <si>
    <t>@json_response
def admin_students_list():
    """
    list all users within the current course context
    :return:
    """
    # Get all students within the current course context</t>
  </si>
  <si>
    <t xml:space="preserve">    """
    # Get all students within the current course context
    students = get_students(course_context.id)
</t>
  </si>
  <si>
    <t xml:space="preserve">    students = get_students(course_context.id)
    # Pass back the students
    return success_response({"students": students})
</t>
  </si>
  <si>
    <t>@json_response
def admin_students_info_id(id: str):
    """
    Get basic information about a specific student by id.
    :param id:
    :return:
    """
    # Get the student object</t>
  </si>
  <si>
    <t xml:space="preserve">    """
    # Get the student object
    student = User.query.filter(
        User.id == id,</t>
  </si>
  <si>
    <t xml:space="preserve">    ).first()
    # Check if student exists
    req_assert(student is not None, message="student does not exist")
</t>
  </si>
  <si>
    <t xml:space="preserve">    req_assert(student is not None, message="student does not exist")
    # Assert that the student is within the current course context
    assert_course_context(student)
</t>
  </si>
  <si>
    <t xml:space="preserve">    assert_course_context(student)
    # Get courses student is in
    in_courses = InCourse.query.filter(
        InCourse.owner_id == student.id,</t>
  </si>
  <si>
    <t xml:space="preserve">    ).all()
    # Get a list of all the course ids
    course_ids = list(map(lambda x: x.course_id, in_courses))
</t>
  </si>
  <si>
    <t xml:space="preserve">    course_ids = list(map(lambda x: x.course_id, in_courses))
    # Get the course objects
    courses = Course.query.filter(Course.id.in_(course_ids)).all()
</t>
  </si>
  <si>
    <t xml:space="preserve">    recent_theia = get_recent_sessions(student.id)
    # Pass back the student and course information
    return success_response(
        {</t>
  </si>
  <si>
    <t>@json_response
def admin_students_submissions_id(id: str):
    """
    Get some number of submissions for a specific user within
    the course context.
    use limit and offset parameters to view submission window
    :param id:
    :return:
    """
    # Get an optional limit and offset for query</t>
  </si>
  <si>
    <t xml:space="preserve">    """
    # Get an optional limit and offset for query
    limit = get_number_arg("limit", 50)
    offset = get_number_arg("offset", 0)</t>
  </si>
  <si>
    <t xml:space="preserve">    offset = get_number_arg("offset", 0)
    # Get the user object
    student = User.query.filter(User.id == id).first()
</t>
  </si>
  <si>
    <t xml:space="preserve">    student = User.query.filter(User.id == id).first()
    # Check if student exists
    req_assert(student is not None, message="student does not exist")
</t>
  </si>
  <si>
    <t xml:space="preserve">    req_assert(student is not None, message="student does not exist")
    # Get n most recent submissions from the user
    submissions = (
        Submission.query.join(Assignment)</t>
  </si>
  <si>
    <t xml:space="preserve">    )
    # Pass back the student and submission information
    return success_response(
        {</t>
  </si>
  <si>
    <t>@json_endpoint([("name", str), ("github_username", str)], only_required=True)
def admin_students_update_id(id: str, name: str = None, github_username: str = None):
    """
    Update either the name of github username of a student.
    The student must be within the current course context, and the
    user making the change must be a professor or superuser.
    :param id:
    :param name:
    :param github_username:
    :return:
    """
    # Assert that the current user is a professor</t>
  </si>
  <si>
    <t xml:space="preserve">    """
    # Assert that the current user is a professor
    # or superuser in the course context
    assert_course_superuser(course_context.id)
</t>
  </si>
  <si>
    <t xml:space="preserve">    assert_course_superuser(course_context.id)
    # Get the current user
    user = current_user
</t>
  </si>
  <si>
    <t xml:space="preserve">    user = current_user
    # Get the student object
    student = User.query.filter(User.id == id).first()
</t>
  </si>
  <si>
    <t xml:space="preserve">    req_assert(student is not None, message="student does not exist")
    # If the student is a superuser, then stop
    req_assert(
        not (student.is_superuser and not user.is_superuser),</t>
  </si>
  <si>
    <t xml:space="preserve">    )
    # Make sure that the student is within the course context
    in_course = InCourse.query.filter(
        InCourse.owner_id == student.id,</t>
  </si>
  <si>
    <t xml:space="preserve">    ).first()
    # Verify that the student is in the context
    req_assert(in_course is not None, message="cannot edit outside your course context")
</t>
  </si>
  <si>
    <t xml:space="preserve">    req_assert(in_course is not None, message="cannot edit outside your course context")
    # Update fields
    student.name = name
    student.github_username = github_username</t>
  </si>
  <si>
    <t xml:space="preserve">    student.github_username = github_username
    # Commit changes
    db.session.add(student)
    db.session.commit()</t>
  </si>
  <si>
    <t xml:space="preserve">    db.session.commit()
    # Pass back the status
    return success_response({"status": "saved"})</t>
  </si>
  <si>
    <t>@json_response
def admin_autograde_cache_reset(assignment_id: str):
    """
    Clear the autograde cache for a specific assignment.
    :param assignment_id:
    :return:
    """
    # Pull the assignment object
    assignment = Assignment.query.filter(Assignment.id == assignment_id).first()</t>
  </si>
  <si>
    <t xml:space="preserve">    :return:
    """
    # Pull the assignment object
    assignment = Assignment.query.filter(Assignment.id == assignment_id).first()
</t>
  </si>
  <si>
    <t xml:space="preserve">    req_assert(assignment is not None, message="assignment does not exist")
    # Verify that the current course context, and the assignment course match
    assert_course_context(assignment)
</t>
  </si>
  <si>
    <t>@json_response
def admin_autograde_run_assignment_id(assignment_id: str):
    """
    :param assignment_id:
    :return:
    """
    # Pull the assignment object</t>
  </si>
  <si>
    <t xml:space="preserve">    """
    # Pull the assignment object
    assignment = Assignment.query.filter(Assignment.id == assignment_id).first()
</t>
  </si>
  <si>
    <t xml:space="preserve">    assert_course_context(assignment)
    # Enqueue regrade to be run in rpc worker
    enqueue_bulk_autograde(assignment.id)
</t>
  </si>
  <si>
    <t>@json_response
def admin_autograde_assignment_assignment_id(assignment_id):
    """
    Calculate result statistics for an assignment. This endpoint is
    potentially very IO and computationally expensive. We basically
    need to load the entire submission history out of the database
    for the given assignment, then do calculations per user. For
    this reason, much of the individual computations here are quite
    heavily cached.
    * Due to how heavily cached the stats calculations are, once cached
    they will not be updated until there is a cache bust after the
    timeout. *
    :param assignment_id:
    :return:
    """
    # Pull the assignment object</t>
  </si>
  <si>
    <t xml:space="preserve">    assert_course_context(assignment)
    # Get the (possibly cached) autograde calculations
    bests = bulk_autograde(assignment_id, limit=None, offset=None)
    total = (</t>
  </si>
  <si>
    <t xml:space="preserve">    )
    # Pass back the results
    return success_response({"stats": bests, "total": total})
</t>
  </si>
  <si>
    <t>@json_response
def admin_autograde_for_assignment_id_user_id(assignment_id, user_id):
    """
    Get the autograde results for a specific assignment and user.
    :param assignment_id:
    :param user_id:
    :return:
    """
    force = request.args.get("force", default="no") != "no"</t>
  </si>
  <si>
    <t xml:space="preserve">    force = request.args.get("force", default="no") != "no"
    # Pull the assignment object
    assignment = Assignment.query.filter(or_(Assignment.id == assignment_id, Assignment.name == assignment_id)).first()
</t>
  </si>
  <si>
    <t xml:space="preserve">    assignment = Assignment.query.filter(or_(Assignment.id == assignment_id, Assignment.name == assignment_id)).first()
    # Verify that we got an assignment
    req_assert(assignment is not None, "assignment does not exist")
</t>
  </si>
  <si>
    <t xml:space="preserve">    req_assert(assignment is not None, "assignment does not exist")
    # Pull the student user object
    student = User.query.filter(or_(User.id == user_id, User.netid == user_id)).first()
</t>
  </si>
  <si>
    <t xml:space="preserve">    student = User.query.filter(or_(User.id == user_id, User.netid == user_id)).first()
    # Verify that the current course context, and the assignment course match
    assert_course_context(assignment, student)
</t>
  </si>
  <si>
    <t xml:space="preserve">    assert_course_context(assignment, student)
    # Assert that the student does not exist
    req_assert(student is not None, message="student does not exist")
</t>
  </si>
  <si>
    <t xml:space="preserve">    req_assert(student is not None, message="student does not exist")
    # If force load, then skip any caching
    if force:
        cache.delete_memoized(autograde, student.id, assignment.id)</t>
  </si>
  <si>
    <t xml:space="preserve">        cache.delete_memoized(autograde, student.id, assignment.id)
    # Calculate the best submission for this student and assignment
    submission_id = autograde(student.id, assignment.id)
</t>
  </si>
  <si>
    <t xml:space="preserve">    submission_id = autograde(student.id, assignment.id)
    # Pass back the
    return success_response(
        {</t>
  </si>
  <si>
    <t>@json_response
def private_submission_stats_id(assignment_id: str, netid: str):
    """
    Get absolutely everything we have for specific submission.
    * This is can be a lot of data *
    :param assignment_id:
    :param netid:
    :return:
    """
    # Get the user matching the specified netid</t>
  </si>
  <si>
    <t xml:space="preserve">    """
    # Get the user matching the specified netid
    student = User.query.filter(User.netid == netid).first()
</t>
  </si>
  <si>
    <t xml:space="preserve">    student = User.query.filter(User.netid == netid).first()
    # Make sure the user exists
    req_assert(student is not None, message="user does not exist")
</t>
  </si>
  <si>
    <t xml:space="preserve">    req_assert(student is not None, message="user does not exist")
    # Pull the assignment object
    assignment = Assignment.query.filter(Assignment.id == assignment_id).first()
</t>
  </si>
  <si>
    <t xml:space="preserve">    req_assert(assignment is not None, message="assignment does not exist")
    # Verify that the current course context, and the assignment course match
    assert_course_context(assignment, student)
</t>
  </si>
  <si>
    <t xml:space="preserve">    assert_course_context(assignment, student)
    # Calculate the best submission
    submission_id = autograde(student.id, assignment.id)
</t>
  </si>
  <si>
    <t xml:space="preserve">    submission_id = autograde(student.id, assignment.id)
    # set the default for the full_data of the submission
    submission_full_data = None
</t>
  </si>
  <si>
    <t xml:space="preserve">    submission_full_data = None
    # Get the submission full_data if there was a best submission
    if submission_id is not None:
        # Pull the submission</t>
  </si>
  <si>
    <t xml:space="preserve">    # Get the submission full_data if there was a best submission
    if submission_id is not None:
        # Pull the submission
        submission = Submission.query.filter(Submission.id == submission_id).first()
</t>
  </si>
  <si>
    <t xml:space="preserve">        submission = Submission.query.filter(Submission.id == submission_id).first()
        # Get the full picture of the submission
        submission_full_data = submission.admin_data
</t>
  </si>
  <si>
    <t xml:space="preserve">        submission_full_data = submission.admin_data
    # Pass back the full, unobstructed view of the student,
    # assignment, question assignments, and submission data
    return success_response(
        {</t>
  </si>
  <si>
    <t xml:space="preserve">        return 'Error', 400
    # Make the response depending on if a next_url was specified
    r = make_response(redirect(next_url))
</t>
  </si>
  <si>
    <t xml:space="preserve">    r = make_response(redirect(next_url))
    # set the token cookie
    r.set_cookie("token", token, httponly=True)
</t>
  </si>
  <si>
    <t>@nyu_oauth_.route("/oauth")
def public_oauth():
    """
    This is the endpoint NYU oauth sends the user to after
    authentication. Here we need to verify the oauth response,
    and log them in on our side.
    There is a bit of extra work if they are a new user. When a new
    user signs in, we create their user object in the database.
    :return:
    """
    # Get the next url if it was specified.</t>
  </si>
  <si>
    <t xml:space="preserve">    """
    # Get the next url if it was specified.
    next_url = "/playgrounds"
</t>
  </si>
  <si>
    <t xml:space="preserve">    next_url = "/playgrounds"
    # Get the authorized response from NYU oauth
    resp = nyu_provider.authorized_response()
    if resp is None or "access_token" not in resp:</t>
  </si>
  <si>
    <t xml:space="preserve">        return "Access Denied"
    # This is the data we get from NYU's oauth. It has basic information
    # on who is logging in
    user_data = nyu_provider.get("userinfo?schema=openid", token=(resp["access_token"],))
</t>
  </si>
  <si>
    <t xml:space="preserve">    user_data = nyu_provider.get("userinfo?schema=openid", token=(resp["access_token"],))
    # Load the netid name from the response
    netid = user_data.data["netid"]
    firstname = user_data.data["firstname"]</t>
  </si>
  <si>
    <t xml:space="preserve">    name = f"{firstname} {lastname}".strip()
    # Check to see if user already exists
    user = User.query.filter(User.netid == netid).first()
</t>
  </si>
  <si>
    <t xml:space="preserve">    user = User.query.filter(User.netid == netid).first()
    # Create the user if they do not already exist
    if user is None:
        user = User(netid=netid, name=name)</t>
  </si>
  <si>
    <t xml:space="preserve">        db.session.commit()
    # If their github username is not set, send them to
    # the profile page
    if user.github_username is None:
        next_url = "/profile"</t>
  </si>
  <si>
    <t xml:space="preserve">        next_url = "/profile"
    # Make the response depending on if a next_url was specified
    token = create_token(user.netid)
    r = make_response(redirect(urlunparse((</t>
  </si>
  <si>
    <t>@require_user()
def public_github_oauth():
    """
    This is the endpoint Github OAuth sends the user to after
    authentication. Here we need to verify the oauth response,
    and update user's Github username to the database.
    :return:
    """
    # Get the next url if it was specified.</t>
  </si>
  <si>
    <t xml:space="preserve">    """
    # Get the next url if it was specified.
    next_url = "/profile"
</t>
  </si>
  <si>
    <t xml:space="preserve">    next_url = "/profile"
    # Get the authorized response from Github OAuth
    resp = github_provider.authorized_response()
    if resp is None or "access_token" not in resp:</t>
  </si>
  <si>
    <t xml:space="preserve">        return "Access Denied"
    # setup headers and url
    github_api_headers = {
        "authorization": "bearer " + resp["access_token"],</t>
  </si>
  <si>
    <t xml:space="preserve">
    try:
        # Request Github User API
        github_user_info = requests.get(
            github_api_url,</t>
  </si>
  <si>
    <t xml:space="preserve">        ).json()
        # set github username and commit
        current_user.github_username = github_user_info["login"].strip()
        db.session.add(current_user)</t>
  </si>
  <si>
    <t xml:space="preserve">        db.session.commit()
        # Notify them with status
        return redirect(next_url)
    except:</t>
  </si>
  <si>
    <t>@auth_.route("/whoami")
def public_whoami():
    """
    Figure out who you are
    :return:
    """
    # When the current_user is None (ie no one is logged in)</t>
  </si>
  <si>
    <t xml:space="preserve">    """
    # When the current_user is None (ie no one is logged in)
    # just pass back Nones.
    if get_current_user() is None:
        return success_response({</t>
  </si>
  <si>
    <t>@memes.route("/")
def public_memes():
    """
    There are a couple of places on the front end that have
    hidden rick rolls. They link to this endpoint where they will
    be redirected to the youtube rick roll video.
    :return:
    """
    # Log the rick roll</t>
  </si>
  <si>
    <t xml:space="preserve">    """
    # Log the rick roll
    logger.info("rick-roll")
</t>
  </si>
  <si>
    <t xml:space="preserve">    logger.info("rick-roll")
    # Redirect them to the rick roll video
    return redirect("https://www.youtube.com/watch?v=dQw4w9WgXcQ&amp;autoplay=1")</t>
  </si>
  <si>
    <t xml:space="preserve">
def webhook_log_msg() -&gt; Union[str, None]:
    """
    Log message for the webhook. We log the
    :return:
    """
    # Get the content type from the headers</t>
  </si>
  <si>
    <t xml:space="preserve">    """
    # Get the content type from the headers
    content_type = request.headers.get("Content-Type", None)
</t>
  </si>
  <si>
    <t xml:space="preserve">    content_type = request.headers.get("Content-Type", None)
    # Get the github event header
    x_github_event = request.headers.get("X-GitHub-Event", None)
</t>
  </si>
  <si>
    <t xml:space="preserve">    x_github_event = request.headers.get("X-GitHub-Event", None)
    # If the content type is json, and the github event was a push,
    # then log the repository name
    if content_type == "application/json" and x_github_event == "push":
        return request.json.get("repository", {}).get("name", None)</t>
  </si>
  <si>
    <t>@json_response
def public_webhook():
    """
    This route should be hit by the github when a push happens.
    We should take the the github repo url and enqueue it as a job.
    :return:
    """
    content_type = request.headers.get("Content-Type", None)</t>
  </si>
  <si>
    <t xml:space="preserve">    x_github_event = request.headers.get("X-GitHub-Event", None)
    # Verify some expected headers
    req_assert(
        content_type == "application/json" and x_github_event == "push",</t>
  </si>
  <si>
    <t xml:space="preserve">    )
    # Load the basics from the webhook
    repo_url, repo_name, pusher_username, commit, before, ref = parse_webhook(request.json)
</t>
  </si>
  <si>
    <t xml:space="preserve">    repo_url, repo_name, pusher_username, commit, before, ref = parse_webhook(request.json)
    # Attempt to find records for the relevant models
    assignment = Assignment.query.filter(Assignment.unique_code.in_(repo_name.split("-"))).first()
</t>
  </si>
  <si>
    <t xml:space="preserve">    assignment = Assignment.query.filter(Assignment.unique_code.in_(repo_name.split("-"))).first()
    # Verify that we can match this push to an assignment
    req_assert(assignment is not None, message="assignment not found", status_code=406)
</t>
  </si>
  <si>
    <t xml:space="preserve">    req_assert(assignment is not None, message="assignment not found", status_code=406)
    # Get github username from the repository name
    user, netid = guess_github_repo_owner(assignment, repo_name)
</t>
  </si>
  <si>
    <t xml:space="preserve">    user, netid = guess_github_repo_owner(assignment, repo_name)
    # The before Hash will be all 0s on for the first hash.
    # We will want to ignore both this first push (the initialization of the repo)
    # and all branches that are not master.
    if before == "0000000000000000000000000000000000000000":
        # Record that a new repo was created (and therefore, someone just</t>
  </si>
  <si>
    <t xml:space="preserve">    # and all branches that are not master.
    if before == "0000000000000000000000000000000000000000":
        # Record that a new repo was created (and therefore, someone just
        # started their assignment)
        logger.debug(
            "new student repo ",</t>
  </si>
  <si>
    <t xml:space="preserve">    org_name = assignment.course.github_org
    if not is_debug() and org_name is not None and org_name != "":
        # Make sure that the repo we're about to process actually belongs to
        # a github organization that matches the course.
        if not repo_url.startswith(f"https://github.com/{org_name}"):
            logger.error(</t>
  </si>
  <si>
    <t xml:space="preserve">            return error_response("invalid repo"), 406
    # if we dont have a record of the repo, then add it
    if repo is None:
        repo = check_repo(assignment, repo_url, user, netid)</t>
  </si>
  <si>
    <t xml:space="preserve">    )
    # Try to find a submission matching the commit
    submission = Submission.query.filter_by(commit=commit).first()
</t>
  </si>
  <si>
    <t xml:space="preserve">    submission = Submission.query.filter_by(commit=commit).first()
    # If the submission does not exist, then create one
    if submission is None:
        # Create a shiny new submission</t>
  </si>
  <si>
    <t xml:space="preserve">    # If the submission does not exist, then create one
    if submission is None:
        # Create a shiny new submission
        submission = Submission(
            assignment=assignment,</t>
  </si>
  <si>
    <t xml:space="preserve">        db.session.commit()
    # If the submission did already exist, then we can just pass
    # back that status
    elif submission.created &lt; datetime.now() - timedelta(minutes=3):
        return success_response({"status": "already created"})</t>
  </si>
  <si>
    <t xml:space="preserve">        return success_response({"status": "already created"})
    # Create the related submission models
    init_submission(submission)
</t>
  </si>
  <si>
    <t xml:space="preserve">    init_submission(submission)
    # If a user has not given us their github username
    # the submission will stay in a "dangling" state
    req_assert(user is not None, message="dangling submission")
</t>
  </si>
  <si>
    <t xml:space="preserve">    req_assert(user is not None, message="dangling submission")
    # If the github username is not found, create a dangling submission
    if assignment.autograde_enabled:
</t>
  </si>
  <si>
    <t xml:space="preserve">    if assignment.autograde_enabled:
        # Check that the current assignment is still accepting submissions
        if not assignment.accept_late and datetime.now() &lt; get_assignment_due_date(user, assignment, grace=True):
            reject_late_submission(submission)</t>
  </si>
  <si>
    <t xml:space="preserve">    db.session.commit()
    # If the submission was accepted, then enqueue the job
    if submission.accepted and user is not None:
        enqueue_autograde_pipeline(submission.id)</t>
  </si>
  <si>
    <t xml:space="preserve">        enqueue_autograde_pipeline(submission.id)
    # Delete cached submissions
    cache.delete_memoized(get_submissions, user.netid)
    cache.delete_memoized(get_submissions, user.netid, assignment.course_id)</t>
  </si>
  <si>
    <t>@json_response
def public_set_github_username():
    """
    Let the user set their github username with
    this endpoint. Some things to consider is
    making sure that the github username they
    give us has not already been taken.
    :return:
    """
    # Read the github username from the http query</t>
  </si>
  <si>
    <t xml:space="preserve">    """
    # Read the github username from the http query
    github_username = request.args.get("github_username", default=None)
</t>
  </si>
  <si>
    <t xml:space="preserve">    github_username = request.args.get("github_username", default=None)
    # Verify that a github username was given to us
    req_assert(github_username is not None, message="missing github_username")
</t>
  </si>
  <si>
    <t xml:space="preserve">    req_assert(github_username is not None, message="missing github_username")
    # Take of any whitespace that may be in the github username
    github_username = github_username.strip()
</t>
  </si>
  <si>
    <t xml:space="preserve">    github_username = github_username.strip()
    # Make sure it is not an empty string
    req_assert(len(github_username) &gt; 0, message="Please provide at least one character")
</t>
  </si>
  <si>
    <t xml:space="preserve">    req_assert(len(github_username) &gt; 0, message="Please provide at least one character")
    # Make sure it is not too long
    req_assert(len(github_username) &lt; 512, message="Please provide less than 512 characters")
</t>
  </si>
  <si>
    <t xml:space="preserve">    req_assert(len(github_username) &lt; 512, message="Please provide less than 512 characters")
    # Check to see if there is any whitespace in the username
    req_assert(
        all(i not in string.whitespace for i in github_username),</t>
  </si>
  <si>
    <t xml:space="preserve">    )
    # Do some very basic checks on the github username they
    # gave us. We check to see that all the characters are
    # either ascii letters, digits, underscores or hyphen.
    #
    # We also check that their username did not start with
    # hyphens. This check is very simple, and may not cover
    # all the allowed rules that github puts on their
    # username.
    req_assert(
        all(i in (string.ascii_letters + string.digits + "-_") for i in github_username),</t>
  </si>
  <si>
    <t xml:space="preserve">    )
    # Check to see if the github username they gave us belongs to
    # someone else in the system.
    other = User.query.filter(User.id != current_user.id, User.github_username == github_username).first()
</t>
  </si>
  <si>
    <t xml:space="preserve">    other = User.query.filter(User.id != current_user.id, User.github_username == github_username).first()
    # If there is someone else in anubis that has that username,
    # then we should give back an error
    req_assert(other is None, message="That github username is already taken!")
</t>
  </si>
  <si>
    <t xml:space="preserve">    req_assert(other is None, message="That github username is already taken!")
    # If all the tests and checks pass, then we can update their github username
    current_user.github_username = github_username
</t>
  </si>
  <si>
    <t xml:space="preserve">    current_user.github_username = github_username
    # Then commit the change
    db.session.add(current_user)
    db.session.commit()</t>
  </si>
  <si>
    <t xml:space="preserve">    db.session.commit()
    # And give back the new github username as the response
    return success_response(github_username)
</t>
  </si>
  <si>
    <t>@json_response
def public_profile_delete_pvc():
    """
    Endpoint for a user to use when they want to reset their pvc.
    The method required to hit this is "delete", so it cannot be
    hit accidentally as easy.
    :return:
    """
    # Enqueue reap job</t>
  </si>
  <si>
    <t xml:space="preserve">    """
    # Enqueue reap job
    enqueue_reap_pvc_user(current_user.id)
</t>
  </si>
  <si>
    <t xml:space="preserve">    enqueue_reap_pvc_user(current_user.id)
    # Pass back status
    return success_response({
        'status': 'Volume delete scheduled',</t>
  </si>
  <si>
    <t>@json_response
def public_assignment_questions_id(assignment: Assignment):
    """
    Get assigned questions for the current user for a given assignment.
    :param assignment:
    :return:
    """
    return success_response({"questions": get_assigned_questions(assignment.id, current_user.id)})</t>
  </si>
  <si>
    <t>@json_endpoint(required_fields=[("questions", list)])
def public_questions_save(assignment_id: str, questions: list):
    """
    Save the response for an assigned question.
    body = {
      response: str
    }
    :param questions:
    :return:
    """
    assignment: Assignment = Assignment.query.filter(</t>
  </si>
  <si>
    <t xml:space="preserve">    req_assert(assignment, message='Assignment does not exist')
    # If the assignment is set to not accept late submissions,
    # then we need to do a quick check to make sure they are submitting
    # on time.
    if not assignment.accept_late:
        # Calculate now</t>
  </si>
  <si>
    <t xml:space="preserve">    # on time.
    if not assignment.accept_late:
        # Calculate now
        now = datetime.now()
</t>
  </si>
  <si>
    <t xml:space="preserve">        now = datetime.now()
        # Calculate the assignment due date for this student
        due_date = get_assignment_due_date(current_user.id, assignment.id, grace=True)
</t>
  </si>
  <si>
    <t xml:space="preserve">        due_date = get_assignment_due_date(current_user.id, assignment.id, grace=True)
        # Make sure that the deadline has not passed. If it has, then
        # we should give them an error saying that they can request a
        # regrade from the Professor.
        req_assert(now &lt; due_date, message="This assignment does not accept late submissions.")
</t>
  </si>
  <si>
    <t xml:space="preserve">        response = question['response'].get('text', '')
        # Skip if there is no response data
        if not response:
            continue</t>
  </si>
  <si>
    <t xml:space="preserve">            continue
        # Try to find the assigned question
        for _assigned_question in assigned_questions:
            if _assigned_question.id == assignment_question_id:</t>
  </si>
  <si>
    <t xml:space="preserve">            continue
        # Verify that the response is a string object
        req_assert(isinstance(response, str), message="response must be a string")
</t>
  </si>
  <si>
    <t xml:space="preserve">        req_assert(isinstance(response, str), message="response must be a string")
        # Skip creating a new response if it matches the last one
        skip = False
        for last_response in last_responses:</t>
  </si>
  <si>
    <t xml:space="preserve">            continue
        # Create a new response
        res = AssignedQuestionResponse(assigned_question_id=assigned_question.id, response=response)
</t>
  </si>
  <si>
    <t xml:space="preserve">        res = AssignedQuestionResponse(assigned_question_id=assigned_question.id, response=response)
        # Add the response to the session
        db.session.add(res)
</t>
  </si>
  <si>
    <t xml:space="preserve">
    try:
        # Try to commit the response
        db.session.commit()
    except (IntegrityError, DataError):</t>
  </si>
  <si>
    <t xml:space="preserve">        db.session.commit()
    except (IntegrityError, DataError):
        # If the response they gave was too long then a DataError will
        # be raised. The max length for the mariadb TEXT type is something
        # like 2^16 characters. If they hit this limit, then they are doing
        # something wrong.
        return error_response("Server was unable to save your response.")
</t>
  </si>
  <si>
    <t>@json_response
def public_static_lectures_list():
    """
    list all lecture notes for the course
    /public/lectures/list
    :return:
    """
    # Get optional class filter from get query</t>
  </si>
  <si>
    <t xml:space="preserve">    """
    # Get optional class filter from get query
    course_id = request.args.get("courseId", default=None)
</t>
  </si>
  <si>
    <t xml:space="preserve">    course_id = request.args.get("courseId", default=None)
    # Get all public static files within this course
    lectures_data = get_lecture_notes(current_user.id, course_id)
</t>
  </si>
  <si>
    <t xml:space="preserve">    lectures_data = get_lecture_notes(current_user.id, course_id)
    # Pass back the list of files
    return success_response({"lectures": lectures_data})</t>
  </si>
  <si>
    <t>@json_response
def public_assignments():
    """
    Get all the assignments for a user. Optionally specify a class
    name as a get query.
    /api/public/assignments?class=Intro to OS
    :return: { "assignments": [ assignment.data ] }
    """
    # Get optional class filter from get query</t>
  </si>
  <si>
    <t xml:space="preserve">    course_id = request.args.get("courseId", default=None)
    # Get (possibly cached) assignment data
    assignment_data = get_assignments(current_user.netid, course_id)
</t>
  </si>
  <si>
    <t xml:space="preserve">    assignment_data = get_assignments(current_user.netid, course_id)
    # Iterate over assignments, getting their data
    return success_response({"assignments": assignment_data})
</t>
  </si>
  <si>
    <t>@json_response
def public_assignment_get(assignment_id: str):
    """
    Get a specific assignment spec
    :param assignment_id:
    :return:
    """
    return success_response({</t>
  </si>
  <si>
    <t>@json_response
def public_repos_list():
    """
    Get all unique repos for a user
    :return:
    """
    # Get all repos for the user</t>
  </si>
  <si>
    <t xml:space="preserve">    """
    # Get all repos for the user
    repos = get_repos(current_user.id)
</t>
  </si>
  <si>
    <t xml:space="preserve">    repos = get_repos(current_user.id)
    # Pass them back
    return success_response({"repos": repos})
</t>
  </si>
  <si>
    <t>@json_response
def public_repos_get(assignment_id: str):
    """
    Get all unique repos for a user
    :return:
    """
    assignment: Assignment = Assignment.query.filter(</t>
  </si>
  <si>
    <t xml:space="preserve">    ).first()
    # Verify assignment exists
    req_assert(assignment is not None, message="Assignment does not exist")
</t>
  </si>
  <si>
    <t xml:space="preserve">    req_assert(assignment is not None, message="Assignment does not exist")
    # If it has not been released, make sure the current user is an admin
    if assignment.release_date &gt; datetime.now():
        req_assert(</t>
  </si>
  <si>
    <t xml:space="preserve">        })
    # Pass them back
    return success_response({
        "repo": repo.data,</t>
  </si>
  <si>
    <t>@json_response
def public_repos_create(assignment_id: str):
    """
    Get all unique repos for a user
    :return:
    """
    if current_user.github_username == "" or current_user.github_username is None:</t>
  </si>
  <si>
    <t xml:space="preserve">    repo, errors = create_assignment_student_repo(current_user, assignment)
    # Clear cache entry
    cache.delete_memoized(get_assignment_data, current_user.id, assignment_id)
</t>
  </si>
  <si>
    <t xml:space="preserve">        })
    # Pass them back
    return success_response({"repo": repo.data})
</t>
  </si>
  <si>
    <t>@json_response
def public_repos_delete(assignment_id: str):
    """
    Get all unique repos for a user
    :return:
    """
    if current_user.github_username == "" or current_user.github_username is None:</t>
  </si>
  <si>
    <t xml:space="preserve">        )
    # Get the repo from db
    repo: AssignmentRepo = AssignmentRepo.query.filter(
        AssignmentRepo.assignment_id == assignment.id,</t>
  </si>
  <si>
    <t xml:space="preserve">    ).first()
    # Make sure the repo exists
    req_assert(repo is not None, message="Repo does not exist")
</t>
  </si>
  <si>
    <t xml:space="preserve">    req_assert(repo is not None, message="Repo does not exist")
    # If the repo is shared, then student can not delete
    req_assert(not repo.shared, message="Repo is shared. Please reach out to Anubis support to delete/reset this repo.")
</t>
  </si>
  <si>
    <t xml:space="preserve">    req_assert(not repo.shared, message="Repo is shared. Please reach out to Anubis support to delete/reset this repo.")
    # Delete the repo
    delete_assignment_repo(current_user, assignment)
</t>
  </si>
  <si>
    <t xml:space="preserve">    delete_assignment_repo(current_user, assignment)
    # Delete cache entry
    cache.delete_memoized(get_repos, current_user.id)
</t>
  </si>
  <si>
    <t xml:space="preserve">    cache.delete_memoized(get_repos, current_user.id)
    # Clear cache entry
    cache.delete_memoized(get_assignment_data, current_user.id, assignment_id)
</t>
  </si>
  <si>
    <t xml:space="preserve">    cache.delete_memoized(get_assignment_data, current_user.id, assignment_id)
    # Pass them back
    return success_response({"status": "Github Repo &amp; Submissions deleted"})</t>
  </si>
  <si>
    <t>@json_response
def public_ide_initialize(assignment: Assignment):
    """
    Redirect to theia proxy.
    :param assignment:
    :return:
    """
    # verify that ides are enabled for this assignment</t>
  </si>
  <si>
    <t xml:space="preserve">    """
    # verify that ides are enabled for this assignment
    req_assert(assignment.ide_enabled, message="IDEs are not enabled for this assignment")
</t>
  </si>
  <si>
    <t xml:space="preserve">    req_assert(assignment.ide_enabled, message="IDEs are not enabled for this assignment")
    # Check for existing active session
    active_session = (
        TheiaSession.query.join(Assignment)</t>
  </si>
  <si>
    <t xml:space="preserve">    )
    # If there was an existing session for this assignment found, skip
    # the initialization, and return the active session information.
    if active_session is not None:
        return success_response({"active": active_session.active, "session": active_session.data})</t>
  </si>
  <si>
    <t xml:space="preserve">        return success_response({"active": active_session.active, "session": active_session.data})
    # Assert that new ide starts are allowed. If they are not, then
    # we return a status message to the user saying they are not able
    # to start a new ide.
    assert_theia_sessions_enabled()
</t>
  </si>
  <si>
    <t xml:space="preserve">    assert_theia_sessions_enabled()
    # If the user requesting this IDE is a course admin (ta/professor/superuser), then there
    # are a few places we handle things differently.
    is_admin = is_course_admin(assignment.course_id)
</t>
  </si>
  <si>
    <t xml:space="preserve">    is_admin = is_course_admin(assignment.course_id)
    # If it is a student (not a ta) requesting the ide, then we will need to
    # make sure that the assignment has actually been released.
    if not is_admin:
</t>
  </si>
  <si>
    <t xml:space="preserve">    if not is_admin:
        # If the assignment has been released, then we cannot allocate a session to a student
        req_assert(
            assignment.release_date &lt; datetime.now(),</t>
  </si>
  <si>
    <t xml:space="preserve">        )
        # If 3 weeks has passed since the assignment has been due, then we should not allow
        # new sessions to be created
        if assignment.due_date + timedelta(days=3 * 7) &lt;= datetime.now():
            return error_response("Assignment due date passed over 3 weeks ago. IDEs are disabled.")</t>
  </si>
  <si>
    <t xml:space="preserve">            return error_response("Assignment due date passed over 3 weeks ago. IDEs are disabled.")
    # If github repos are enabled for this assignment, then we will
    # need to get the repo url.
    repo_url: str = ""
    if assignment.github_repo_required:</t>
  </si>
  <si>
    <t xml:space="preserve">    repo_url: str = ""
    if assignment.github_repo_required:
        # Make sure github username is set
        req_assert(
            current_user.github_username is not None,</t>
  </si>
  <si>
    <t xml:space="preserve">        )
        # Make sure we have a repo we can use
        repo: AssignmentRepo = AssignmentRepo.query.filter(
            AssignmentRepo.owner_id == current_user.id,</t>
  </si>
  <si>
    <t xml:space="preserve">        ).first()
        # Verify that the repo exists
        req_assert(
            repo is not None,</t>
  </si>
  <si>
    <t xml:space="preserve">                    "Please make sure your github username is set and is correct.",
        )
        # Update the repo url
        repo_url = repo.repo_url
</t>
  </si>
  <si>
    <t xml:space="preserve">        repo_url = repo.repo_url
    # Create the theia options from the assignment default
    options = copy.deepcopy(assignment.theia_options)
</t>
  </si>
  <si>
    <t xml:space="preserve">    options = copy.deepcopy(assignment.theia_options)
    # Figure out options from user values
    autosave = request.json.get("autosave", True)
    persistent_storage = request.json.get("persistent_storage", False)</t>
  </si>
  <si>
    <t xml:space="preserve">    logger.debug(f'persistent_storage = {persistent_storage}')
    # Figure out options from assignment
    network_policy = options.get("network_policy", "os-student")
    resources = options.get(</t>
  </si>
  <si>
    <t xml:space="preserve">    persistent_storage = options.get('persistent_storage', False) and persistent_storage
    # If course admin, then give admin network policy
    if is_admin:
        network_policy = 'admin'</t>
  </si>
  <si>
    <t xml:space="preserve">        network_policy = 'admin'
    # Create the theia session with the proper settings
    session: TheiaSession = initialize_ide(
        image_id=assignment.theia_image_id,</t>
  </si>
  <si>
    <t>@json_response
def public_ide_available():
    """
    list all sessions, active and inactive
    :return:
    """
    # Get the active and maximum number of ides currently allocated</t>
  </si>
  <si>
    <t xml:space="preserve">    """
    # Get the active and maximum number of ides currently allocated
    active_count, max_count = get_n_available_sessions()
</t>
  </si>
  <si>
    <t xml:space="preserve">    active_count, max_count = get_n_available_sessions()
    # Calculate if sessions are available
    session_available: bool = active_count &lt; max_count
</t>
  </si>
  <si>
    <t xml:space="preserve">    session_available: bool = active_count &lt; max_count
    # pass back if sessions are available
    return success_response(
        {</t>
  </si>
  <si>
    <t>@json_response
def public_ide_active(assignment_id):
    """
    list all sessions, active and inactive
    :return:
    """
    # Find if they have an active session for this assignment</t>
  </si>
  <si>
    <t xml:space="preserve">    """
    # Find if they have an active session for this assignment
    session = TheiaSession.query.filter(
        TheiaSession.active,</t>
  </si>
  <si>
    <t xml:space="preserve">    ).first()
    # If they do not have an active assignment, then pass back False
    if session is None:
        return success_response({"active": False})</t>
  </si>
  <si>
    <t xml:space="preserve">        return success_response({"active": False})
    # If they do have a session, then pass back True
    return success_response(
        {</t>
  </si>
  <si>
    <t>@require_user()
def public_ide_stop(theia_session_id: str) -&gt; dict[str, str]:
    """
    Endpoint for users to request a stop of their IDE. We need to mark the
    IDE as stopped in the database, and enqueue a job to clean up the
    existing kubernetes resources.
    :param theia_session_id:
    :return:
    """
    # Find the theia session</t>
  </si>
  <si>
    <t xml:space="preserve">    """
    # Find the theia session
    theia_session: TheiaSession = TheiaSession.query.filter(
        TheiaSession.id == theia_session_id,</t>
  </si>
  <si>
    <t xml:space="preserve">    ).first()
    # Verify that the session exists
    req_assert(theia_session is not None, message="session does not exist")
</t>
  </si>
  <si>
    <t xml:space="preserve">    req_assert(theia_session is not None, message="session does not exist")
    # Mark the session as stopped.
    theia_session.active = False
    theia_session.ended = datetime.now()</t>
  </si>
  <si>
    <t xml:space="preserve">    theia_session.state = "Ended"
    # Commit the change
    db.session.commit()
</t>
  </si>
  <si>
    <t xml:space="preserve">    db.session.commit()
    # Enqueue a ide stop job
    enqueue_ide_stop(theia_session.id)
</t>
  </si>
  <si>
    <t xml:space="preserve">    enqueue_ide_stop(theia_session.id)
    # Clear poll cache
    cache.delete_memoized(theia_poll_ide, theia_session_id, current_user.id)
</t>
  </si>
  <si>
    <t xml:space="preserve">    cache.delete_memoized(theia_poll_ide, theia_session_id, current_user.id)
    # Pass back the status
    return success_response(
        {</t>
  </si>
  <si>
    <t>@json_response
def public_ide_poll(theia_session_id: str) -&gt; dict[str, str]:
    """
    Slightly cached endpoint for polling for session data.
    :param theia_session_id:
    :return:
    """
    # Find the (possibly cached) session data</t>
  </si>
  <si>
    <t xml:space="preserve">    """
    # Find the (possibly cached) session data
    session_data = theia_poll_ide(theia_session_id, current_user.id)
</t>
  </si>
  <si>
    <t xml:space="preserve">    session_data = theia_poll_ide(theia_session_id, current_user.id)
    # Assert that the session exists
    req_assert(session_data is not None, message="session does not exist")
</t>
  </si>
  <si>
    <t xml:space="preserve">    req_assert(session_data is not None, message="session does not exist")
    # Check to see if it is still initializing
    session_state = session_data["state"]
    loading = session_state not in {"Running", "Ended", "Failed"}</t>
  </si>
  <si>
    <t xml:space="preserve">    loading = session_state not in {"Running", "Ended", "Failed"}
    # Map of session state code to the status message that should
    # be displayed on the frontend.
    status, variant = {
        "Running": ("Session is now ready.", "success"),</t>
  </si>
  <si>
    <t xml:space="preserve">    status, variant = {
        "Running": ("Session is now ready.", "success"),
        # "Ended": ("Session ended.", "warning"),
        "Failed": ("Session failed to start. Please try again.", "error"),
    }.get(session_state, (None, None))</t>
  </si>
  <si>
    <t xml:space="preserve">    }.get(session_state, (None, None))
    # Pass back the status and data
    return success_response(
        {</t>
  </si>
  <si>
    <t>@json_response
def public_ide_redirect_url(theia_session_id: str) -&gt; dict[str, str]:
    """
    Get the redirect url for a given session
    :param theia_session_id:
    :return:
    """
    # Search for session</t>
  </si>
  <si>
    <t xml:space="preserve">    """
    # Search for session
    theia_session: TheiaSession = TheiaSession.query.filter(
        TheiaSession.id == theia_session_id,</t>
  </si>
  <si>
    <t xml:space="preserve">    req_assert(theia_session is not None, message="session does not exist")
    # Pass back redirect link
    return success_response({"redirect": theia_redirect_url(theia_session.id, current_user.netid)})</t>
  </si>
  <si>
    <t>@cache.memoize(timeout=60)
def public_static(path: str, filename: str = None):
    """
    Get some public static file.
    * response is possibly cached *
    :param filename:
    :param path:
    :return:
    """
    query = StaticFile.query.options(undefer(StaticFile.blob)).filter(  # undefer blob attr to avoid followup query</t>
  </si>
  <si>
    <t xml:space="preserve">    """
    query = StaticFile.query.options(undefer(StaticFile.blob)).filter(  # undefer blob attr to avoid followup query
        or_(StaticFile.path == path, StaticFile.path == "/" + path)
    )</t>
  </si>
  <si>
    <t xml:space="preserve">    )
    # If filename was specified, then include it in the query
    if filename is not None:
        query = query.filter(StaticFile.filename == filename)</t>
  </si>
  <si>
    <t xml:space="preserve">        query = query.filter(StaticFile.filename == filename)
    # Execute the query
    blob = query.first()
</t>
  </si>
  <si>
    <t xml:space="preserve">    blob = query.first()
    # If the blob is None, then 404
    if blob is None:
        return "404 Not Found :(", 404</t>
  </si>
  <si>
    <t xml:space="preserve">        return "404 Not Found :(", 404
    # Form the blob response
    return make_blob_response(blob)</t>
  </si>
  <si>
    <t>@json_response
def public_courses_list():
    """
    Get courses that the student is currently enrolled in.
    This requires authentication.
    :return:
    """
    # Get the (possibly cached) courses</t>
  </si>
  <si>
    <t xml:space="preserve">    """
    # Get the (possibly cached) courses
    # that the current user is in.
    courses = get_courses(current_user.netid)
</t>
  </si>
  <si>
    <t xml:space="preserve">    courses = get_courses(current_user.netid)
    # Give back the courses that the
    # student is in. This information
    # is possibly cached.
    return success_response({"courses": courses})
</t>
  </si>
  <si>
    <t xml:space="preserve">@json_response
def public_courses_get(course_id):
    """
    Get course information by course id with tas
    This required authentication.
    :return:
    """
    course_data = get_course_data(current_user.netid, course_id)
</t>
  </si>
  <si>
    <t>@json_response
def public_courses_join(join_code):
    """
    Get class data for current user
    :return:
    """
    # Validate that the join code contains valid characters</t>
  </si>
  <si>
    <t xml:space="preserve">    """
    # Validate that the join code contains valid characters
    if not valid_join_code(join_code):
        return error_response("Please give a valid join code")</t>
  </si>
  <si>
    <t xml:space="preserve">        return error_response("Please give a valid join code")
    # Search courses for matching join code
    course = Course.query.filter(Course.join_code == join_code).first()
</t>
  </si>
  <si>
    <t xml:space="preserve">    course = Course.query.filter(Course.join_code == join_code).first()
    # If course not found, then we can hand back an error
    req_assert(course is not None, message="join code is not valid :(")
</t>
  </si>
  <si>
    <t xml:space="preserve">    req_assert(course is not None, message="join code is not valid :(")
    # Check to see if student is already in course
    in_course = InCourse.query.filter(
        InCourse.course_id == course.id,</t>
  </si>
  <si>
    <t xml:space="preserve">    ).first()
    # If they are already in the course, then we can give them a warning
    if in_course is not None:
        return success_response(</t>
  </si>
  <si>
    <t xml:space="preserve">        )
    # Create the new in-course
    in_course = InCourse(
        course_id=course.id,</t>
  </si>
  <si>
    <t xml:space="preserve">    )
    # Add and commit the course join entry
    db.session.add(in_course)
    db.session.commit()</t>
  </si>
  <si>
    <t xml:space="preserve">    db.session.commit()
    # Clear the cached entries for getting course data
    cache.delete_memoized(get_courses, current_user.netid)
    cache.delete_memoized(get_assignments, current_user.netid)</t>
  </si>
  <si>
    <t xml:space="preserve">    cache.delete_memoized(get_students, course.id)
    # Enqueue fixing missing questions job
    enqueue_assign_missing_questions(current_user.id)
</t>
  </si>
  <si>
    <t>@json_response
def public_courses_visuals_list():
    """
    Get a list of the courses that allow for usage visuals
    to be displayed for them. This is pulled by the frontend
    to determine which visuals are "gettable".
    * Possibly slightly cached *
    :return:
    """
    # Get (possibly) slightly cached course data for courses with</t>
  </si>
  <si>
    <t xml:space="preserve">    """
    # Get (possibly) slightly cached course data for courses with
    # visuals enabled.
    courses_data: list[dict[str, Any]] = get_courses_with_visuals()
</t>
  </si>
  <si>
    <t xml:space="preserve">    courses_data: list[dict[str, Any]] = get_courses_with_visuals()
    # Pass back the cached response
    return success_response({"courses": courses_data})</t>
  </si>
  <si>
    <t xml:space="preserve">@visuals_.route("/playgrounds")
def public_visuals_usage_playgrounds():
    # Get the png blob of the usage graph.
    # The get_usage_plot is itself a cached function.
    blob = get_usage_plot_playgrounds()
</t>
  </si>
  <si>
    <t>@visuals_.route("/course/&lt;string:course_id&gt;")
def public_visuals_usage(course_id: str):
    """
    Get the usage png graph. This endpoint is heavily
    cached.
    :param course_id:
    :return:
    """
    # Get the course</t>
  </si>
  <si>
    <t xml:space="preserve">    """
    # Get the course
    course: Course = Course.query.filter(Course.id == course_id).first()
</t>
  </si>
  <si>
    <t xml:space="preserve">    course: Course = Course.query.filter(Course.id == course_id).first()
    # Confirm that the course exists
    req_assert(course is not None, message="Course does not exist")
</t>
  </si>
  <si>
    <t xml:space="preserve">    req_assert(course is not None, message="Course does not exist")
    # Confirm that the course has visuals enabled
    req_assert(course.display_visuals, message="Course does not support usage visuals")
</t>
  </si>
  <si>
    <t xml:space="preserve">    req_assert(course.display_visuals, message="Course does not support usage visuals")
    # Get the png blob of the usage graph.
    # The get_usage_plot is itself a cached function.
    blob = get_usage_plot(course.id)
</t>
  </si>
  <si>
    <t xml:space="preserve">@visuals_.route("/active/14/1")
def public_visuals_usage_active_14_1():
    # Get the png blob of the usage graph.
    # The get_usage_plot is itself a cached function.
    blob = get_usage_plot_active(days=14, step=1)
</t>
  </si>
  <si>
    <t xml:space="preserve">@visuals_.route("/active/180/1")
def public_visuals_usage_active_180_1():
    # Get the png blob of the usage graph.
    # The get_usage_plot is itself a cached function.
    blob = get_usage_plot_active(days=180, step=1)
</t>
  </si>
  <si>
    <t xml:space="preserve">@visuals_.route("/active/90/7")
def public_visuals_usage_active_90_7():
    # Get the png blob of the usage graph.
    # The get_usage_plot is itself a cached function.
    blob = get_usage_plot_active(days=90, step=7)
</t>
  </si>
  <si>
    <t xml:space="preserve">@visuals_.route("/active/365/30")
def public_visuals_usage_active_365_30():
    # Get the png blob of the usage graph.
    # The get_usage_plot is itself a cached function.
    blob = get_usage_plot_active(days=365, step=30)
</t>
  </si>
  <si>
    <t xml:space="preserve">@visuals_.route("/users/365/1")
def public_visuals_users_365_1():
    # Get the png blob of the usage graph.
    # The get_usage_plot is itself a cached function.
    blob = get_platform_users_plot(days=365, step=1)
</t>
  </si>
  <si>
    <t xml:space="preserve">@visuals_.route("/users/365/30")
def public_visuals_users_365_30():
    # Get the png blob of the usage graph.
    # The get_usage_plot is itself a cached function.
    blob = get_platform_users_plot(days=365, step=30)
</t>
  </si>
  <si>
    <t>@json_response
def public_submissions():
    """
    Get all submissions for a given student. Optionally specify class,
    and assignment name filters in get query.
    /api/public/submissions
    /api/public/submissions?class=Intro to OS
    /api/public/submissions?assignment=Assignment 1: uniq
    /api/public/submissions?class=Intro to OS&amp;assignment=Assignment 1: uniq
    :return:
    """
    # Get optional filters</t>
  </si>
  <si>
    <t xml:space="preserve">    """
    # Get optional filters
    course_id = request.args.get("courseId", default=None)
    perspective_of_id = request.args.get("userId", default=None)</t>
  </si>
  <si>
    <t xml:space="preserve">    assignment_id = request.args.get("assignmentId", default=None)
    # Get the limit and offset for submissions query
    limit: int = get_number_arg("limit", default_value=100)
    offset: int = get_number_arg("offset", default_value=0)</t>
  </si>
  <si>
    <t xml:space="preserve">    offset: int = get_number_arg("offset", default_value=0)
    # Load current user
    perspective_of = current_user
    if perspective_of_id is not None:</t>
  </si>
  <si>
    <t xml:space="preserve">        perspective_of = User.query.filter(User.id == perspective_of_id).first()
    # If the request is from the perspective of a different user,
    # we need to make sure the requester is an admin in the current
    # course context.
    req_assert(
        not (perspective_of_id is not None and not is_course_admin(course_id)),</t>
  </si>
  <si>
    <t xml:space="preserve">    )
    # Get a possibly cached list of submission data
    submissions, total = get_submissions(
        user_id=perspective_of_id or current_user.id,</t>
  </si>
  <si>
    <t xml:space="preserve">    )
    # If the submissions query returned None, something went wrong
    req_assert(submissions is not None, message="Bad Request", status_code=400)
</t>
  </si>
  <si>
    <t xml:space="preserve">    req_assert(submissions is not None, message="Bad Request", status_code=400)
    # Get submissions through cached function
    return success_response({"submissions": submissions, "total": total, "user": perspective_of.data})
</t>
  </si>
  <si>
    <t>@json_response
def public_submission(commit: str):
    """
    Get submission data for a given commit.
    :param commit:
    :return:
    """
    # Build submission query</t>
  </si>
  <si>
    <t xml:space="preserve">    """
    # Build submission query
    query = Submission.query.filter(Submission.commit == commit)
</t>
  </si>
  <si>
    <t xml:space="preserve">    query = Submission.query.filter(Submission.commit == commit)
    # Do query
    submission: Submission = query.first()
</t>
  </si>
  <si>
    <t xml:space="preserve">    submission: Submission = query.first()
    # Make sure we caught one
    req_assert(submission is not None, message="submission does not exist")
</t>
  </si>
  <si>
    <t xml:space="preserve">    req_assert(submission is not None, message="submission does not exist")
    # Course that the submission belongs to
    course_id = submission.assignment.course_id
</t>
  </si>
  <si>
    <t xml:space="preserve">    course_id = submission.assignment.course_id
    # Make sure the user is allowed to see the submission if it does not belong to them
    if not submission.owner_id == current_user.id:
        # Assert that the current user is a admin for the course (TA, Professor, Superuser).</t>
  </si>
  <si>
    <t xml:space="preserve">    # Make sure the user is allowed to see the submission if it does not belong to them
    if not submission.owner_id == current_user.id:
        # Assert that the current user is a admin for the course (TA, Professor, Superuser).
        # If they are not, then pass back that submissions does not exist message.
        req_assert(
            is_course_admin(course_id, current_user.id),</t>
  </si>
  <si>
    <t xml:space="preserve">        )
    # If they are a course admin, give full admin data
    if is_course_admin(course_id):
        return success_response({"submission": submission.admin_data})</t>
  </si>
  <si>
    <t xml:space="preserve">        return success_response({"submission": submission.admin_data})
    # Hand back submission
    return success_response({"submission": submission.full_data})
</t>
  </si>
  <si>
    <t>@json_response
def public_regrade_commit(commit: str):
    """
    This route will get hit whenever someone clicks the regrade button on a
    processed assignment. It should do some validity checks on the commit and
    netid, then reset the submission and re-enqueue the submission job.
    """
    # Build submission query</t>
  </si>
  <si>
    <t xml:space="preserve">    query = Submission.query.filter(Submission.commit == commit)
    # If the current user is not a superuser, then add a filter
    # to make sure the submission is owned by the current user.
    if not current_user.is_superuser:
        query = query.filter(Submission.owner_id == current_user.id)</t>
  </si>
  <si>
    <t xml:space="preserve">        query = query.filter(Submission.owner_id == current_user.id)
    # Do query
    submission = query.first()
</t>
  </si>
  <si>
    <t xml:space="preserve">    submission = query.first()
    # Verify Ownership
    req_assert(submission is not None, message="submission does not exist")
</t>
  </si>
  <si>
    <t xml:space="preserve">    req_assert(submission is not None, message="submission does not exist")
    # Check that the owner matches the user
    if submission.owner_id != current_user.id:
        # If the user is not the owner, then full stop if</t>
  </si>
  <si>
    <t xml:space="preserve">    # Check that the owner matches the user
    if submission.owner_id != current_user.id:
        # If the user is not the owner, then full stop if
        assert_course_context(submission)
</t>
  </si>
  <si>
    <t xml:space="preserve">        assert_course_context(submission)
    # Check that autograde is enabled for the assignment
    req_assert(
        submission.assignment.autograde_enabled,</t>
  </si>
  <si>
    <t xml:space="preserve">    )
    # Check that the submission is allowed to be accepted
    req_assert(submission.accepted, message="Submission was rejected for being late")
</t>
  </si>
  <si>
    <t xml:space="preserve">    req_assert(submission.accepted, message="Submission was rejected for being late")
    # Regrade
    return regrade_submission(submission)</t>
  </si>
  <si>
    <t>@json_response
def public_playgrounds_initialize(theia_image: TheiaImage):
    """
    Start a playground ide with selected image
    :param theia_image:
    :return:
    """
    # Assert that the selected image is public</t>
  </si>
  <si>
    <t xml:space="preserve">    """
    # Assert that the selected image is public
    req_assert(theia_image.public, message="Unable to find", status_code=400)
</t>
  </si>
  <si>
    <t xml:space="preserve">    req_assert(theia_image.public, message="Unable to find", status_code=400)
    # Get the requested tag information
    requested_tag = request.args.get("tag", "latest")
    image_tag_id = None</t>
  </si>
  <si>
    <t xml:space="preserve">            image_tag_id = image_tag.id
    # Check if there is an active session
    active_session = TheiaSession.query.filter(
        TheiaSession.owner_id == current_user.id,</t>
  </si>
  <si>
    <t xml:space="preserve">    ).first()
    # If there was an existing session for this assignment found, skip
    # the initialization, and return the active session information.
    if active_session is not None:
        return success_response({</t>
  </si>
  <si>
    <t xml:space="preserve">        })
    # Assert that new ide starts are allowed. If they are not, then
    # we return a status message to the user saying they are not able
    # to start a new ide.
    assert_theia_sessions_enabled()
</t>
  </si>
  <si>
    <t xml:space="preserve">    assert_theia_sessions_enabled()
    # Default status
    status = "Session created"
</t>
  </si>
  <si>
    <t xml:space="preserve">    status = "Session created"
    # Default to not setting
    resources = dict()
    docker = False</t>
  </si>
  <si>
    <t xml:space="preserve">    autograde = False
    # If the person launching is a developer, then add the extra stuff
    if current_user.is_anubis_developer and theia_image.image == DEVELOPER_DEFAULT_IMAGE:
        status = "Developer session created"</t>
  </si>
  <si>
    <t xml:space="preserve">        autograde = True
    # Create IDE
    session: TheiaSession = initialize_ide(
        image_id=theia_image.id,</t>
  </si>
  <si>
    <t xml:space="preserve">    )
    # Redirect to proxy
    return success_response(
        {</t>
  </si>
  <si>
    <t>@json_response
def public_playgrounds_active():
    """
    list all sessions, active and inactive
    :return:
    """
    # Find if they have an active session for this assignment</t>
  </si>
  <si>
    <t xml:space="preserve">    """
    # Find if they have an active session for this assignment
    session = TheiaSession.query.filter(
        TheiaSession.active == True,</t>
  </si>
  <si>
    <t>@json_response
def public_playgrounds_images():
    """
    Get public images
    :return:
    """
    images: list[TheiaImage] = TheiaImage.query.filter(TheiaImage.public == True).all()</t>
  </si>
  <si>
    <t>@json_response
def config_list():
    """
    list all config items.
    :return:
    """
    # Pull all the config items</t>
  </si>
  <si>
    <t xml:space="preserve">    """
    # Pull all the config items
    items = Config.query.all()
</t>
  </si>
  <si>
    <t xml:space="preserve">    items = Config.query.all()
    # Return the broken down objects
    return success_response({"config": [item.data for item in items]})
</t>
  </si>
  <si>
    <t>@json_endpoint(required_fields=[("config", list)])
def config_add(config, **_):
    """
    config = [
      {
        key: str
        value: str
      },
      ...
    ]
    :param config:
    :param _:
    :return:
    """
    # Iterate over all config items</t>
  </si>
  <si>
    <t xml:space="preserve">    """
    # Iterate over all config items
    for item in config:
</t>
  </si>
  <si>
    <t xml:space="preserve">    for item in config:
        # Get key and value
        key = item.get("key", None)
        value = item.get("value", None)</t>
  </si>
  <si>
    <t xml:space="preserve">        value = item.get("value", None)
        # Make sure we actually got values
        if key is None or value is None:
            continue</t>
  </si>
  <si>
    <t xml:space="preserve">            continue
        # Find config item in db
        db_item = Config.query.filter(Config.key == key).first()
</t>
  </si>
  <si>
    <t xml:space="preserve">        db_item = Config.query.filter(Config.key == key).first()
        # Create the item if it didn't exist
        if db_item is None:
            db_item = Config(key=key, value=value)</t>
  </si>
  <si>
    <t xml:space="preserve">            db_item = Config(key=key, value=value)
        # Update the value
        db_item.value = value
        db.session.add(db_item)</t>
  </si>
  <si>
    <t xml:space="preserve">        db.session.add(db_item)
    # Commit the changes
    db.session.commit()
</t>
  </si>
  <si>
    <t>@json_response
def super_students_list():
    """
    list all users within the current course context
    :return:
    """
    # Get all students</t>
  </si>
  <si>
    <t xml:space="preserve">    """
    # Get all students
    students = get_students(None)
</t>
  </si>
  <si>
    <t xml:space="preserve">    students = get_students(None)
    # Pass back the students
    return success_response({"students": students})
</t>
  </si>
  <si>
    <t>@json_response
def super_students_toggle_superuser(id: str):
    """
    Toggle the superuser status for a user. Requires user to be superuser
    to be able to make this change.
    :param id:
    :return:
    """
    # Get the other user</t>
  </si>
  <si>
    <t xml:space="preserve">    """
    # Get the other user
    other = User.query.filter(User.id == id).first()
</t>
  </si>
  <si>
    <t xml:space="preserve">    other = User.query.filter(User.id == id).first()
    # If the other user was not found, then stop
    req_assert(other is not None, message="user does not exist")
</t>
  </si>
  <si>
    <t xml:space="preserve">    req_assert(other is not None, message="user does not exist")
    # Toggle the superuser field
    other.is_superuser = not other.is_superuser
</t>
  </si>
  <si>
    <t xml:space="preserve">    other.is_superuser = not other.is_superuser
    # Commit the change
    db.session.commit()
</t>
  </si>
  <si>
    <t xml:space="preserve">    db.session.commit()
    # Pass back the status based on if the other is now a superuser
    if other.is_superuser:
        return success_response({"status": f"{other.name} is now a superuser", "variant": "warning"})</t>
  </si>
  <si>
    <t xml:space="preserve">        return success_response({"status": f"{other.name} is now a superuser", "variant": "warning"})
    # Pass back the status based on if the other user is now no longer a superuser
    else:
        return success_response({"status": f"{other.name} is no longer a superuser", "variant": "success"})</t>
  </si>
  <si>
    <t>@json_response
def super_students_toggle_anubis_developer(id: str):
    """
    Toggle the superuser status for a user. Requires user to be superuser
    to be able to make this change.
    :param id:
    :return:
    """
    # Get the other user</t>
  </si>
  <si>
    <t xml:space="preserve">    """
    # Get the other user
    other: User = User.query.filter(User.id == id).first()
</t>
  </si>
  <si>
    <t xml:space="preserve">    other: User = User.query.filter(User.id == id).first()
    # If the other user was not found, then stop
    req_assert(other is not None, message="user does not exist")
</t>
  </si>
  <si>
    <t xml:space="preserve">    req_assert(other is not None, message="user does not exist")
    # Toggle the superuser field
    other.is_anubis_developer = not other.is_anubis_developer
</t>
  </si>
  <si>
    <t xml:space="preserve">    other.is_anubis_developer = not other.is_anubis_developer
    # Commit the change
    db.session.commit()
</t>
  </si>
  <si>
    <t xml:space="preserve">    db.session.commit()
    # Pass back the status based on if the other is now a superuser
    if other.is_anubis_developer:
        return success_response({"status": f"{other.name} is now an anubis developer", "variant": "warning"})</t>
  </si>
  <si>
    <t xml:space="preserve">        return success_response({"status": f"{other.name} is now an anubis developer", "variant": "warning"})
    # Pass back the status based on if the other user is now no longer a superuser
    else:
        return success_response({"status": f"{other.name} is no longer an anubis developer", "variant": "success"})</t>
  </si>
  <si>
    <t>@json_response
def super_students_delete_pvc(id: str):
    """
    Delete a user's existing Persistent Volume Claim (PVC). Requires current user to be superuser
    to be able to make this change. 
    :param id:
    :return:
    """
    # Get the other user and check if they exist, if not we stop</t>
  </si>
  <si>
    <t xml:space="preserve">    """
    # Get the other user and check if they exist, if not we stop
    other: User = User.query.filter(User.id == id).first()
    req_assert(other is not None, message="user does not exist")</t>
  </si>
  <si>
    <t xml:space="preserve">    req_assert(other is not None, message="user does not exist")
    # Reap that pvc for that other user
    enqueue_reap_pvc_user(id)
</t>
  </si>
  <si>
    <t>@json_response
def super_playgrounds_list():
    """
    list all active ide sessions
    :return:
    """
    # Get all active sessions</t>
  </si>
  <si>
    <t>@json_response
def super_playgrounds_stop_id(id: str):
    """
    Stop a specific IDE
    :return:
    """
    # Search for the theia session</t>
  </si>
  <si>
    <t>@json_response
def super_playgrounds_stop_all():
    """
    Enqueue a job for the rpc workers to reap all the active
    theia submissions. They will end all active sessions in the
    database, then schedule all the kube resources for deletion.
    :return:
    """
    # Send reap job to rpc cluster</t>
  </si>
  <si>
    <t xml:space="preserve">    """
    # Send reap job to rpc cluster
    rpc_enqueue(reap_theia_playgrounds_all, "theia")
</t>
  </si>
  <si>
    <t xml:space="preserve">    rpc_enqueue(reap_theia_playgrounds_all, "theia")
    # Hand back status
    return success_response({"status": "Reap job enqueued. Session cleanup will take a minute."})</t>
  </si>
  <si>
    <t xml:space="preserve">
def test_lectures_public():
    # upload a lecture as a superuser
    logo = open("logo.png", "rb").read()
    filename = "logo.png"</t>
  </si>
  <si>
    <t xml:space="preserve">    course_id = s.course_id
    # Create post
    data = s.post_json('/public/forums/post', json={
        'course_id': course_id,</t>
  </si>
  <si>
    <t xml:space="preserve">    post1_id = data['post']['id']
    # Get post
    data = s.get(f'/public/forums/post/{post1_id}')
    assert data</t>
  </si>
  <si>
    <t xml:space="preserve">    assert data['post']['content'] == 'content1'
    # Edit post
    data = s.patch_json(f'/public/forums/post/{post1_id}', {
        'title': 'title2',</t>
  </si>
  <si>
    <t xml:space="preserve">    assert data['post']['content'] == 'content2'
    # Get edited post
    data = s.get(f'/public/forums/post/{post1_id}')
    assert data</t>
  </si>
  <si>
    <t xml:space="preserve">    post1_id = data['post']['id']
    # Get post as other student
    data = s2.get(f'/public/forums/post/{post1_id}')
    assert data</t>
  </si>
  <si>
    <t xml:space="preserve">    assert data['post']['content'] == 'content3'
    # Delete post
    data = s.delete(f'/public/forums/post/{post1_id}')
    assert data</t>
  </si>
  <si>
    <t xml:space="preserve">    assert data['status'] == 'Post deleted'
    # Get post
    s.get(f'/public/forums/post/{post1_id}', should_fail=True)
</t>
  </si>
  <si>
    <t xml:space="preserve">    assignment_id = superuser.get("/admin/assignments/list")["assignments"][0]["id"]
    # student = Session('student')
    # student.get(f'/admin/visuals/assignment/{assignment_id}', should_fail=True)
    # permission_test(f'/admin/visuals/assignment/{assignment_id}')</t>
  </si>
  <si>
    <t xml:space="preserve">    # student.get(f'/admin/visuals/assignment/{assignment_id}', should_fail=True)
    # permission_test(f'/admin/visuals/assignment/{assignment_id}')
    permission_test(f"/admin/visuals/sundial/{assignment_id}")
    permission_test(f"/admin/visuals/history/{assignment_id}/superuser")</t>
  </si>
  <si>
    <t xml:space="preserve">    su = Session("superuser")
    # Test uploading lecture file
    logo_file = io.BytesIO(logo)
    su.post(</t>
  </si>
  <si>
    <t xml:space="preserve">    exception_str += "".join(exception_list)
    # Removing the last \n
    exception_str = exception_str[:-1]
</t>
  </si>
  <si>
    <t xml:space="preserve">    netid = create_netid(name)
    # Create user in db
    user = User(
        netid=netid,</t>
  </si>
  <si>
    <t>@with_context
def _create_user_session(url: str, netid: str = "superuser", new: bool = False, add_to_os: bool = True):
    """
    Create a new user on the backend
    :return: requests session
    """
    # Create requests session</t>
  </si>
  <si>
    <t xml:space="preserve">    """
    # Create requests session
    session = requests.session()
</t>
  </si>
  <si>
    <t xml:space="preserve">
class Session(object):
    """
    This object will provide you with a functioning test session with
    a ransom user set up with it. You can call the get and post functions
    to move data between the session and the api.
    test_session = TestSession()
    data = test_session.get('/api/auth/whoami')
    # data -&gt;&gt; {'email': 'test.abcyf.1@pc.email', ...}
    """
    def __init__(</t>
  </si>
  <si>
    <t xml:space="preserve">        response = None
        if not skip_verify:
            # Verify response succeeded
            if should_fail:
                self._verify_error(r)</t>
  </si>
  <si>
    <t xml:space="preserve">                response = r.json()["error"]
            # Verify response failed
            if not should_fail and should_succeed:
                self._verify_success(r)</t>
  </si>
  <si>
    <t xml:space="preserve">        **kwargs,
    ):
        # Make the request
        r = request_func(self.url + path, **kwargs)
</t>
  </si>
  <si>
    <t xml:space="preserve">        r = request_func(self.url + path, **kwargs)
        # Add to timings
        self.timings.append(r.elapsed.microseconds)
</t>
  </si>
  <si>
    <t xml:space="preserve">        self.timings.append(r.elapsed.microseconds)
        # Verify success or failure
        response = self._verify(r, should_succeed, should_fail, skip_verify)
</t>
  </si>
  <si>
    <t xml:space="preserve">            return r
        # return filtered data
        return response
</t>
  </si>
  <si>
    <t xml:space="preserve">        pod, pvc = create_theia_k8s_pod_pvc(ide, skip_debug_check=True)
        # Assert pvc things
        assert pvc.spec.access_modes == ['ReadWriteMany']
        assert pvc.spec.storage_class_name == 'longhorn'</t>
  </si>
  <si>
    <t xml:space="preserve">        assert pvc.metadata.name == f'ide-volume-{s.netid}'
        # Assert pod things
        assert pod.metadata.labels['app.kubernetes.io/name'] == 'anubis'
        assert pod.metadata.labels['network-policy'] == 'os-student'</t>
  </si>
  <si>
    <t xml:space="preserve">        assert pod.spec.dns_policy == 'None'
        ###########################################
        # Verify init container
        assert len(pod.spec.init_containers) == 1</t>
  </si>
  <si>
    <t xml:space="preserve">        init_container: V1Container = pod.spec.init_containers[0]
        # Verify env
        init_env = {env.name: env.value for env in init_container.env}
        assert init_env == {'GIT_REPO': '', 'GIT_CRED': None}</t>
  </si>
  <si>
    <t xml:space="preserve">        assert init_env == {'GIT_REPO': '', 'GIT_CRED': None}
        # Verify image
        assert init_container.image == 'registry.digitalocean.com/anubis/theia-init'
        assert init_container.name == 'theia-init'</t>
  </si>
  <si>
    <t xml:space="preserve">                    autosave_container = container
        # Verify we found
        assert theia_container
        assert autosave_container</t>
  </si>
  <si>
    <t xml:space="preserve">        assert autosave_container
        ###########################################
        # Verify theia container
        # Check env</t>
  </si>
  <si>
    <t xml:space="preserve">        # Verify theia container
        # Check env
        theia_env = {env.name: env.value for env in theia_container.env}
        assert theia_env == {'AUTOSAVE': 'OFF', 'REPO_NAME': ''}</t>
  </si>
  <si>
    <t xml:space="preserve">        assert theia_env == {'AUTOSAVE': 'OFF', 'REPO_NAME': ''}
        # Check ports
        theia_ports = {port.container_port for port in theia_container.ports}
        assert theia_ports == {5000}.union(set(range(8000, 8011)))</t>
  </si>
  <si>
    <t xml:space="preserve">        assert theia_ports == {5000}.union(set(range(8000, 8011)))
        # Check security context
        assert theia_container.security_context.allow_privilege_escalation is False
        assert theia_container.security_context.privileged is False</t>
  </si>
  <si>
    <t xml:space="preserve">        assert theia_container.security_context.run_as_user == 1001
        # Check resources
        assert theia_container.resources.limits == THEIA_DEFAULT_OPTIONS['resources']['limits']
        assert theia_container.resources.requests == THEIA_DEFAULT_OPTIONS['resources']['requests']</t>
  </si>
  <si>
    <t xml:space="preserve">        assert theia_container.resources.requests == THEIA_DEFAULT_OPTIONS['resources']['requests']
        # Verify volume
        assert len(theia_container.volume_mounts) == 1
        assert theia_container.volume_mounts[0].mount_path == '/home/anubis'</t>
  </si>
  <si>
    <t xml:space="preserve">        assert theia_container.volume_mounts[0].read_only is None
        ###########################################
        # Verify autosave container
        # Check env</t>
  </si>
  <si>
    <t xml:space="preserve">        # Verify autosave container
        # Check env
        autosave_env = {env.name: env.value for env in autosave_container.env}
        assert autosave_env == {'AUTOSAVE': 'OFF', 'NETID': s.netid, 'GIT_CRED': None, 'GIT_REPO': '',}</t>
  </si>
  <si>
    <t xml:space="preserve">        assert autosave_env == {'AUTOSAVE': 'OFF', 'NETID': s.netid, 'GIT_CRED': None, 'GIT_REPO': '',}
        # Check ports
        assert autosave_container.ports is None
</t>
  </si>
  <si>
    <t xml:space="preserve">        assert autosave_container.ports is None
        # Check security context
        assert autosave_container.security_context.allow_privilege_escalation is False
        assert autosave_container.security_context.privileged is None</t>
  </si>
  <si>
    <t xml:space="preserve">        assert autosave_container.security_context.run_as_user == 1001
        # Verify volume
        assert len(autosave_container.volume_mounts) == 1
        assert autosave_container.volume_mounts[0].mount_path == '/home/anubis'</t>
  </si>
  <si>
    <t xml:space="preserve">        pod, pvc = create_theia_k8s_pod_pvc(ide, skip_debug_check=True)
        # Assert pvc things
        assert pvc is None
</t>
  </si>
  <si>
    <t xml:space="preserve">        assert pvc is None
        # Assert pod things
        assert pod.metadata.labels['app.kubernetes.io/name'] == 'anubis'
        assert pod.metadata.labels['network-policy'] == 'os-student'</t>
  </si>
  <si>
    <t xml:space="preserve">        init_container: V1Container = pod.spec.init_containers[0]
        # Verify env
        init_env = {env.name: env.value for env in init_container.env}
        assert init_env == {'GIT_REPO': 'https://github.com/AnubisLMS/xv6', 'GIT_CRED': None}</t>
  </si>
  <si>
    <t xml:space="preserve">        assert init_env == {'GIT_REPO': 'https://github.com/AnubisLMS/xv6', 'GIT_CRED': None}
        # Verify image
        assert init_container.image == 'registry.digitalocean.com/anubis/theia-init'
        assert init_container.name == 'theia-init'</t>
  </si>
  <si>
    <t xml:space="preserve">        # Verify theia container
        # Check env
        theia_env = {env.name: env.value for env in theia_container.env}
        assert theia_env['AUTOSAVE'] == 'ON'</t>
  </si>
  <si>
    <t xml:space="preserve">        assert theia_env['COURSE_CODE'] == 'CS-UY 3224'
        # Check ports
        theia_ports = {port.container_port for port in theia_container.ports}
        assert theia_ports == {5000}.union(set(range(8000, 8011)))</t>
  </si>
  <si>
    <t xml:space="preserve">        # Verify autosave container
        # Check env
        autosave_env = {env.name: env.value for env in autosave_container.env}
        assert autosave_env == {'AUTOSAVE': 'ON', 'NETID': s.netid, 'GIT_CRED': None, 'GIT_REPO': 'https://github.com/AnubisLMS/xv6'}</t>
  </si>
  <si>
    <t xml:space="preserve">        assert autosave_env == {'AUTOSAVE': 'ON', 'NETID': s.netid, 'GIT_CRED': None, 'GIT_REPO': 'https://github.com/AnubisLMS/xv6'}
        # Check ports
        assert autosave_container.ports is None
</t>
  </si>
  <si>
    <t xml:space="preserve">    student = Session("student")
    # Get all course data with visuals enabled
    courses_with_visuals = student.get("/public/courses/visuals-list")["courses"]
</t>
  </si>
  <si>
    <t xml:space="preserve">    courses_with_visuals = student.get("/public/courses/visuals-list")["courses"]
    # Iterate over courses, generating visuals for each
    for course in courses_with_visuals:
</t>
  </si>
  <si>
    <t xml:space="preserve">    for course in courses_with_visuals:
        # Pull course id
        course_id = course["id"]
</t>
  </si>
  <si>
    <t xml:space="preserve">        course_id = course["id"]
        # Get the course visual
        usage = student.get(
            f"/public/visuals/course/{course_id}",</t>
  </si>
  <si>
    <t xml:space="preserve">        )
        # Just make sure it didn't 500
        assert usage.headers['Content-Type'] == 'image/png'
        assert usage.status_code == 200</t>
  </si>
  <si>
    <t xml:space="preserve">    student = Session("student")
    # Get the course visual
    usage = student.get(
        f"/public/visuals/playgrounds",</t>
  </si>
  <si>
    <t xml:space="preserve">    )
    # Just make sure it didn't 500
    assert usage.headers['Content-Type'] == 'image/png'
    assert usage.status_code == 200</t>
  </si>
  <si>
    <t xml:space="preserve">
    for days, step in [(14, 1), (90, 7), (180, 1), (365, 30)]:
        # Get the course visual
        usage = student.get(
            f"/public/visuals/active/{days}/{step}",</t>
  </si>
  <si>
    <t xml:space="preserve">
    for days, step in [(365, 1), (365, 30)]:
        # Get the course visual
        r = student.get(
            f"/public/visuals/users/{days}/{step}",</t>
  </si>
  <si>
    <t xml:space="preserve">        )
        # Just make sure it didn't 500
        print('aaa', r.content)
        assert r.headers['Content-Type'] == 'image/png'</t>
  </si>
  <si>
    <t>def create_post(s: Session) -&gt; str:
    course_id = s.course_id
    # Create post
    data = s.post_json('/public/forums/post', json={
        'course_id': course_id,</t>
  </si>
  <si>
    <t xml:space="preserve">    post_id = create_post(s)
    # Create comment
    data = s.post_json(f'/public/forums/post/{post_id}/comment', json={
        'content': 'content1',</t>
  </si>
  <si>
    <t xml:space="preserve">    comment_id = data['comment']['id']
    # Edit comment
    data = s.patch_json(f'/public/forums/post/comment/{comment_id}', json={
        'content': 'content2',</t>
  </si>
  <si>
    <t xml:space="preserve">    assert data['comment']['display_name'] == 'Anonymous'
    # Get comment
    data = s.get(f'/public/forums/post/comment/{comment_id}')
    assert data['comment']['content'] == 'content2'</t>
  </si>
  <si>
    <t xml:space="preserve">    post_id = create_post(s)
    # Create first comment
    data = s.post_json(f'/public/forums/post/{post_id}/comment', json={
        'content': 'content1',</t>
  </si>
  <si>
    <t xml:space="preserve">    comment1_id = data['comment']['id']
    # Create comment
    data = s.post_json(f'/public/forums/post/{post_id}/comment/{comment1_id}', json={
        'content': 'content2',</t>
  </si>
  <si>
    <t xml:space="preserve">    comment2_id = data['comment']['id']
    # Get full post
    data = s.get(f'/public/forums/post/{post_id}')
    assert data</t>
  </si>
  <si>
    <t xml:space="preserve">
def test_static_public():
    # Upload image as a professor first so we have a image to test downloading
    logo = open("logo.png", "rb").read()
    filename = "logo.png"</t>
  </si>
  <si>
    <t xml:space="preserve">    blob_id = prof.post("/admin/static/upload", files={filename: logo_file})["blob"]["path"].lstrip("/")
    # Now test as a student
    student = Session("student")
    r = student.get(f"/public/static/{blob_id}", return_request=True, skip_verify=True)</t>
  </si>
  <si>
    <t>#!/usr/bin/env python
"""Django's command-line utility for administrative tasks."""
import os</t>
  </si>
  <si>
    <t>#!/usr/bin/env python
"""Django's command-line utility for administrative tasks."""
import os
import sys</t>
  </si>
  <si>
    <t xml:space="preserve">
def main():
    """Run administrative tasks."""
    os.environ.setdefault('DJANGO_SETTINGS_MODULE', 'main.settings')
    try:</t>
  </si>
  <si>
    <t>from django.test import TestCase
# Create your tests here.</t>
  </si>
  <si>
    <t>from django.shortcuts import render
# Create your views here.</t>
  </si>
  <si>
    <t># Generated by Django 4.0.4 on 2022-05-31 14:47
from django.conf import settings</t>
  </si>
  <si>
    <t xml:space="preserve">
class DefaultRouterPlusPlus(ExtendedDefaultRouter):
    """DefaultRouter with optional trailing slash and drf-extensions nesting."""
    def __init__(self, *args, **kwargs):</t>
  </si>
  <si>
    <t># Generated by Django 4.0.4 on 2022-08-04 06:25
from django.db import migrations, models</t>
  </si>
  <si>
    <t># Generated by Django 4.0.4 on 2022-06-22 10:14
from django.db import migrations, models</t>
  </si>
  <si>
    <t># Generated by Django 4.0.4 on 2022-06-22 10:17
from django.db import migrations, models</t>
  </si>
  <si>
    <t>"""
ASGI config.
It exposes the ASGI callable as a module-level variable named ``application``.
For more information on this file, see
https://docs.djangoproject.com/en/4.0/howto/deployment/asgi/
"""
import os</t>
  </si>
  <si>
    <t>"""
Django settings.
Generated by 'django-admin startproject' using Django 4.0.4.
For more information on this file, see
https://docs.djangoproject.com/en/4.0/topics/settings/
For the full list of settings and their values, see
https://docs.djangoproject.com/en/4.0/ref/settings/
"""
import os</t>
  </si>
  <si>
    <t xml:space="preserve">from pathlib import Path
# Build paths inside the project like this: BASE_DIR / 'subdir'.
BASE_DIR = Path(__file__).resolve().parent.parent
</t>
  </si>
  <si>
    <t xml:space="preserve">
# Quick-start development settings - unsuitable for production
# See https://docs.djangoproject.com/en/4.0/howto/deployment/checklist/
# SECURITY WARNING: keep the secret key used in production secret!</t>
  </si>
  <si>
    <t xml:space="preserve"># See https://docs.djangoproject.com/en/4.0/howto/deployment/checklist/
# SECURITY WARNING: keep the secret key used in production secret!
SECRET_KEY = "django-insecure--i+bd*fda@!=_0yv$((3(@nruqvv(8c1c8no^+yjl%@b859f57"
</t>
  </si>
  <si>
    <t>SECRET_KEY = "django-insecure--i+bd*fda@!=_0yv$((3(@nruqvv(8c1c8no^+yjl%@b859f57"
# SECURITY WARNING: don't run with debug turned on in production!
DEBUG = os.getenv(
    'DEBUG',</t>
  </si>
  <si>
    <t>SITE_ID = 1
# Application definition
INSTALLED_APPS = [</t>
  </si>
  <si>
    <t xml:space="preserve">
# Database
# https://docs.djangoproject.com/en/4.0/ref/settings/#databases
DB_REMOTE = os.environ.get("DB_REMOTE", "False").lower() == "true"</t>
  </si>
  <si>
    <t xml:space="preserve">
# Password validation
# https://docs.djangoproject.com/en/4.0/ref/settings/#auth-password-validators
AUTH_PASSWORD_VALIDATORS = [</t>
  </si>
  <si>
    <t xml:space="preserve">
# Internationalization
# https://docs.djangoproject.com/en/4.0/topics/i18n/
LANGUAGE_CODE = "en-us"</t>
  </si>
  <si>
    <t xml:space="preserve">
# Default primary key field type
# https://docs.djangoproject.com/en/4.0/ref/settings/#default-auto-field
DEFAULT_AUTO_FIELD = "django.db.models.BigAutoField"</t>
  </si>
  <si>
    <t xml:space="preserve">    )
# aws
AWS_STORAGE_BUCKET_NAME = os.getenv('AWS_STORAGE_BUCKET_NAME', None)
AWS_S3_FILE_OVERWRITE = True</t>
  </si>
  <si>
    <t>AWS_LOCATION = 'static'
# Static files (CSS, JavaScript, Images)
# https://docs.djangoproject.com/en/4.0/howto/static-files/
if AWS_STORAGE_BUCKET_NAME:</t>
  </si>
  <si>
    <t xml:space="preserve">    STATIC_ROOT = os.path.join(PROJECT_ROOT, 'static')
# allauth
ACCOUNT_EMAIL_VERIFICATION = "none"
ACCOUNT_PRESERVE_USERNAME_CASING = False</t>
  </si>
  <si>
    <t xml:space="preserve">ACCOUNT_AUTHENTICATION_METHOD = "username_email"
# dj_rest_auth
REST_USE_JWT = True
</t>
  </si>
  <si>
    <t>REST_USE_JWT = True
# simple jwt
SIMPLE_JWT = {
    "ACCESS_TOKEN_LIFETIME": timedelta(days=15),</t>
  </si>
  <si>
    <t xml:space="preserve">
def opt_slash_path(route: str, view: Callable, name: Optional[str] = None) -&gt; URLPattern:
    """Catches path with or without trailing slash, taking into account query param and hash."""
    # Ignoring the type because while name can be optional on re_path, mypy doesn't agree
    return re_path(fr"^{route}/?(?:[?#].*)?$", view, name=name)  # type: ignore</t>
  </si>
  <si>
    <t xml:space="preserve">def opt_slash_path(route: str, view: Callable, name: Optional[str] = None) -&gt; URLPattern:
    """Catches path with or without trailing slash, taking into account query param and hash."""
    # Ignoring the type because while name can be optional on re_path, mypy doesn't agree
    return re_path(fr"^{route}/?(?:[?#].*)?$", view, name=name)  # type: ignore
</t>
  </si>
  <si>
    <t>"""
WSGI config.
It exposes the WSGI callable as a module-level variable named ``application``.
For more information on this file, see
https://docs.djangoproject.com/en/4.0/howto/deployment/wsgi/
"""
import os</t>
  </si>
  <si>
    <t>import sys
#Default filenames, change as needed
ABSOLUTE = str(Path(__file__).parents[1])
RESOURCES = ABSOLUTE + '/resources/'</t>
  </si>
  <si>
    <t>TRANSACTIONS_FILE = RESOURCES + 'transactions.json'
#Load our .env variables
load_dotenv()
app = Flask(__name__)</t>
  </si>
  <si>
    <t>app = Flask(__name__)
#Grab PLAID variables from .env file
PLAID_CLIENT_ID = os.getenv('PLAID_CLIENT_ID')
PLAID_SECRET = os.getenv('PLAID_SECRET')</t>
  </si>
  <si>
    <t>PLAID_SECRET = os.getenv('PLAID_SECRET')
#Configured for development environment
configuration = plaid.Configuration(
  host=plaid.Environment.Development,</t>
  </si>
  <si>
    <t>client = plaid_api.PlaidApi(api_client)
#Check if theres an access token to read in
if path.exists(ACCESS_TOKEN_FILE):
    with open(ACCESS_TOKEN_FILE, 'r') as inp:</t>
  </si>
  <si>
    <t>item_id = None
#Check if an argument exists and if its value equals the input value
def check_first_arg(value):
  if len(sys.argv) &gt; 1:</t>
  </si>
  <si>
    <t xml:space="preserve">
#Shutdown after transaction data is recieved in order to 
#transition into the data analysis application
def shutdown_server():
    func = request.environ.get('werkzeug.server.shutdown')</t>
  </si>
  <si>
    <t xml:space="preserve">    func()
#Debug help
def format_error(e):
    response = json.loads(e.body)</t>
  </si>
  <si>
    <t xml:space="preserve">                      response['error_message'], 'error_code': response['error_code'], 'error_type': response['error_type']}}
#Catch different date formats output by plaid
#including YYYY-MM-DD and when datetime format
def normalize_date(date_string):
    if "GMT" in date_string:</t>
  </si>
  <si>
    <t xml:space="preserve">    return date_string
#Get most recent transaction date from plaid json file
def get_most_recent_date(filename):
    with open(TRANSACTIONS_FILE, 'r') as inp:</t>
  </si>
  <si>
    <t xml:space="preserve">    return datetime.date(int(date[0]),int(date[1]),int(date[2]))
#Open specified url, used in function for threading purposes
def open_browser():
    webbrowser.open_new_tab('https://localhost:8000')</t>
  </si>
  <si>
    <t>@app.route("/create_link_token", methods=['POST'])
def create_link_token():
    # Get the client_user_id by searching for the current user
    client_user_id = 'mitchhit234'
    # Create a link_token for the given user</t>
  </si>
  <si>
    <t xml:space="preserve">    # Get the client_user_id by searching for the current user
    client_user_id = 'mitchhit234'
    # Create a link_token for the given user
    req = LinkTokenCreateRequest(
            products=[Products("auth")],</t>
  </si>
  <si>
    <t xml:space="preserve">        )
    response = client.link_token_create(req)
    # Send the data to the client
    return jsonify(response.to_dict())
</t>
  </si>
  <si>
    <t xml:space="preserve">    return jsonify(response.to_dict())
#After link token is created, exchange it for an access
#token, which will be stored and used later for Plaid API requests
@app.route('/exchange_public_token', methods=['POST'])
def exchange_public_token():</t>
  </si>
  <si>
    <t xml:space="preserve">        output.write(access_token)
    #redirect to get transaction data
    #return redirect(url_for('get_transactions'))
#Request used for gaining transaction data needed to populate</t>
  </si>
  <si>
    <t xml:space="preserve">    #return redirect(url_for('get_transactions'))
#Request used for gaining transaction data needed to populate
#the data analytics application
@app.route('/api/transactions', methods=['GET'])
def get_transactions():</t>
  </si>
  <si>
    <t>@app.route('/api/transactions', methods=['GET'])
def get_transactions():
    # Pull transactions for the last 2 years (or last 500 transactions)
    # if none avaliable, else pull only new transactions
    append = False
    if path.exists(TRANSACTIONS_FILE):</t>
  </si>
  <si>
    <t xml:space="preserve">    end_date = datetime.datetime.now().date()
    #Max transactions allowed in a single request
    options = TransactionsGetRequestOptions(count=500)
    </t>
  </si>
  <si>
    <t xml:space="preserve">    options = TransactionsGetRequestOptions(count=500)
    #Time out variable in case of error
    frozen = 10
</t>
  </si>
  <si>
    <t xml:space="preserve">    frozen = 10
    #Time out after 30 seconds
    while True:  
        try:</t>
  </si>
  <si>
    <t xml:space="preserve">    while True:  
        try:
            #Send the request for the transaction data
            #usually takes some time, which is the reason
            #behind having a for loop
            request = TransactionsGetRequest(
                access_token=access_token,</t>
  </si>
  <si>
    <t xml:space="preserve">            response = client.transactions_get(request)
            #Allow for multipule transaction requests if there are more 
            #transactions that can fit in a single response (500)
            while len(response['transactions']) &lt; response['total_transactions']:
                request = TransactionsGetRequest(</t>
  </si>
  <si>
    <t xml:space="preserve">            data = jsonify(response.to_dict())
            #If transaction file already exists, we try and append to that data
            if append:
                with open(TRANSACTIONS_FILE, 'r') as inp:</t>
  </si>
  <si>
    <t xml:space="preserve">                to_add, i = [], 0
                #Data is always fetched in date order, so once we hit a transaction we have
                #we know that we have all the transactions after
                while i &lt; len(data.json['transactions']) and data.json['transactions'][i] != existing_data['transactions'][0]:
                    to_add.append(data.json['transactions'][i])</t>
  </si>
  <si>
    <t xml:space="preserve">                    i += 1
                #Prepend these new transactions to the beggining of our transaction data
                existing_data['transactions'] = to_add + existing_data['transactions']
                data.json['transactions'] = existing_data['transactions'] </t>
  </si>
  <si>
    <t xml:space="preserve">                data.json['transactions'] = existing_data['transactions'] 
            #Write transaction data to file         
            with open(TRANSACTIONS_FILE, 'w') as output:
                json.dump(data.json,output, indent=4)</t>
  </si>
  <si>
    <t xml:space="preserve">                return redirect(url_for('shutdown'))
        #Wait 3 seconds to try and request transaction data again post failure
        except plaid.ApiException as e:
            time.sleep(3)</t>
  </si>
  <si>
    <t xml:space="preserve">            time.sleep(3)
            frozen -= 1
            #After 30 seconds, return error message
            if frozen &lt; 1:
                error_response = format_error(e)</t>
  </si>
  <si>
    <t>@app.route('/shutdown', methods=['GET'])
def shutdown():
    #At this point, shutdown and bash script handles
    #switching over to the application
    shutdown_server()
    return 'Transaction data received'</t>
  </si>
  <si>
    <t>@app.route("/", methods=['GET'])
def login():
    #Fetch access token if stored
    if path.exists(ACCESS_TOKEN_FILE):
        return redirect(url_for('get_transactions'))</t>
  </si>
  <si>
    <t xml:space="preserve">    if path.exists(ACCESS_TOKEN_FILE):
        return redirect(url_for('get_transactions'))
    #Prompt user to login to recieve an access token
    return render_template("link.html")
        </t>
  </si>
  <si>
    <t xml:space="preserve">
if __name__ == "__main__":
    #One second delay webbrowser open to give app time to launch
    if not check_first_arg('-s'):
        Timer(1, open_browser).start()</t>
  </si>
  <si>
    <t xml:space="preserve">        Timer(1, open_browser).start()
    #Set host=0.0.0.0 if you want application to be viewable over LAN
    #set ssl_context='adhoc' if you don't want to deal with SSL certs
    app.run(ssl_context=('resources/cert.pem', 'resources/key.pem'), port=8000)</t>
  </si>
  <si>
    <t>#Template code for setting up connection with GMAIL API
#and handling storing credentials
import pickle
import os</t>
  </si>
  <si>
    <t xml:space="preserve">
def Create_Service(client_secret_file, api_name, api_version, *scopes):
    #print(client_secret_file, api_name, api_version, scopes, sep='-')
    CLIENT_SECRET_FILE = client_secret_file
    API_SERVICE_NAME = api_name</t>
  </si>
  <si>
    <t xml:space="preserve">    API_VERSION = api_version
    SCOPES = [scope for scope in scopes[0]]
    #print(SCOPES)
    cred = None</t>
  </si>
  <si>
    <t xml:space="preserve">
    if not cred or not cred.valid:
        #refresh function not working, we will just ask for user authentication
        #again when token expires
        if cred and cred.expired and cred.refresh_token:
            try:</t>
  </si>
  <si>
    <t>#Functions for reading in data, creating/manipulating dataframes,
#and creating interactive tables and graphs
import json
import numpy as np</t>
  </si>
  <si>
    <t xml:space="preserve">
#Default filenames, change as needed
ABSOLUTE = str(Path(__file__).parents[1])
DB_NAME = ABSOLUTE + "/resources/transaction.db"</t>
  </si>
  <si>
    <t xml:space="preserve">META_TABLE = "META"
#Keep float numbers in currency format
pd.options.display.float_format = "${:.2f}".format
</t>
  </si>
  <si>
    <t xml:space="preserve">
#Given our current balance value, it gives our starting value
#before the earliest transaction recorded
def generate_starting(D,current):
  for _ , row in D.iterrows():</t>
  </si>
  <si>
    <t xml:space="preserve">  for _ , row in D.iterrows():
    current -= row['net']
  #Round in case of floating point arithmetic getting wonky
  return round(current,2)
</t>
  </si>
  <si>
    <t xml:space="preserve">
#If the starting value has already been calculated, we fetch that,
#otherwise we need to calculate it for balance plot rendering
def check_for_start(D,conn):
  statement = "SELECT balance FROM " + META_TABLE</t>
  </si>
  <si>
    <t xml:space="preserve">
#Insert our starting value for later retrevial into our META table
def insert_meta_table(date,value,cur):
  statement = 'INSERT INTO ' + META_TABLE + ' VALUES(' + f'"{date}", ' + str(value) + ')'</t>
  </si>
  <si>
    <t xml:space="preserve">
#Initalize the current column
def fetch_balance_col(D,current):
  ret = []</t>
  </si>
  <si>
    <t xml:space="preserve">  
#Since date information from Commerce does not contain time
#I use this function to prevent transactions from stacking on top 
#of each other in our graphs by seperating them with hour variables
#Though not accurate to the hours IRL, they still contain correct order
def adjust_dates(D):
  ret = []</t>
  </si>
  <si>
    <t xml:space="preserve">    if row['date'] == current:
      count += 1
    #New date found, list of old dates are given
    #evenly spaced times 
    else:
      update_date_list(ret,count,current)</t>
  </si>
  <si>
    <t xml:space="preserve">      count = 1
  #Catch any transactions remaining after our loop 
  update_date_list(ret,count,current)
  return ret</t>
  </si>
  <si>
    <t xml:space="preserve">  
#Convert float columns to 2 decimal string to 
#ensure they uphold the currency format
def format_dict_for_table(D):
  D['DATE'] = worded_date(D)</t>
  </si>
  <si>
    <t xml:space="preserve">
#When dataframe is transfered to a dict,
#we lose our float formatting, so we have
#to reinitalize it for each float
def prepare_dict(D):
  dont_convert = ['DATE', 'NUM', 'DESCRIPTION']</t>
  </si>
  <si>
    <t xml:space="preserve">  return ret
#Grabs our base columns, date and description, plus
#one other column corresponding to its page and href
def grab_base_and_col(D,col_name):
  if len(col_name) &lt; 2:</t>
  </si>
  <si>
    <t xml:space="preserve">  base = ['DATE', 'DESCRIPTION', col_name.upper()]
  to_drop = []
  #Drop unwanted columns
  for i in D.columns:
    if i.upper() not in base:</t>
  </si>
  <si>
    <t xml:space="preserve">  D = D.drop(columns=to_drop)
  #Drop rows in which our specified
  #col values is 0
  if col_name != 'BALANCE':
    D = D.replace(0, np.nan)</t>
  </si>
  <si>
    <t xml:space="preserve">  return D
#Replace date column with worded version for easier
#table reading
def worded_date(D):
  temp = []</t>
  </si>
  <si>
    <t xml:space="preserve">  return temp
#Convert possible datetime format to YYYY-MM-DD format
def normalize_dates(D):
  temp = []</t>
  </si>
  <si>
    <t xml:space="preserve">
#Catch different date formats output by plaid
#including YYYY-MM-DD and when datetime format
def normalize_date(date_string):
  if "GMT" in date_string:</t>
  </si>
  <si>
    <t xml:space="preserve">
#Inserts dates in order of occurence into our
#eventual new date column
def update_date_list(L,count,current):
  denom = count + 1</t>
  </si>
  <si>
    <t xml:space="preserve">  return L
#Delete all data from a dataframe that does not fall
#within the given month
def month_only(D,month):
  to_remove = []</t>
  </si>
  <si>
    <t xml:space="preserve">
#Truncate information not needed from the date
#up till the date part inputed inclusive
# y = year, m = month, d = day
def truncate_date(D,typ):
  temp = []</t>
  </si>
  <si>
    <t xml:space="preserve">
#Remove redundant information for simple presentation
#Normal description will still be avaliable to user
#via click actions
def summarize_desc(D):
  redundant_sub = ['CREDIT', 'DEBIT', 'CARD', 'PURCHASE', 'TRACE', 'RECURRING', 'PAYMENT', 'NO:']</t>
  </si>
  <si>
    <t xml:space="preserve">          if not any(x.isdigit() for x in i):
            new += i + ' '
    #removing prefix spaces that show up sometime for sorting reasons
    # while new[0] == ' ':
    #   new = new[1:]
    temp.append(new)
</t>
  </si>
  <si>
    <t xml:space="preserve">
#Configure X axis and rangeslider
def set_fig_x_axis(figure,C,L,S,mode,slide):
  config = []</t>
  </si>
  <si>
    <t xml:space="preserve">
#Plotting transaction number against 
#current balance value, given a list of transactions
#and the starting balance before those transactions
def balance_plot(D):
  fig = go.FigureWidget(go.Scatter(x=D['date'], y=D['balance'], mode='lines+markers', customdata=D['description'],hovertemplate='Balance: $%{y:.2f}'+'&lt;br&gt;Date: %{x} &lt;extra&gt;&lt;/extra&gt;'))</t>
  </si>
  <si>
    <t xml:space="preserve">  fig = go.FigureWidget(go.Scatter(x=D['date'], y=D['balance'], mode='lines+markers', customdata=D['description'],hovertemplate='Balance: $%{y:.2f}'+'&lt;br&gt;Date: %{x} &lt;extra&gt;&lt;/extra&gt;'))
  #Configure variables for graph X axis
  counts = [1, 6, 1, 5]
  labels = ["1M", "6M", "1Y", "5Y"]</t>
  </si>
  <si>
    <t xml:space="preserve">  fig = set_fig_x_axis(fig,counts,labels,steps,stepmode,False)
  #Set div settings for margin, backround, and height
  #Can't find a way to have the height fit to parent div
  fig.update_layout(margin=dict(l=20,r=20,t=20,b=20),
    #height=700,</t>
  </si>
  <si>
    <t xml:space="preserve">  #Can't find a way to have the height fit to parent div
  fig.update_layout(margin=dict(l=20,r=20,t=20,b=20),
    #height=700,
    title=dict(text='ACCOUNT BALANCE \n',x=0.5,y=1,xanchor='center',yanchor='top'),
    font=dict(family="Helvetica, Lucida Bright",size=14)</t>
  </si>
  <si>
    <t xml:space="preserve">  )
  #fig.update_layout(yaxis_tickformat = '$')
  fig.update_layout(title_text='ACCOUNT BALANCE', title_y=0.98)
</t>
  </si>
  <si>
    <t xml:space="preserve">
#Pass type credit, debit, or net for accompying graph
def specalized_plot(D,typ):
  # '/' or '' page is the home page, which shoud be the balance plot</t>
  </si>
  <si>
    <t>#Pass type credit, debit, or net for accompying graph
def specalized_plot(D,typ):
  # '/' or '' page is the home page, which shoud be the balance plot
  if len(typ) &lt; 2:
    return balance_plot(D)</t>
  </si>
  <si>
    <t xml:space="preserve">    return balance_plot(D)
  #Obtain a new dataframe to only show year and month in date variable
  M_DF = truncate_date(D.copy(),'m')
  cur_date = M_DF['date'][0]</t>
  </si>
  <si>
    <t xml:space="preserve">      cur_date, cur_debit, cur_credit = row['date'], row['debit'], row['credit']
  #Final date will not be covered in the above loop
  raw.append(dict(date=cur_date,debit=round(cur_debit,2),credit=round(cur_credit,2)))
</t>
  </si>
  <si>
    <t xml:space="preserve">  raw.append(dict(date=cur_date,debit=round(cur_debit,2),credit=round(cur_credit,2)))
  #Conver our list of dictionaries to a dataframe, add
  #a net balance column
  monthDF = pd.DataFrame(raw)
  monthDF['net'] = monthDF['credit'] - monthDF['debit']</t>
  </si>
  <si>
    <t xml:space="preserve">  
  #Bar Graph color handling
  green = '#32CD32'
  red = '#FF0000'</t>
  </si>
  <si>
    <t xml:space="preserve">
  #Figure creation, similar to balance plot but in bar chart format
  fig=go.Figure()
  fig.add_trace(go.Bar(x=monthDF['date'], y=monthDF[typ],</t>
  </si>
  <si>
    <t xml:space="preserve">    marker=dict(color=monthDF['color']), hovertemplate='$%{y:.2f}' + '&lt;br&gt;Date: %{x}&lt;extra&gt;&lt;/extra&gt;'))
  #Setting up the range selector buttons
  counts = [1, 6, 1, 5]
  labels = ["1M", "6M", "1Y", "5Y"]</t>
  </si>
  <si>
    <t xml:space="preserve">
def table_df(df,cols_to_discard):
  #Drop all columns we dont want to show
  df = df.drop(columns=cols_to_discard)
</t>
  </si>
  <si>
    <t xml:space="preserve">  df = df.drop(columns=cols_to_discard)
  #Condense description information
  if 'description' not in cols_to_discard:
    df['description'] = summarize_desc(df)</t>
  </si>
  <si>
    <t xml:space="preserve">    df['description'] = summarize_desc(df)
  #Present transactions from newset to oldes
  df = df.iloc[::-1]
</t>
  </si>
  <si>
    <t xml:space="preserve">  df = df.iloc[::-1]
  #Capitilize column names for better apperance
  df.columns = df.columns.str.upper()
</t>
  </si>
  <si>
    <t xml:space="preserve">
#Read from our DB and get our dataframe set up
def initalize():
  conn = db.create_database(DB_NAME)</t>
  </si>
  <si>
    <t xml:space="preserve">  conn = db.create_database(DB_NAME)
  #Fetch all current data
  statement = "SELECT * FROM " + TABLE_NAME + " ORDER BY num"
</t>
  </si>
  <si>
    <t xml:space="preserve">  statement = "SELECT * FROM " + TABLE_NAME + " ORDER BY num"
  #Create a net value column
  df = pd.read_sql_query(statement,conn)
  df = df.fillna(0)</t>
  </si>
  <si>
    <t xml:space="preserve">  df['net'] = df['credit'] - df['debit']
  #Helps generate our balance plot
  start = check_for_start(df,conn)
  df['balance'] = fetch_balance_col(df,start)</t>
  </si>
  <si>
    <t xml:space="preserve">
#Read from our JSON data from Plaid instead of DB method
def json_initalize():
  #load this transaction data</t>
  </si>
  <si>
    <t>#Read from our JSON data from Plaid instead of DB method
def json_initalize():
  #load this transaction data
  #REQUIRES setup to be run at least once before this script for this to work
  with open('resources/transactions.json', 'r') as inp:
    data = json.load(inp)</t>
  </si>
  <si>
    <t xml:space="preserve">  available_balance = data['accounts'][0]['balances']['available']
  #Usually this will be 0, but let the user know if any transactions
  #they have made are not accounted for yet and what the dollar amount
  #of those transactions combined is
  if current_balance != available_balance:
    print("$%s of unprocessed transactions" % "{:,.2f}".format(current_balance-available_balance))</t>
  </si>
  <si>
    <t xml:space="preserve">    print("$%s of unprocessed transactions" % "{:,.2f}".format(current_balance-available_balance))
  #Grab data, start formatting it into the format I implemented for the old methods
  temp_df = pd.json_normalize(data, record_path=['transactions'])
  cols = ['date','amount','name']</t>
  </si>
  <si>
    <t xml:space="preserve">  df = df.iloc[::-1]
  #Account for differing date formats present in transaction json
  df['date'] = normalize_dates(df)
</t>
  </si>
  <si>
    <t xml:space="preserve">  df['date'] = normalize_dates(df)
  #Create additional columns needed for data analysis
  debit, credit, num = [], [], []
  for i, row in df.iterrows():</t>
  </si>
  <si>
    <t xml:space="preserve">    num.append(i+1)
  #Make debits negative and credits positive, and reformat column name to match old code
  df['amount'] = -df['amount']
  df['debit'], df['credit'], df['num'] = debit, credit, num</t>
  </si>
  <si>
    <t xml:space="preserve">  df = df.rename({'amount': 'net', 'name': 'description'}, axis=1)
  #This is a really not good way to do this but I already had the code so yeah
  #Creates balance column for data analysis
  start = generate_starting(df,current_balance)
  df['balance'] = fetch_balance_col(df,start)</t>
  </si>
  <si>
    <t xml:space="preserve">  df['balance'] = fetch_balance_col(df,start)
  #Reorder the columns to work with old code
  df = df[['date', 'num', 'description', 'debit', 'credit', 'net', 'balance']]
</t>
  </si>
  <si>
    <t xml:space="preserve">#Meant to run before every application launch
#Will update the database based off of commerce alerts
#Current known transactions commerce doesn't give alerts to (and would </t>
  </si>
  <si>
    <t>#Will update the database based off of commerce alerts
#Current known transactions commerce doesn't give alerts to (and would 
#have to be entered manually or through the export method)
#Transfer from another commerece account
#Direct deposits (gives alert to action and desc, but not price)
from pathlib import Path</t>
  </si>
  <si>
    <t xml:space="preserve">
#Default file names and other variables
#Change only if needed
ABSOLUTE = str(Path(__file__).parents[1])
RESOURCES = ABSOLUTE + "/resources/"</t>
  </si>
  <si>
    <t xml:space="preserve">
#Returns True if d1 is greater than  or
#equal to d2, otherwise returns False
#Date format is YYYY-MM-DD
def compare_dates(d1,d2):
  d1, d2 = d1.replace('-',''), d2.replace('-','')</t>
  </si>
  <si>
    <t xml:space="preserve">  return int(d1) &gt;= int(d2)
#Orders the date from the email to the 
#correct format for SQLite DATE variable
def reorder_date(st):
  st = st.split('-')</t>
  </si>
  <si>
    <t xml:space="preserve">  return f'"{ret[:-1]}"'
#Cleans the money value from the email to
#display as an INT in SQLite
def clean_money(st):
  st = st.replace('$','')</t>
  </si>
  <si>
    <t xml:space="preserve">  return st
#Must match Column name as it appears in DB table
def get_max_col(cur,col_name,tbl_name):
  statement = "SELECT MAX(" + col_name + ") FROM " + tbl_name</t>
  </si>
  <si>
    <t xml:space="preserve">  return cur.fetchone()[0]
#Select all the transactions from the last key (usually date)
def get_last_transactions(cur,key,tbl_name):
  statement = "SELECT * FROM " + tbl_name + " WHERE " + key + " = "</t>
  </si>
  <si>
    <t xml:space="preserve">  return cur.fetchall()
#Prevent insertion of data already inserted in the DB
#Issues could arise later here, not the best logic
def prevent_repeats(inst,repeats):
  for i in range(len(repeats)):</t>
  </si>
  <si>
    <t xml:space="preserve">  return True
#Compare values that could be either a number as a string
#in different percision formats or strings containing 'None'
def comp(x,y):
  if str(x) == 'None' or str(y) == 'None':</t>
  </si>
  <si>
    <t xml:space="preserve">
#Will help fetch the correct part of the email
#for various email formats
def find_correct_mimeType(P):
  for i in P:</t>
  </si>
  <si>
    <t xml:space="preserve">
#Depth indicates how many entries max
#will be returned from our GMail query
def update(DEPTH):
  #Getting connected to the API for this user</t>
  </si>
  <si>
    <t xml:space="preserve">#will be returned from our GMail query
def update(DEPTH):
  #Getting connected to the API for this user
  #based on their credentials file
  service = Create_Service(CLIENT_SECRET_FILE,API_NAME, API_VERSION,SCOPES)
</t>
  </si>
  <si>
    <t xml:space="preserve">  service = Create_Service(CLIENT_SECRET_FILE,API_NAME, API_VERSION,SCOPES)
  #Getting connected to the Data
  #And retreving needed information for insertions
  conn = db.create_database(DB_NAME)
  cursor = conn.cursor()</t>
  </si>
  <si>
    <t xml:space="preserve">  last_entries = get_last_transactions(cursor,"date",TABLE_NAME)
  #Query via the GMail API for message IDs
  L = service.users().messages().list(userId='me', maxResults=DEPTH, q='from:' + ALERT_ADDRESS).execute()
</t>
  </si>
  <si>
    <t xml:space="preserve">  L = service.users().messages().list(userId='me', maxResults=DEPTH, q='from:' + ALERT_ADDRESS).execute()
  #Parse through each email
  valid_values = []
  for i in L['messages']:</t>
  </si>
  <si>
    <t xml:space="preserve">    html_body = base64.urlsafe_b64decode(encoded_body)
    #Use html processing to get the text from our body contents
    soup = BeautifulSoup(html_body, 'html.parser')
    r = soup.find_all('font')</t>
  </si>
  <si>
    <t xml:space="preserve">    r = soup.find_all('font')
    #8 total font tags represent the format for a debit alert
    if len(r) == 8:
      #Ordered as date, description, debit, credit</t>
  </si>
  <si>
    <t xml:space="preserve">    #8 total font tags represent the format for a debit alert
    if len(r) == 8:
      #Ordered as date, description, debit, credit
      date = reorder_date(r[3].text)
      #Checking if this date is later than our last insertion</t>
  </si>
  <si>
    <t xml:space="preserve">      #Ordered as date, description, debit, credit
      date = reorder_date(r[3].text)
      #Checking if this date is later than our last insertion
      #in the database, i.e. is this a new transaction
      if compare_dates(date.strip('"'),last_date):
        #Prepare the parsed info for an Insert Statement</t>
  </si>
  <si>
    <t xml:space="preserve">      #in the database, i.e. is this a new transaction
      if compare_dates(date.strip('"'),last_date):
        #Prepare the parsed info for an Insert Statement
        values = [reorder_date(r[3].text), str(0), r[4].text, clean_money(r[5].text), 'None']
        if prevent_repeats(values,last_entries):</t>
  </si>
  <si>
    <t xml:space="preserve">          valid_values.append(values)
    #5 total font tags represent the format for a direct deposit alert
    elif len(r) == 5:
      headers = mesg_obj['payload']['headers']</t>
  </si>
  <si>
    <t xml:space="preserve">          break
      #formatting raw data for datatable insertion
      date_obj = datetime.strptime(date,'%d %b %Y')
      #gmail seems to consistently report days as one day earlier</t>
  </si>
  <si>
    <t xml:space="preserve">      #formatting raw data for datatable insertion
      date_obj = datetime.strptime(date,'%d %b %Y')
      #gmail seems to consistently report days as one day earlier
      date_obj = date_obj + timedelta(days=1)
      clean_date = date_obj.strftime('%Y-%m-%d')</t>
  </si>
  <si>
    <t xml:space="preserve">      if compare_dates(clean_date,last_date):
        #We need user input since commerce alerts will not give us the dollar amount
        print('What is the value of this direct deposit transaction?\nDate: {} \nDescription: {}'.format(clean_date,desc))
        money = input()</t>
  </si>
  <si>
    <t xml:space="preserve">      
  #GMail query returns emails from newest to oldest
  #We want to insert those in the reverse order
  valid_values.reverse()
</t>
  </si>
  <si>
    <t xml:space="preserve">
  for i in valid_values:
    #Update current num place holder
    i[1] = str(current_num)
    current_num += 1</t>
  </si>
  <si>
    <t xml:space="preserve">    current_num += 1
    #Insert approved transaction into table
    statement = db.generate_insert_sql(TABLE_NAME,i)
    print(statement)</t>
  </si>
  <si>
    <t xml:space="preserve">#Database creation, requires the use of the export.csv file
#in the format provided by Commerce Bank
import sqlite3
from sqlite3 import Error </t>
  </si>
  <si>
    <t xml:space="preserve">
#Default filenames, change as needed
#Change db_update as well
ABSOLUTE = str(Path(__file__).parents[1])
RESOURCES = ABSOLUTE + '/resources/'</t>
  </si>
  <si>
    <t xml:space="preserve">
#Will create a database with the desired name
#and return a cursor object to that database
#If the database already exists, it will 
#just return the cursor object
def create_database(desired_name):
  try: </t>
  </si>
  <si>
    <t xml:space="preserve">    traceback.print_exc()
#Creates a table as outlined
#in the corresponding sql file
def create_table(cur,filename):
  with open(filename, 'r') as f:</t>
  </si>
  <si>
    <t xml:space="preserve">
#Insert each row from our CSV file into our database
#Will output error messages for duplicate rows
def insert_statement_data(cur,filename,table_name):
  current_num = 1</t>
  </si>
  <si>
    <t xml:space="preserve">  current_num = 1
  #Make sure table is empty. comment out this line if you wish to append data
  #from a statement to another database with data, must not have any overlapping entries
  #or else they will be treated as 2 seperate transactions
  #all transactions must take place after the ones in the database
  cur.execute("DELETE FROM " + table_name)
</t>
  </si>
  <si>
    <t xml:space="preserve">  cur.execute("DELETE FROM " + table_name)
  #Uncomment these next 3 lines if above line is commented out
  # cur.execute("SELECT MAX(num) FROM " + table_name)
  # current_num = cur.fetchone()
  # current_num = current_num[0]
  with open(filename, 'r') as f:</t>
  </si>
  <si>
    <t xml:space="preserve">
#Take the table name and values to be inserted 
#Values list must be in the same order as 
#defined by the table's column names
def generate_insert_sql(table_name, values):
  statement = "INSERT INTO " + table_name + " VALUES("</t>
  </si>
  <si>
    <t xml:space="preserve">  return statement[:-1] + ')'
#Cleaning and parsing the CSV file into columns
def clean_row(st):
  st = st.replace('\n','')</t>
  </si>
  <si>
    <t xml:space="preserve">  return st
#Parse the date format from the CSV statement
#into the format used by sqlite's DATE variable
def parse_date(st):
  p = st.split('/')</t>
  </si>
  <si>
    <t xml:space="preserve">
#Will return the debit or credit value,
#and null for whichever didn't exist
#(Each transaction is either a credit or debit)
def net(debit_credit):
  for i in range(len(debit_credit)):</t>
  </si>
  <si>
    <t># Dash application file
# Handles app template loading and redirects
import dash
import dash_bootstrap_components as dbc</t>
  </si>
  <si>
    <t>from threading import Timer
#load stylesheets
global_pathname, global_sortby = '', []
css = [dbc.themes.BOOTSTRAP, 'assets/styles.css']</t>
  </si>
  <si>
    <t>app = dash.Dash(__name__, external_stylesheets=css)
#Handles interaction in regards to table sorting
#and page switching
@app.callback(
  Output('figure-content', 'figure'),</t>
  </si>
  <si>
    <t xml:space="preserve">)
def update_page(pathname,sort_by):
  #dash callback object to be used to determine the
  #origin of the input
  ctx2 = dash.callback_context
</t>
  </si>
  <si>
    <t xml:space="preserve">  ctx2 = dash.callback_context
  #Default to no update
  fig = dash.no_update
  cols = dash.no_update</t>
  </si>
  <si>
    <t xml:space="preserve">  table = dash.no_update
  #Remove '/' from tabs other than home
  #for function input
  if len(pathname) &gt; 1:
    pathname = pathname[1:]</t>
  </si>
  <si>
    <t xml:space="preserve">
  #url was changed, generate the new figure and tables
  if ctx2.triggered[0]['prop_id'] == 'url.pathname':
    fig = gp.specalized_plot(df,pathname)</t>
  </si>
  <si>
    <t xml:space="preserve">    cols = [{"name": i, "id": i} for i in dff.columns]
  #table sort was changed
  else:
    #sort by value if sort was specified</t>
  </si>
  <si>
    <t xml:space="preserve">  #table sort was changed
  else:
    #sort by value if sort was specified
    if len(sort_by):
      col = sort_by[0]['column_id']</t>
  </si>
  <si>
    <t xml:space="preserve">        )
    else:
      #change to default sort if sorting was disabled
      dff = gp.table_df(pre_change.copy(),[])
      dff = gp.grab_base_and_col(dff,pathname.upper())</t>
  </si>
  <si>
    <t xml:space="preserve">    cols = [{"name": i, "id": i} for i in dff.columns]
  #render table from dataframe, produce a dict for dash to read
  table = gp.format_dict_for_table(dff)
</t>
  </si>
  <si>
    <t xml:space="preserve">
#Handles interaction in regards to hover and click events on figures
@app.callback(
  Output('hover-table', 'data'),</t>
  </si>
  <si>
    <t>def update_hover(clickData,pathname):
  #Usual initial load state, make sure interactive table starts out with nothing
  if clickData == None or dash.callback_context.triggered[0]['prop_id'] == 'url.pathname':  
    return None, []</t>
  </si>
  <si>
    <t xml:space="preserve">    return None, []
  #Interactive tables are rendered different between the home page and other pages
  if pathname != "/":
    #Find the point that was clicked</t>
  </si>
  <si>
    <t xml:space="preserve">  #Interactive tables are rendered different between the home page and other pages
  if pathname != "/":
    #Find the point that was clicked
    dt = clickData['points'][0]['x']
    #Remove data points that aren't in the specified page</t>
  </si>
  <si>
    <t xml:space="preserve">    #Find the point that was clicked
    dt = clickData['points'][0]['x']
    #Remove data points that aren't in the specified page
    to_remov = [x for x in toggle_cols if x != pathname[1:]]
    temp = gp.table_df(pre_change.copy(),to_remov)</t>
  </si>
  <si>
    <t xml:space="preserve">    to_remov = [x for x in toggle_cols if x != pathname[1:]]
    temp = gp.table_df(pre_change.copy(),to_remov)
    #Get the right transactions by date
    temp = temp[temp.DATE.str.contains(dt[:7])]
    ret = temp[temp[pathname[1:].upper()] != 0]</t>
  </si>
  <si>
    <t xml:space="preserve">    temp = temp[temp.DATE.str.contains(dt[:7])]
    ret = temp[temp[pathname[1:].upper()] != 0]
    #Generate the dict that will be the new interactive table output
    ret = pd.DataFrame(gp.format_dict_for_table(ret))
  else:</t>
  </si>
  <si>
    <t xml:space="preserve">    ret = pd.DataFrame(gp.format_dict_for_table(ret))
  else:
    #Find the point that was clicked
    data = clickData['points'][0]
    wanted_values = ['x', 'y', 'customdata']</t>
  </si>
  <si>
    <t xml:space="preserve">    d = {key: data[key] for key in wanted_values}
    #Remove data points that aren't in the specified page
    to_remov = [x for x in toggle_cols if x != 'balance' and x != 'net']
    temp = gp.table_df(pre_change.copy(),to_remov)</t>
  </si>
  <si>
    <t xml:space="preserve">    temp = gp.table_df(pre_change.copy(),to_remov)
    #Get the right transaction by date
    temp = temp[temp.DATE.str.contains(d['x'][:10])]
    temp = temp[temp.BALANCE == d['y']]</t>
  </si>
  <si>
    <t xml:space="preserve">    temp = temp[temp.BALANCE == d['y']]
    #Generate the dict that will be the new interactive table output
    ret = pd.DataFrame(gp.format_dict_for_table(temp))
    ret = ret.rename(columns={"NET": "VALUE"})</t>
  </si>
  <si>
    <t xml:space="preserve">
#Open specified url, used in function for threading purposes
def open_browser():
    webbrowser.open(new=0,url='http://localhost:8000')</t>
  </si>
  <si>
    <t xml:space="preserve">    webbrowser.open(new=0,url='http://localhost:8000')
#Check if an argument exists and if its value equals the input value
def check_first_arg(value):
  if len(sys.argv) &gt; 1:</t>
  </si>
  <si>
    <t xml:space="preserve">
if __name__ == '__main__':
  #Base df with all the DB columns + net value
  df = gp.json_initalize()
  pre_change = df.copy()</t>
  </si>
  <si>
    <t xml:space="preserve">  df['date'] = gp.adjust_dates(df)
  #We use different data frames for the different plots,
  #for example we have a balance column for the plot,
  #and we delete columns from the table df and alter description
  #plot_df = gp.main_plot_df(df.copy())
  toggle_cols = ['num', 'credit', 'debit', 'net', 'balance']</t>
  </si>
  <si>
    <t xml:space="preserve">  table_df = gp.table_df(pre_change.copy(),to_remove)
  #Inital page
  fig = gp.balance_plot(df)
  app.layout = t.render_template(fig,table_df)</t>
  </si>
  <si>
    <t xml:space="preserve">  app.layout = t.render_template(fig,table_df)
  #One second delay webbrowser open to give app time to launch
  if not check_first_arg('-s'):
    Timer(1, open_browser).start()</t>
  </si>
  <si>
    <t xml:space="preserve">    Timer(1, open_browser).start()
  #Set host=0.0.0.0 if you want application to be viewable over LAN
  app.run_server(port=8000)</t>
  </si>
  <si>
    <t>#Layout for the dash application
import dash_core_components as dcc
import dash_html_components as html</t>
  </si>
  <si>
    <t xml:space="preserve">ABSOLUTE = str(Path(__file__).parents[1])
#Easier to read template avaliable in static folder
def render_template(fig,df):
</t>
  </si>
  <si>
    <t xml:space="preserve">                      sort_mode='single',
                      sort_by=[],
                      #Prevents errors when data is small enough to actualy shorthen table size
                      #dash does not handle this well, starts infinite looping
                      style_table={
                          'minHeight': '400px', 'height': '400px', 'maxHeight': '400px',</t>
  </si>
  <si>
    <t>Number Sideproject</t>
  </si>
  <si>
    <t>Number Vibecodeing</t>
  </si>
  <si>
    <t>https://github.com/sev-32/AIM-OS</t>
  </si>
  <si>
    <t>https://github.com/GWUDCAP/cc-sessions</t>
  </si>
  <si>
    <t>c9818256769a911406362af55eae078186ee0fba</t>
  </si>
  <si>
    <t>https://github.com/yusufkaraaslan/Skill_Seekers</t>
  </si>
  <si>
    <t>0ca271cdcb5cc3f99da501c457eb4d9813b9cfc0</t>
  </si>
  <si>
    <t>https://github.com/RussellPetty/Rose-CLI-Agent</t>
  </si>
  <si>
    <t>476b9cef7f02c867efdf8f3188f80e85da456313</t>
  </si>
  <si>
    <t>https://github.com/joachimBrindeau/domain-mcp</t>
  </si>
  <si>
    <t>https://github.com/sriem/nextjs-contextify</t>
  </si>
  <si>
    <t>c19fe503e32cc0dde086b769ca501aa64e86f50f</t>
  </si>
  <si>
    <t>https://github.com/notch-ai/autosteer</t>
  </si>
  <si>
    <t>7876658fa8a8ed32e2c2669cb65fb4cbc11c50f1</t>
  </si>
  <si>
    <t>https://github.com/augiefra/PastScreen</t>
  </si>
  <si>
    <t>https://github.com/mannaandpoem/OpenManus</t>
  </si>
  <si>
    <t>de594986fffebb379b82114cdbd03792ca9ada54</t>
  </si>
  <si>
    <t>https://github.com/kimeisele/steward-protocol</t>
  </si>
  <si>
    <t>0b42dd77b871dbab4687805569539ec8fd13257f</t>
  </si>
  <si>
    <t>https://github.com/wilhelmsendk/wake-up-supabase</t>
  </si>
  <si>
    <t>b307e4c17edc55110e9cc62f7d0775d1803371db</t>
  </si>
  <si>
    <t>https://github.com/wonderchatai/dockge-mcp</t>
  </si>
  <si>
    <t>ed7ef4b7a899b3736557731c038bc4b6e9a9bf18</t>
  </si>
  <si>
    <t>https://github.com/gace-ai/vaac</t>
  </si>
  <si>
    <t>da772a22ed42e6726d04ddc875cfb6a67fb5223a</t>
  </si>
  <si>
    <t>https://github.com/realaurora-stw/windows-cursor</t>
  </si>
  <si>
    <t>ca925e37d1533de33ea70343d2e9a0350130ad31</t>
  </si>
  <si>
    <t>https://github.com/AntoanBG3/crimeandpunishment</t>
  </si>
  <si>
    <t>33a64640aae7e60a5920eb3817a8a62ceb00adda</t>
  </si>
  <si>
    <t>https://github.com/richard1912/PasteParty#features</t>
  </si>
  <si>
    <t>https://github.com/DomEscobar/1000prototypes</t>
  </si>
  <si>
    <t>9b6c6d41dfa1bdb4aeec52ff453e4704e0fc6bef</t>
  </si>
  <si>
    <t>https://github.com/Ark0N/AI-Code-Executor?utm_source=chatgpt.com</t>
  </si>
  <si>
    <t>acdbbd5116a8aa932e71ac18aa90d66144d7123c</t>
  </si>
  <si>
    <t>https://github.com/sergeyklay/oar</t>
  </si>
  <si>
    <t>fb59e7ae5223e9d38cf8222e437161d9eac13291</t>
  </si>
  <si>
    <t>https://github.com/rileylemm/chatmind</t>
  </si>
  <si>
    <t>810b5a57b5ab4be7263974c77b7d62463b496af1</t>
  </si>
  <si>
    <t>https://github.com/rpgraffi/convert-compress</t>
  </si>
  <si>
    <t>db292905ba7a0efb2310e2cb6f71d1255edf75c8</t>
  </si>
  <si>
    <t>https://github.com/JavierBaal/KairosFlow</t>
  </si>
  <si>
    <t>5cc55b8113d3ac0bc4c31354609fcc1251728524</t>
  </si>
  <si>
    <t>https://github.com/thecodecentral/gshot-copy</t>
  </si>
  <si>
    <t>64d060d5db004ae62e130c6057ee4d522add9b13</t>
  </si>
  <si>
    <t>https://github.com/bpmforge/cortara</t>
  </si>
  <si>
    <t>4776494d18f8a7b384e4ef7070000512aea93eb6</t>
  </si>
  <si>
    <t>https://github.com/sincerelyyyash/typespeed</t>
  </si>
  <si>
    <t>fc6d1ca8b2308b2fc260fe273087472465dcad4d</t>
  </si>
  <si>
    <t>https://github.com/CodeBoarding/CodeBoarding</t>
  </si>
  <si>
    <t>cea82364bd868597075d79a613a05013ced31391</t>
  </si>
  <si>
    <t>https://github.com/SuperThinking/tap-it</t>
  </si>
  <si>
    <t>21bed75db39745079f05aaa42dfcfb14def638f5</t>
  </si>
  <si>
    <t>https://github.com/dimitritholen/airules</t>
  </si>
  <si>
    <t>f3dc77e431a3edef274d11a1645fa0cc62cff4fe</t>
  </si>
  <si>
    <t>https://github.com/Launchable-AI/agentcontainers-community</t>
  </si>
  <si>
    <t>c95f25230c32db8ce1b85f9b788b178b5c8a8416</t>
  </si>
  <si>
    <t>https://github.com/safedep/vet</t>
  </si>
  <si>
    <t>63463061a59de6184e532f77b594e2236e53f34e</t>
  </si>
  <si>
    <t>https://github.com/summitsingh/ai-instagram-organizer</t>
  </si>
  <si>
    <t>3382a3985c4a814d9d00a5a59c7880928a8ee446</t>
  </si>
  <si>
    <t>https://github.com/opspresso/toast</t>
  </si>
  <si>
    <t>4dc5aded9fd6c4162dc3f3c003f414568910aa54</t>
  </si>
  <si>
    <t>https://github.com/zpix1/windisplay</t>
  </si>
  <si>
    <t>ed3f2d0a4a003b335d00c584acf5fafb04cfa490</t>
  </si>
  <si>
    <t>https://github.com/stwok1/LinkedIn-Enhanced-Navigation-Extension</t>
  </si>
  <si>
    <t>54621812071ef22f00f3bd3858e360156c6016fe</t>
  </si>
  <si>
    <t>https://github.com/ermanakar/animaltasksim</t>
  </si>
  <si>
    <t>8d08b112ed3d2284fbf27025b4ac7cf6a60ff68a</t>
  </si>
  <si>
    <t>https://github.com/chris-rands/space-dino</t>
  </si>
  <si>
    <t>2ff6407db7308758f135b3ade29d99613a8edfdc</t>
  </si>
  <si>
    <t>https://github.com/rlajustin/rn-cf-boilerplate</t>
  </si>
  <si>
    <t>3379867d9f9511428f21e3cbc622c7d2e017e6f3</t>
  </si>
  <si>
    <t>https://github.com/rockerritesh/vibe_coder</t>
  </si>
  <si>
    <t>e0003a0d6332de8fa97025f3ce5ce51ce4587f32</t>
  </si>
  <si>
    <t>https://github.com/falktravis/Prompt-Builder</t>
  </si>
  <si>
    <t>ef14f6be6c8cc747f62e013470224881b46bd650</t>
  </si>
  <si>
    <t>https://github.com/darksidemoney/memorycard</t>
  </si>
  <si>
    <t>e8e5c80d2c039389e0f0d322222f0d05a6d364de</t>
  </si>
  <si>
    <t>https://github.com/Pierkstine/CONTXT</t>
  </si>
  <si>
    <t>01ddf78467d1397a56b3780f27335d71e42cc6d8</t>
  </si>
  <si>
    <t>https://github.com/duke7able/gemini-mcp-desktop-client</t>
  </si>
  <si>
    <t>1063465347a4ffe9aa2638f4bc4a20111d392cc2</t>
  </si>
  <si>
    <t>https://github.com/aniketkarne/ClaudeNightsWatch</t>
  </si>
  <si>
    <t>056ef4899bb8834a1ee6257ff48338fd08adf77b</t>
  </si>
  <si>
    <t>https://github.com/techdebtgpt/pr-agent</t>
  </si>
  <si>
    <t>138ecc68436956df2c404d9111d21109f1bea9d6</t>
  </si>
  <si>
    <t>https://github.com/BeffJezos/vasgit</t>
  </si>
  <si>
    <t>69ad01c14c41b496d3b71ad2fbfa474ac2e44355</t>
  </si>
  <si>
    <t>https://github.com/mmmbeer/playing-card-builder</t>
  </si>
  <si>
    <t>ac2986739c26aa08df67282ce295ab3fbce84816</t>
  </si>
  <si>
    <t>https://github.com/ecurrencyhodler/savegrandma</t>
  </si>
  <si>
    <t>0224cc828f68c679983f7af4dbc6b4099193b889</t>
  </si>
  <si>
    <t>https://github.com/opactorai/Claudable</t>
  </si>
  <si>
    <t>2634077b0eecbf5affd1a8a88fe9f5b5bafde514</t>
  </si>
  <si>
    <t>https://github.com/lucasfernandoprojects/training-ai-to-learn-chinese</t>
  </si>
  <si>
    <t>2ca7087f805d4485f47666ce63520530b79f90d0</t>
  </si>
  <si>
    <t>https://github.com/Ark0N/AI-Code-Executor</t>
  </si>
  <si>
    <t>https://github.com/DreadfulCode/smallest-cookie-banner</t>
  </si>
  <si>
    <t>fd7be752cf0f35eeebc8ac2382f1be3d03897dcd</t>
  </si>
  <si>
    <t>https://github.com/arrold/vibechck</t>
  </si>
  <si>
    <t>f7f378f23e87d4f6a3b33d0b2f82863575700b24</t>
  </si>
  <si>
    <t>https://github.com/AvitalTamir/vibecommander</t>
  </si>
  <si>
    <t>979de3e67d74fcd4dd84f249553c8ca0d6e1e855</t>
  </si>
  <si>
    <t>https://github.com/BrandeisPatrick/blank-space</t>
  </si>
  <si>
    <t>8942728c424df378ae5f0dcd6dea6114759ee4fd</t>
  </si>
  <si>
    <t>https://github.com/ZenBerry/Prevent-global-video-unmute-on-Reddit</t>
  </si>
  <si>
    <t>5052de5b677d5d3f637f3e30a67ed5a12b95d2b9</t>
  </si>
  <si>
    <t>https://github.com/fabriziosalmi/aidlp</t>
  </si>
  <si>
    <t>1967cd6eaad9ff489752f9734ce75aa301490a0a</t>
  </si>
  <si>
    <t>https://github.com/OlegIGalkin/Code-Mind-Map</t>
  </si>
  <si>
    <t>https://github.com/raghavpillai/branchlet</t>
  </si>
  <si>
    <t>8a09f40c6efbaa183f3dc7f48b43d2a47c0676ad</t>
  </si>
  <si>
    <t>https://github.com/alejandroSuch/watt-wait</t>
  </si>
  <si>
    <t>7a23bdaf4e23296a65faae3ebe98eaa4a2a32273</t>
  </si>
  <si>
    <t>https://github.com/infiniV/GitMind</t>
  </si>
  <si>
    <t>f85bbcfb4d829a6192090c102c05a34f73125b1d</t>
  </si>
  <si>
    <t>https://github.com/elusznik/mcp-server-code-execution-mode</t>
  </si>
  <si>
    <t>27d23b8e2c7666c442708d02dbe4e838e9a63038</t>
  </si>
  <si>
    <t>https://github.com/n3s-online/build-roulette</t>
  </si>
  <si>
    <t>16fc6ebdad464f9a1173693b0b915801a8e42b60</t>
  </si>
  <si>
    <t>https://github.com/GoChien/crypto-trading-agent</t>
  </si>
  <si>
    <t>401c598f840c343a75e5561e8d7c7b9b24ffbab8</t>
  </si>
  <si>
    <t>https://github.com/majidmanzarpour/vibe-styler</t>
  </si>
  <si>
    <t>df6a1e0c9c5efd61f12f1cb0da6c3e320ef43e1e</t>
  </si>
  <si>
    <t>https://github.com/TaimoorKhan10/AI-Fairness-Explainability-Toolkit</t>
  </si>
  <si>
    <t>74ad5f68c942943abfc85c714bb09c4245c583e4</t>
  </si>
  <si>
    <t>https://github.com/RazBrry/AicodeGuard</t>
  </si>
  <si>
    <t>83cbfca11c8709ae9e11bcf81b542f2c6309233c</t>
  </si>
  <si>
    <t>https://github.com/smallmindsco/MongTap</t>
  </si>
  <si>
    <t>2afe7716f9fb3764f47c582e93b16ce06141d57d</t>
  </si>
  <si>
    <t>https://github.com/josephwaugh312/VibeFlo</t>
  </si>
  <si>
    <t>dfd7d172951a9e48bad566078577cc54ad3deb08</t>
  </si>
  <si>
    <t>https://github.com/krumjahn/applehealth</t>
  </si>
  <si>
    <t>4487d77250631e894071671f502c1c8e25117bf6</t>
  </si>
  <si>
    <t>https://github.com/ShayanRas/mcp-vibe-package</t>
  </si>
  <si>
    <t>42b0822372305d15fb144db407bc05f65c5d25b3</t>
  </si>
  <si>
    <t>https://github.com/omarseyam1729/windows-xp-folio</t>
  </si>
  <si>
    <t>2e937ac9dc561f5262482ecaa831be7c1bbf237f</t>
  </si>
  <si>
    <t>https://github.com/SUertee/3d-interactive-christmas-tree</t>
  </si>
  <si>
    <t>c5cf20085ec9c9a491b9c07a4f728d6c89abe87e</t>
  </si>
  <si>
    <t>https://github.com/JinayJain/dictator</t>
  </si>
  <si>
    <t>33efff23df4dfc9dd165947018d64263427c72b2</t>
  </si>
  <si>
    <t>https://github.com/h8d13/CeleSun</t>
  </si>
  <si>
    <t>a8ea809a254725b918218e2e984c65d195a02fc5</t>
  </si>
  <si>
    <t>https://github.com/mcgaheypaycen/PikPok</t>
  </si>
  <si>
    <t>63565a31c9257f582c89b5d94d2556718a7d8091</t>
  </si>
  <si>
    <t>https://github.com/computerex/bronie</t>
  </si>
  <si>
    <t>323c2f3d0887ad8616bbcee09c25d8bb2916a9cd</t>
  </si>
  <si>
    <t>https://github.com/Nickqiaoo/chatcode</t>
  </si>
  <si>
    <t>4b6e774d2f108e0f144ce5258691285fcdfc0049</t>
  </si>
  <si>
    <t>https://github.com/AdarshB7/patcha-engine</t>
  </si>
  <si>
    <t>dfaa007b2e2f99bbb9e010c0343122b510aecbfe</t>
  </si>
  <si>
    <t>https://github.com/jguida941/pysort-visualizer</t>
  </si>
  <si>
    <t>55ac0cd6b94e01b1a43216ca90649960249a3cdf</t>
  </si>
  <si>
    <t>https://github.com/sokinpui/coder</t>
  </si>
  <si>
    <t>03f80ecb22d4629a769bdf8261393cb53517ef79</t>
  </si>
  <si>
    <t>49921b48900bb0377cca565f01bd4cc5931874d3</t>
  </si>
  <si>
    <t>https://github.com/hshadab/kinic-api</t>
  </si>
  <si>
    <t>f150bf959cdc94696424ecccd09ebe94d3975b23</t>
  </si>
  <si>
    <t>https://github.com/sjackp/r2-gallery</t>
  </si>
  <si>
    <t>https://github.com/rafaelchandane/wikipedia-terminal</t>
  </si>
  <si>
    <t>1ae462e83a886e9ff49aeb45b20a2156819f1bbb</t>
  </si>
  <si>
    <t>https://github.com/Fennzo/CourtScrapper</t>
  </si>
  <si>
    <t>c1377ced4655f51eb59d685959080fd1a55f03af</t>
  </si>
  <si>
    <t>https://github.com/fbrzlarosa/stackbyte-website</t>
  </si>
  <si>
    <t>24ee561bf149c3974c338f04f9bbb547f566afd8</t>
  </si>
  <si>
    <t>https://github.com/jeffkaufman/gcmidi</t>
  </si>
  <si>
    <t>e48de96d93462f73bf058a191222bff5350019eb</t>
  </si>
  <si>
    <t>https://github.com/SSujitX/docklift</t>
  </si>
  <si>
    <t>555236f5dbb134c7f70167bf2ce99ae8429ff167</t>
  </si>
  <si>
    <t>https://github.com/Chat2AnyLLM/awesome-claude-agents</t>
  </si>
  <si>
    <t>25999b59f10d70c3a27284ae1cdcb65cbd1faec2</t>
  </si>
  <si>
    <t>https://github.com/juansebsol/supabase-keep-db-live</t>
  </si>
  <si>
    <t>c2cfe3b218c6491c52dc6d77b145998ff005fa0f</t>
  </si>
  <si>
    <t>https://github.com/CyberTron957/viscord</t>
  </si>
  <si>
    <t>747c7b3fbba232f7b49787cd56d9f5af9bb49643</t>
  </si>
  <si>
    <t>https://github.com/1337hero/yeet</t>
  </si>
  <si>
    <t>929782b2885cb2f250e4ad2a7c797f291d6d3e45</t>
  </si>
  <si>
    <t>https://github.com/Suwot/mvd-coapp</t>
  </si>
  <si>
    <t>7a99a8242f2bb9347ded8e2344633ed306eb6ba3</t>
  </si>
  <si>
    <t>https://github.com/fabriziosalmi/wildbox</t>
  </si>
  <si>
    <t>d3c049ba85be1c8b30df0762c4d5edfd303304e5</t>
  </si>
  <si>
    <t>https://github.com/EdwardAThomson/Nebula-Rush</t>
  </si>
  <si>
    <t>8526be40171736dfcab77e63e9cb45f0d21947a1</t>
  </si>
  <si>
    <t>https://github.com/MatiasDesuu/ThinkNote</t>
  </si>
  <si>
    <t>0b57c92e2e619f82f78ba9ed72496e4bbb7dd070</t>
  </si>
  <si>
    <t>https://github.com/Qualia-Li/git-summarizer</t>
  </si>
  <si>
    <t>1ab1fb94b8911871e57384633fac5941f7b7bb65</t>
  </si>
  <si>
    <t>https://github.com/kaithoughtarchitect/noderr</t>
  </si>
  <si>
    <t>5f0146d1d4d67d5a416c80cd821b3239ce397cb5</t>
  </si>
  <si>
    <t>https://github.com/nothans/clause-code</t>
  </si>
  <si>
    <t>8e053f5628677f8e0ef5c875f817b0dead7be9ed</t>
  </si>
  <si>
    <t>https://github.com/seegrei/kanv-ai</t>
  </si>
  <si>
    <t>f6794b6e976db79a63ab268e957ff165719d9694</t>
  </si>
  <si>
    <t>https://github.com/szymontex/filharmonia-ai</t>
  </si>
  <si>
    <t>7cdd0ce1cf903b8e191f48d16d4b674ee0811dec</t>
  </si>
  <si>
    <t>https://github.com/OptikR/OptikR?utm_source=chatgpt.com</t>
  </si>
  <si>
    <t>9ccb7c7948ee9fd4e1d8d4d750fbd9207d2e6d10</t>
  </si>
  <si>
    <t>https://github.com/rgarth/TidePool</t>
  </si>
  <si>
    <t>7c4cce1f3cbb8d35a23334cb406de944dbff3481</t>
  </si>
  <si>
    <t>https://github.com/zebangeth/rent-or-buy.homes</t>
  </si>
  <si>
    <t>https://github.com/Mote-Software/the-resistance</t>
  </si>
  <si>
    <t>46a169510c81b7f61133477e5f4198e45fe5dff0</t>
  </si>
  <si>
    <t>https://github.com/rocketship-ai/rocketship</t>
  </si>
  <si>
    <t>08e4e5043baf28a45539a12bb0908f8585944986</t>
  </si>
  <si>
    <t>https://github.com/akshayvkt/aiwrapped</t>
  </si>
  <si>
    <t>d06ca69599462a6539093635cd366c444430ce75</t>
  </si>
  <si>
    <t>https://github.com/Ami3466/ai-live-log-bridge</t>
  </si>
  <si>
    <t>f6a25aafa57c2ede08f101854c78e03ab29a1605</t>
  </si>
  <si>
    <t>https://github.com/imabeastdrew/resybot</t>
  </si>
  <si>
    <t>0f19a22e928cebd530aa3b208e7f768a85403f48</t>
  </si>
  <si>
    <t>https://github.com/ehabhosam/react-ai-element</t>
  </si>
  <si>
    <t>7cb4f9aae7cd084f09023ff8d168affc61968070</t>
  </si>
  <si>
    <t>https://github.com/empathy0/project_bundler</t>
  </si>
  <si>
    <t>a9e265418cf0bbe2bd2249194c5651147455b5ec</t>
  </si>
  <si>
    <t>https://github.com/rm2thaddeus/Pixel_Detective</t>
  </si>
  <si>
    <t>8e741807f9b04e4bbb5c1b5c6460cd271e600837</t>
  </si>
  <si>
    <t>https://github.com/kof70/coolify-mcp-server</t>
  </si>
  <si>
    <t>b0b807fb92ad0f43cf0fb99248c53587d33299d2</t>
  </si>
  <si>
    <t>66100976590bff14c1a4b66f6a090c950a0aad3d</t>
  </si>
  <si>
    <t>ae300b61947542121750b7f6169527cfef0ef7ac</t>
  </si>
  <si>
    <t>ba6df01b4903b60f7c49553c3cb66beb52981dbc</t>
  </si>
  <si>
    <t>945d73be1bf26324678d1e4d2e81b0e20a6a4ddd</t>
  </si>
  <si>
    <t>7514f958e6a30786e52b7fec2e27ade627a036f3</t>
  </si>
  <si>
    <t>e0f34a74fd4375eea99e80797f9f98d3f7666156</t>
  </si>
  <si>
    <t>3d3071ec632dab1c33b85b3ed3b8a61d4d27a51f</t>
  </si>
  <si>
    <t>0fe27ccdf271ac1b0da067adacacd987035c36a7</t>
  </si>
  <si>
    <t>ceaff7cb3d892ef239444a751709374516edbdd0</t>
  </si>
  <si>
    <t>3f98694942c183e559d727e896b99a403a6b0ca1</t>
  </si>
  <si>
    <t>d7341ae2fddd76c529909873aaada7438f57e583</t>
  </si>
  <si>
    <t>7938adb76254d28d7a91ba84b4bcb0e6701c3ae8</t>
  </si>
  <si>
    <t>e959b9dade60909c8a2fb2a550e00d192fdefec4</t>
  </si>
  <si>
    <t>5b632a9abea5d84c6ff92c297fae190f9198ea75</t>
  </si>
  <si>
    <t>1f615cec3a3b412f16d6b229fcd4cf3d63c149f6</t>
  </si>
  <si>
    <t>cfe6edc472c0836f12b377b35fcc666f2792d1b6</t>
  </si>
  <si>
    <t>822407b0b457a5cc6d52bda7959fc7f3e92229a5</t>
  </si>
  <si>
    <t>03c4439b2429ffe4ebc91812475851091d1c65e3</t>
  </si>
  <si>
    <t>05e3f8e4438829d9656e827da27bcad8c855d80c</t>
  </si>
  <si>
    <t>766e38274555840bda4382dae08aa3825afa9e4e</t>
  </si>
  <si>
    <t>06d9d6fffd145c7644e93447a908046386da9a73</t>
  </si>
  <si>
    <t>66f2404da16b8cf4fc6bec8a1387c510c6bd01b5</t>
  </si>
  <si>
    <t>1a1407b6d594d682545b245ee7108c5b35546a90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</si>
</sst>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
      <sz val="12"/>
      <color rgb="FFCCCCCC"/>
      <name val="Menlo"/>
      <family val="2"/>
    </font>
    <font>
      <sz val="10"/>
      <color rgb="FF000000"/>
      <name val="Tahoma"/>
      <family val="2"/>
    </font>
    <font>
      <b/>
      <sz val="10"/>
      <color rgb="FF000000"/>
      <name val="Tahoma"/>
      <family val="2"/>
    </font>
    <font>
      <sz val="10"/>
      <color theme="1"/>
      <name val="Arial"/>
      <family val="2"/>
    </font>
    <font>
      <u/>
      <sz val="12"/>
      <color theme="1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2" fillId="0" borderId="0" applyNumberFormat="0" applyFill="0" applyBorder="0" applyAlignment="0" applyProtection="0"/>
  </cellStyleXfs>
  <cellXfs count="8">
    <xf numFmtId="0" fontId="0" fillId="0" borderId="0" xfId="0"/>
    <xf numFmtId="11" fontId="0" fillId="0" borderId="0" xfId="0" applyNumberFormat="1"/>
    <xf numFmtId="0" fontId="18" fillId="0" borderId="0" xfId="0" applyFont="1"/>
    <xf numFmtId="0" fontId="0" fillId="33" borderId="0" xfId="0" applyFill="1"/>
    <xf numFmtId="0" fontId="21" fillId="0" borderId="0" xfId="0" applyFont="1"/>
    <xf numFmtId="0" fontId="21" fillId="0" borderId="0" xfId="0" applyFont="1" applyAlignment="1">
      <alignment wrapText="1"/>
    </xf>
    <xf numFmtId="0" fontId="0" fillId="0" borderId="0" xfId="0" applyAlignment="1">
      <alignment wrapText="1"/>
    </xf>
    <xf numFmtId="0" fontId="22" fillId="0" borderId="0" xfId="42"/>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person displayName="Anders Freeman" id="{9CE1CE50-377F-A643-967C-2F0E8E7FC788}" userId="S::aefreeman@umass.edu::3b80801a-47fd-46c8-b727-b4430ae5d546"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D3" dT="2026-03-16T14:12:42.01" personId="{9CE1CE50-377F-A643-967C-2F0E8E7FC788}" id="{27908413-811A-A048-9ACA-A5CF7B3A08AB}">
    <text>Up to 888 for second run</text>
  </threadedComment>
  <threadedComment ref="D3" dT="2026-03-16T15:59:45.26" personId="{9CE1CE50-377F-A643-967C-2F0E8E7FC788}" id="{C6CD7FBF-3AA3-954A-826A-4B01D2ED12E6}" parentId="{27908413-811A-A048-9ACA-A5CF7B3A08AB}">
    <text>{
  "byte_offset": 5074229,
  "line_number": 1144
}</text>
  </threadedComment>
</ThreadedComment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hyperlink" Target="https://github.com/GusSand/Anubis/blob/dced3375debfbe06362d2da03f71ea80b29fb81b/theia/autograde/autograde/app.py" TargetMode="Externa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C9696-ED93-234F-B26D-C75B50BA6CA8}">
  <dimension ref="A1:G1158"/>
  <sheetViews>
    <sheetView workbookViewId="0">
      <selection activeCell="H9" sqref="H9"/>
    </sheetView>
  </sheetViews>
  <sheetFormatPr baseColWidth="10" defaultRowHeight="16" x14ac:dyDescent="0.2"/>
  <cols>
    <col min="8" max="8" width="22" customWidth="1"/>
  </cols>
  <sheetData>
    <row r="1" spans="1:7" x14ac:dyDescent="0.2">
      <c r="B1" t="s">
        <v>0</v>
      </c>
      <c r="C1" t="s">
        <v>1</v>
      </c>
      <c r="D1" t="s">
        <v>3</v>
      </c>
      <c r="E1" t="s">
        <v>6</v>
      </c>
      <c r="F1" t="s">
        <v>1959</v>
      </c>
      <c r="G1" t="s">
        <v>2</v>
      </c>
    </row>
    <row r="2" spans="1:7" x14ac:dyDescent="0.2">
      <c r="A2">
        <v>0</v>
      </c>
      <c r="B2" t="s">
        <v>1960</v>
      </c>
      <c r="C2" t="s">
        <v>3045</v>
      </c>
      <c r="D2" t="b">
        <v>0</v>
      </c>
      <c r="E2" t="b">
        <v>0</v>
      </c>
      <c r="F2" t="b">
        <v>1</v>
      </c>
      <c r="G2" t="b">
        <v>0</v>
      </c>
    </row>
    <row r="3" spans="1:7" x14ac:dyDescent="0.2">
      <c r="A3">
        <v>1</v>
      </c>
      <c r="B3" t="s">
        <v>1609</v>
      </c>
      <c r="C3" t="s">
        <v>3046</v>
      </c>
      <c r="D3" t="b">
        <v>0</v>
      </c>
      <c r="E3" t="b">
        <v>0</v>
      </c>
      <c r="F3" t="b">
        <v>1</v>
      </c>
      <c r="G3" t="b">
        <v>0</v>
      </c>
    </row>
    <row r="4" spans="1:7" x14ac:dyDescent="0.2">
      <c r="A4">
        <v>2</v>
      </c>
      <c r="B4" t="s">
        <v>1961</v>
      </c>
      <c r="C4" t="s">
        <v>1962</v>
      </c>
      <c r="D4" t="b">
        <v>0</v>
      </c>
      <c r="E4" t="b">
        <v>0</v>
      </c>
      <c r="F4" t="b">
        <v>1</v>
      </c>
      <c r="G4" t="b">
        <v>0</v>
      </c>
    </row>
    <row r="5" spans="1:7" x14ac:dyDescent="0.2">
      <c r="A5">
        <v>3</v>
      </c>
      <c r="B5" t="s">
        <v>1963</v>
      </c>
      <c r="C5" t="s">
        <v>3047</v>
      </c>
      <c r="D5" t="b">
        <v>0</v>
      </c>
      <c r="E5" t="b">
        <v>0</v>
      </c>
      <c r="F5" t="b">
        <v>1</v>
      </c>
      <c r="G5" t="b">
        <v>0</v>
      </c>
    </row>
    <row r="6" spans="1:7" x14ac:dyDescent="0.2">
      <c r="A6">
        <v>4</v>
      </c>
      <c r="B6" t="s">
        <v>1964</v>
      </c>
      <c r="C6" t="s">
        <v>1965</v>
      </c>
      <c r="D6" t="b">
        <v>0</v>
      </c>
      <c r="E6" t="b">
        <v>0</v>
      </c>
      <c r="F6" t="b">
        <v>1</v>
      </c>
      <c r="G6" t="b">
        <v>0</v>
      </c>
    </row>
    <row r="7" spans="1:7" x14ac:dyDescent="0.2">
      <c r="A7">
        <v>5</v>
      </c>
      <c r="B7" t="s">
        <v>1966</v>
      </c>
      <c r="C7" t="s">
        <v>1967</v>
      </c>
      <c r="D7" t="b">
        <v>0</v>
      </c>
      <c r="E7" t="b">
        <v>0</v>
      </c>
      <c r="F7" t="b">
        <v>1</v>
      </c>
      <c r="G7" t="b">
        <v>0</v>
      </c>
    </row>
    <row r="8" spans="1:7" x14ac:dyDescent="0.2">
      <c r="A8">
        <v>6</v>
      </c>
      <c r="B8" t="s">
        <v>1968</v>
      </c>
      <c r="C8" t="s">
        <v>3048</v>
      </c>
      <c r="D8" t="b">
        <v>0</v>
      </c>
      <c r="E8" t="b">
        <v>0</v>
      </c>
      <c r="F8" t="b">
        <v>1</v>
      </c>
      <c r="G8" t="b">
        <v>0</v>
      </c>
    </row>
    <row r="9" spans="1:7" x14ac:dyDescent="0.2">
      <c r="A9">
        <v>7</v>
      </c>
      <c r="B9" t="s">
        <v>1610</v>
      </c>
      <c r="C9" t="s">
        <v>3049</v>
      </c>
      <c r="D9" t="b">
        <v>0</v>
      </c>
      <c r="E9" t="b">
        <v>0</v>
      </c>
      <c r="F9" t="b">
        <v>1</v>
      </c>
      <c r="G9" t="b">
        <v>0</v>
      </c>
    </row>
    <row r="10" spans="1:7" x14ac:dyDescent="0.2">
      <c r="A10">
        <v>8</v>
      </c>
      <c r="B10" t="s">
        <v>1969</v>
      </c>
      <c r="C10" t="s">
        <v>1970</v>
      </c>
      <c r="D10" t="b">
        <v>0</v>
      </c>
      <c r="E10" t="b">
        <v>0</v>
      </c>
      <c r="F10" t="b">
        <v>1</v>
      </c>
      <c r="G10" t="b">
        <v>0</v>
      </c>
    </row>
    <row r="11" spans="1:7" x14ac:dyDescent="0.2">
      <c r="A11">
        <v>9</v>
      </c>
      <c r="B11" t="s">
        <v>1971</v>
      </c>
      <c r="C11" t="s">
        <v>3050</v>
      </c>
      <c r="D11" t="b">
        <v>0</v>
      </c>
      <c r="E11" t="b">
        <v>0</v>
      </c>
      <c r="F11" t="b">
        <v>1</v>
      </c>
      <c r="G11" t="b">
        <v>0</v>
      </c>
    </row>
    <row r="12" spans="1:7" x14ac:dyDescent="0.2">
      <c r="A12">
        <v>10</v>
      </c>
      <c r="B12" t="s">
        <v>1611</v>
      </c>
      <c r="C12" t="s">
        <v>3051</v>
      </c>
      <c r="D12" t="b">
        <v>0</v>
      </c>
      <c r="E12" t="b">
        <v>0</v>
      </c>
      <c r="F12" t="b">
        <v>1</v>
      </c>
      <c r="G12" t="b">
        <v>0</v>
      </c>
    </row>
    <row r="13" spans="1:7" x14ac:dyDescent="0.2">
      <c r="A13">
        <v>11</v>
      </c>
      <c r="B13" t="s">
        <v>1972</v>
      </c>
      <c r="C13" t="s">
        <v>1973</v>
      </c>
      <c r="D13" t="b">
        <v>0</v>
      </c>
      <c r="E13" t="b">
        <v>0</v>
      </c>
      <c r="F13" t="b">
        <v>1</v>
      </c>
      <c r="G13" t="b">
        <v>0</v>
      </c>
    </row>
    <row r="14" spans="1:7" x14ac:dyDescent="0.2">
      <c r="A14">
        <v>12</v>
      </c>
      <c r="B14" t="s">
        <v>1974</v>
      </c>
      <c r="C14" t="s">
        <v>1975</v>
      </c>
      <c r="D14" t="b">
        <v>0</v>
      </c>
      <c r="E14" t="b">
        <v>0</v>
      </c>
      <c r="F14" t="b">
        <v>1</v>
      </c>
      <c r="G14" t="b">
        <v>0</v>
      </c>
    </row>
    <row r="15" spans="1:7" x14ac:dyDescent="0.2">
      <c r="A15">
        <v>13</v>
      </c>
      <c r="B15" t="s">
        <v>1976</v>
      </c>
      <c r="C15" t="s">
        <v>1977</v>
      </c>
      <c r="D15" t="b">
        <v>0</v>
      </c>
      <c r="E15" t="b">
        <v>0</v>
      </c>
      <c r="F15" t="b">
        <v>1</v>
      </c>
      <c r="G15" t="b">
        <v>0</v>
      </c>
    </row>
    <row r="16" spans="1:7" x14ac:dyDescent="0.2">
      <c r="A16">
        <v>14</v>
      </c>
      <c r="B16" t="s">
        <v>1978</v>
      </c>
      <c r="C16" t="s">
        <v>3052</v>
      </c>
      <c r="D16" t="b">
        <v>0</v>
      </c>
      <c r="E16" t="b">
        <v>0</v>
      </c>
      <c r="F16" t="b">
        <v>1</v>
      </c>
      <c r="G16" t="b">
        <v>0</v>
      </c>
    </row>
    <row r="17" spans="1:7" x14ac:dyDescent="0.2">
      <c r="A17">
        <v>15</v>
      </c>
      <c r="B17" t="s">
        <v>1615</v>
      </c>
      <c r="C17" t="s">
        <v>3053</v>
      </c>
      <c r="D17" t="b">
        <v>0</v>
      </c>
      <c r="E17" t="b">
        <v>0</v>
      </c>
      <c r="F17" t="b">
        <v>1</v>
      </c>
      <c r="G17" t="b">
        <v>0</v>
      </c>
    </row>
    <row r="18" spans="1:7" x14ac:dyDescent="0.2">
      <c r="A18">
        <v>16</v>
      </c>
      <c r="B18" t="s">
        <v>1979</v>
      </c>
      <c r="C18" t="s">
        <v>1980</v>
      </c>
      <c r="D18" t="b">
        <v>0</v>
      </c>
      <c r="E18" t="b">
        <v>0</v>
      </c>
      <c r="F18" t="b">
        <v>1</v>
      </c>
      <c r="G18" t="b">
        <v>0</v>
      </c>
    </row>
    <row r="19" spans="1:7" x14ac:dyDescent="0.2">
      <c r="A19">
        <v>17</v>
      </c>
      <c r="B19" t="s">
        <v>1981</v>
      </c>
      <c r="C19" t="s">
        <v>1982</v>
      </c>
      <c r="D19" t="b">
        <v>0</v>
      </c>
      <c r="E19" t="b">
        <v>0</v>
      </c>
      <c r="F19" t="b">
        <v>1</v>
      </c>
      <c r="G19" t="b">
        <v>0</v>
      </c>
    </row>
    <row r="20" spans="1:7" x14ac:dyDescent="0.2">
      <c r="A20">
        <v>18</v>
      </c>
      <c r="B20" t="s">
        <v>1983</v>
      </c>
      <c r="C20" t="s">
        <v>1984</v>
      </c>
      <c r="D20" t="b">
        <v>0</v>
      </c>
      <c r="E20" t="b">
        <v>0</v>
      </c>
      <c r="F20" t="b">
        <v>1</v>
      </c>
      <c r="G20" t="b">
        <v>0</v>
      </c>
    </row>
    <row r="21" spans="1:7" x14ac:dyDescent="0.2">
      <c r="A21">
        <v>19</v>
      </c>
      <c r="B21" t="s">
        <v>1985</v>
      </c>
      <c r="C21" t="s">
        <v>3054</v>
      </c>
      <c r="D21" t="b">
        <v>0</v>
      </c>
      <c r="E21" t="b">
        <v>0</v>
      </c>
      <c r="F21" t="b">
        <v>1</v>
      </c>
      <c r="G21" t="b">
        <v>0</v>
      </c>
    </row>
    <row r="22" spans="1:7" x14ac:dyDescent="0.2">
      <c r="A22">
        <v>20</v>
      </c>
      <c r="B22" t="s">
        <v>1617</v>
      </c>
      <c r="C22" t="s">
        <v>3055</v>
      </c>
      <c r="D22" t="b">
        <v>0</v>
      </c>
      <c r="E22" t="b">
        <v>0</v>
      </c>
      <c r="F22" t="b">
        <v>1</v>
      </c>
      <c r="G22" t="b">
        <v>0</v>
      </c>
    </row>
    <row r="23" spans="1:7" x14ac:dyDescent="0.2">
      <c r="A23">
        <v>21</v>
      </c>
      <c r="B23" t="s">
        <v>1986</v>
      </c>
      <c r="C23" t="s">
        <v>1987</v>
      </c>
      <c r="D23" t="b">
        <v>0</v>
      </c>
      <c r="E23" t="b">
        <v>0</v>
      </c>
      <c r="F23" t="b">
        <v>1</v>
      </c>
      <c r="G23" t="b">
        <v>0</v>
      </c>
    </row>
    <row r="24" spans="1:7" x14ac:dyDescent="0.2">
      <c r="A24">
        <v>22</v>
      </c>
      <c r="B24" t="s">
        <v>1988</v>
      </c>
      <c r="C24" t="s">
        <v>3056</v>
      </c>
      <c r="D24" t="b">
        <v>0</v>
      </c>
      <c r="E24" t="b">
        <v>0</v>
      </c>
      <c r="F24" t="b">
        <v>1</v>
      </c>
      <c r="G24" t="b">
        <v>0</v>
      </c>
    </row>
    <row r="25" spans="1:7" x14ac:dyDescent="0.2">
      <c r="A25">
        <v>23</v>
      </c>
      <c r="B25" t="s">
        <v>1618</v>
      </c>
      <c r="C25" t="s">
        <v>3057</v>
      </c>
      <c r="D25" t="b">
        <v>0</v>
      </c>
      <c r="E25" t="b">
        <v>0</v>
      </c>
      <c r="F25" t="b">
        <v>1</v>
      </c>
      <c r="G25" t="b">
        <v>0</v>
      </c>
    </row>
    <row r="26" spans="1:7" x14ac:dyDescent="0.2">
      <c r="A26">
        <v>24</v>
      </c>
      <c r="B26" t="s">
        <v>1989</v>
      </c>
      <c r="C26" t="s">
        <v>3058</v>
      </c>
      <c r="D26" t="b">
        <v>0</v>
      </c>
      <c r="E26" t="b">
        <v>0</v>
      </c>
      <c r="F26" t="b">
        <v>1</v>
      </c>
      <c r="G26" t="b">
        <v>0</v>
      </c>
    </row>
    <row r="27" spans="1:7" x14ac:dyDescent="0.2">
      <c r="A27">
        <v>25</v>
      </c>
      <c r="B27" t="s">
        <v>1990</v>
      </c>
      <c r="C27" t="s">
        <v>3059</v>
      </c>
      <c r="D27" t="b">
        <v>0</v>
      </c>
      <c r="E27" t="b">
        <v>0</v>
      </c>
      <c r="F27" t="b">
        <v>1</v>
      </c>
      <c r="G27" t="b">
        <v>0</v>
      </c>
    </row>
    <row r="28" spans="1:7" x14ac:dyDescent="0.2">
      <c r="A28">
        <v>26</v>
      </c>
      <c r="B28" t="s">
        <v>1991</v>
      </c>
      <c r="C28" s="1" t="s">
        <v>1992</v>
      </c>
      <c r="D28" t="b">
        <v>0</v>
      </c>
      <c r="E28" t="b">
        <v>0</v>
      </c>
      <c r="F28" t="b">
        <v>1</v>
      </c>
      <c r="G28" t="b">
        <v>0</v>
      </c>
    </row>
    <row r="29" spans="1:7" x14ac:dyDescent="0.2">
      <c r="A29">
        <v>27</v>
      </c>
      <c r="B29" t="s">
        <v>1619</v>
      </c>
      <c r="C29" t="s">
        <v>3060</v>
      </c>
      <c r="D29" t="b">
        <v>0</v>
      </c>
      <c r="E29" t="b">
        <v>0</v>
      </c>
      <c r="F29" t="b">
        <v>1</v>
      </c>
      <c r="G29" t="b">
        <v>0</v>
      </c>
    </row>
    <row r="30" spans="1:7" x14ac:dyDescent="0.2">
      <c r="A30">
        <v>28</v>
      </c>
      <c r="B30" t="s">
        <v>1620</v>
      </c>
      <c r="C30" t="s">
        <v>3061</v>
      </c>
      <c r="D30" t="b">
        <v>0</v>
      </c>
      <c r="E30" t="b">
        <v>0</v>
      </c>
      <c r="F30" t="b">
        <v>1</v>
      </c>
      <c r="G30" t="b">
        <v>0</v>
      </c>
    </row>
    <row r="31" spans="1:7" x14ac:dyDescent="0.2">
      <c r="A31">
        <v>29</v>
      </c>
      <c r="B31" t="s">
        <v>1993</v>
      </c>
      <c r="C31" t="s">
        <v>1994</v>
      </c>
      <c r="D31" t="b">
        <v>0</v>
      </c>
      <c r="E31" t="b">
        <v>0</v>
      </c>
      <c r="F31" t="b">
        <v>1</v>
      </c>
      <c r="G31" t="b">
        <v>0</v>
      </c>
    </row>
    <row r="32" spans="1:7" x14ac:dyDescent="0.2">
      <c r="A32">
        <v>30</v>
      </c>
      <c r="B32" t="s">
        <v>1995</v>
      </c>
      <c r="C32" t="s">
        <v>1996</v>
      </c>
      <c r="D32" t="b">
        <v>0</v>
      </c>
      <c r="E32" t="b">
        <v>0</v>
      </c>
      <c r="F32" t="b">
        <v>1</v>
      </c>
      <c r="G32" t="b">
        <v>0</v>
      </c>
    </row>
    <row r="33" spans="1:7" x14ac:dyDescent="0.2">
      <c r="A33">
        <v>31</v>
      </c>
      <c r="B33" t="s">
        <v>1997</v>
      </c>
      <c r="C33" t="s">
        <v>3062</v>
      </c>
      <c r="D33" t="b">
        <v>0</v>
      </c>
      <c r="E33" t="b">
        <v>0</v>
      </c>
      <c r="F33" t="b">
        <v>1</v>
      </c>
      <c r="G33" t="b">
        <v>0</v>
      </c>
    </row>
    <row r="34" spans="1:7" x14ac:dyDescent="0.2">
      <c r="A34">
        <v>32</v>
      </c>
      <c r="B34" t="s">
        <v>1998</v>
      </c>
      <c r="C34" t="s">
        <v>1999</v>
      </c>
      <c r="D34" t="b">
        <v>0</v>
      </c>
      <c r="E34" t="b">
        <v>0</v>
      </c>
      <c r="F34" t="b">
        <v>1</v>
      </c>
      <c r="G34" t="b">
        <v>0</v>
      </c>
    </row>
    <row r="35" spans="1:7" x14ac:dyDescent="0.2">
      <c r="A35">
        <v>33</v>
      </c>
      <c r="B35" t="s">
        <v>2000</v>
      </c>
      <c r="C35" t="s">
        <v>2001</v>
      </c>
      <c r="D35" t="b">
        <v>0</v>
      </c>
      <c r="E35" t="b">
        <v>0</v>
      </c>
      <c r="F35" t="b">
        <v>1</v>
      </c>
      <c r="G35" t="b">
        <v>0</v>
      </c>
    </row>
    <row r="36" spans="1:7" x14ac:dyDescent="0.2">
      <c r="A36">
        <v>34</v>
      </c>
      <c r="B36" t="s">
        <v>2002</v>
      </c>
      <c r="C36" t="s">
        <v>3063</v>
      </c>
      <c r="D36" t="b">
        <v>0</v>
      </c>
      <c r="E36" t="b">
        <v>0</v>
      </c>
      <c r="F36" t="b">
        <v>1</v>
      </c>
      <c r="G36" t="b">
        <v>0</v>
      </c>
    </row>
    <row r="37" spans="1:7" x14ac:dyDescent="0.2">
      <c r="A37">
        <v>35</v>
      </c>
      <c r="B37" t="s">
        <v>2003</v>
      </c>
      <c r="C37" t="s">
        <v>2004</v>
      </c>
      <c r="D37" t="b">
        <v>0</v>
      </c>
      <c r="E37" t="b">
        <v>0</v>
      </c>
      <c r="F37" t="b">
        <v>1</v>
      </c>
      <c r="G37" t="b">
        <v>0</v>
      </c>
    </row>
    <row r="38" spans="1:7" x14ac:dyDescent="0.2">
      <c r="A38">
        <v>36</v>
      </c>
      <c r="B38" t="s">
        <v>2005</v>
      </c>
      <c r="C38" t="s">
        <v>3064</v>
      </c>
      <c r="D38" t="b">
        <v>0</v>
      </c>
      <c r="E38" t="b">
        <v>0</v>
      </c>
      <c r="F38" t="b">
        <v>1</v>
      </c>
      <c r="G38" t="b">
        <v>0</v>
      </c>
    </row>
    <row r="39" spans="1:7" x14ac:dyDescent="0.2">
      <c r="A39">
        <v>37</v>
      </c>
      <c r="B39" t="s">
        <v>1625</v>
      </c>
      <c r="C39" t="s">
        <v>3065</v>
      </c>
      <c r="D39" t="b">
        <v>0</v>
      </c>
      <c r="E39" t="b">
        <v>0</v>
      </c>
      <c r="F39" t="b">
        <v>1</v>
      </c>
      <c r="G39" t="b">
        <v>0</v>
      </c>
    </row>
    <row r="40" spans="1:7" x14ac:dyDescent="0.2">
      <c r="A40">
        <v>38</v>
      </c>
      <c r="B40" t="s">
        <v>1626</v>
      </c>
      <c r="C40" t="s">
        <v>3066</v>
      </c>
      <c r="D40" t="b">
        <v>0</v>
      </c>
      <c r="E40" t="b">
        <v>0</v>
      </c>
      <c r="F40" t="b">
        <v>1</v>
      </c>
      <c r="G40" t="b">
        <v>0</v>
      </c>
    </row>
    <row r="41" spans="1:7" x14ac:dyDescent="0.2">
      <c r="A41">
        <v>39</v>
      </c>
      <c r="B41" t="s">
        <v>2006</v>
      </c>
      <c r="C41" t="s">
        <v>3067</v>
      </c>
      <c r="D41" t="b">
        <v>0</v>
      </c>
      <c r="E41" t="b">
        <v>0</v>
      </c>
      <c r="F41" t="b">
        <v>1</v>
      </c>
      <c r="G41" t="b">
        <v>0</v>
      </c>
    </row>
    <row r="42" spans="1:7" x14ac:dyDescent="0.2">
      <c r="A42">
        <v>40</v>
      </c>
      <c r="B42" t="s">
        <v>2007</v>
      </c>
      <c r="C42" t="s">
        <v>2008</v>
      </c>
      <c r="D42" t="b">
        <v>0</v>
      </c>
      <c r="E42" t="b">
        <v>0</v>
      </c>
      <c r="F42" t="b">
        <v>1</v>
      </c>
      <c r="G42" t="b">
        <v>0</v>
      </c>
    </row>
    <row r="43" spans="1:7" x14ac:dyDescent="0.2">
      <c r="A43">
        <v>41</v>
      </c>
      <c r="B43" t="s">
        <v>2009</v>
      </c>
      <c r="C43" t="s">
        <v>2010</v>
      </c>
      <c r="D43" t="b">
        <v>0</v>
      </c>
      <c r="E43" t="b">
        <v>0</v>
      </c>
      <c r="F43" t="b">
        <v>1</v>
      </c>
      <c r="G43" t="b">
        <v>0</v>
      </c>
    </row>
    <row r="44" spans="1:7" x14ac:dyDescent="0.2">
      <c r="A44">
        <v>42</v>
      </c>
      <c r="B44" t="s">
        <v>2011</v>
      </c>
      <c r="C44" t="s">
        <v>2012</v>
      </c>
      <c r="D44" t="b">
        <v>0</v>
      </c>
      <c r="E44" t="b">
        <v>0</v>
      </c>
      <c r="F44" t="b">
        <v>1</v>
      </c>
      <c r="G44" t="b">
        <v>0</v>
      </c>
    </row>
    <row r="45" spans="1:7" x14ac:dyDescent="0.2">
      <c r="A45">
        <v>43</v>
      </c>
      <c r="B45" t="s">
        <v>2013</v>
      </c>
      <c r="C45" t="s">
        <v>2014</v>
      </c>
      <c r="D45" t="b">
        <v>0</v>
      </c>
      <c r="E45" t="b">
        <v>0</v>
      </c>
      <c r="F45" t="b">
        <v>1</v>
      </c>
      <c r="G45" t="b">
        <v>0</v>
      </c>
    </row>
    <row r="46" spans="1:7" x14ac:dyDescent="0.2">
      <c r="A46">
        <v>44</v>
      </c>
      <c r="B46" t="s">
        <v>2015</v>
      </c>
      <c r="C46" t="s">
        <v>2016</v>
      </c>
      <c r="D46" t="b">
        <v>0</v>
      </c>
      <c r="E46" t="b">
        <v>0</v>
      </c>
      <c r="F46" t="b">
        <v>1</v>
      </c>
      <c r="G46" t="b">
        <v>0</v>
      </c>
    </row>
    <row r="47" spans="1:7" x14ac:dyDescent="0.2">
      <c r="A47">
        <v>45</v>
      </c>
      <c r="B47" t="s">
        <v>2017</v>
      </c>
      <c r="C47" t="s">
        <v>2018</v>
      </c>
      <c r="D47" t="b">
        <v>0</v>
      </c>
      <c r="E47" t="b">
        <v>0</v>
      </c>
      <c r="F47" t="b">
        <v>1</v>
      </c>
      <c r="G47" t="b">
        <v>0</v>
      </c>
    </row>
    <row r="48" spans="1:7" x14ac:dyDescent="0.2">
      <c r="A48">
        <v>46</v>
      </c>
      <c r="B48" t="s">
        <v>2019</v>
      </c>
      <c r="C48" t="s">
        <v>3068</v>
      </c>
      <c r="D48" t="b">
        <v>0</v>
      </c>
      <c r="E48" t="b">
        <v>0</v>
      </c>
      <c r="F48" t="b">
        <v>1</v>
      </c>
      <c r="G48" t="b">
        <v>0</v>
      </c>
    </row>
    <row r="49" spans="1:7" x14ac:dyDescent="0.2">
      <c r="A49">
        <v>47</v>
      </c>
      <c r="B49" t="s">
        <v>1628</v>
      </c>
      <c r="C49" t="s">
        <v>3069</v>
      </c>
      <c r="D49" t="b">
        <v>0</v>
      </c>
      <c r="E49" t="b">
        <v>0</v>
      </c>
      <c r="F49" t="b">
        <v>1</v>
      </c>
      <c r="G49" t="b">
        <v>0</v>
      </c>
    </row>
    <row r="50" spans="1:7" x14ac:dyDescent="0.2">
      <c r="A50">
        <v>48</v>
      </c>
      <c r="B50" t="s">
        <v>2020</v>
      </c>
      <c r="C50" t="s">
        <v>2021</v>
      </c>
      <c r="D50" t="b">
        <v>0</v>
      </c>
      <c r="E50" t="b">
        <v>0</v>
      </c>
      <c r="F50" t="b">
        <v>1</v>
      </c>
      <c r="G50" t="b">
        <v>0</v>
      </c>
    </row>
    <row r="51" spans="1:7" x14ac:dyDescent="0.2">
      <c r="A51">
        <v>49</v>
      </c>
      <c r="B51" t="s">
        <v>1629</v>
      </c>
      <c r="C51" t="s">
        <v>3070</v>
      </c>
      <c r="D51" t="b">
        <v>0</v>
      </c>
      <c r="E51" t="b">
        <v>0</v>
      </c>
      <c r="F51" t="b">
        <v>1</v>
      </c>
      <c r="G51" t="b">
        <v>0</v>
      </c>
    </row>
    <row r="52" spans="1:7" x14ac:dyDescent="0.2">
      <c r="A52">
        <v>50</v>
      </c>
      <c r="B52" t="s">
        <v>1631</v>
      </c>
      <c r="C52" t="s">
        <v>3071</v>
      </c>
      <c r="D52" t="b">
        <v>0</v>
      </c>
      <c r="E52" t="b">
        <v>0</v>
      </c>
      <c r="F52" t="b">
        <v>1</v>
      </c>
      <c r="G52" t="b">
        <v>0</v>
      </c>
    </row>
    <row r="53" spans="1:7" x14ac:dyDescent="0.2">
      <c r="A53">
        <v>51</v>
      </c>
      <c r="B53" t="s">
        <v>2022</v>
      </c>
      <c r="C53" t="s">
        <v>2023</v>
      </c>
      <c r="D53" t="b">
        <v>0</v>
      </c>
      <c r="E53" t="b">
        <v>0</v>
      </c>
      <c r="F53" t="b">
        <v>1</v>
      </c>
      <c r="G53" t="b">
        <v>0</v>
      </c>
    </row>
    <row r="54" spans="1:7" x14ac:dyDescent="0.2">
      <c r="A54">
        <v>52</v>
      </c>
      <c r="B54" t="s">
        <v>2024</v>
      </c>
      <c r="C54" t="s">
        <v>2025</v>
      </c>
      <c r="D54" t="b">
        <v>0</v>
      </c>
      <c r="E54" t="b">
        <v>0</v>
      </c>
      <c r="F54" t="b">
        <v>1</v>
      </c>
      <c r="G54" t="b">
        <v>0</v>
      </c>
    </row>
    <row r="55" spans="1:7" x14ac:dyDescent="0.2">
      <c r="A55">
        <v>53</v>
      </c>
      <c r="B55" t="s">
        <v>2026</v>
      </c>
      <c r="C55" t="s">
        <v>2027</v>
      </c>
      <c r="D55" t="b">
        <v>0</v>
      </c>
      <c r="E55" t="b">
        <v>0</v>
      </c>
      <c r="F55" t="b">
        <v>1</v>
      </c>
      <c r="G55" t="b">
        <v>0</v>
      </c>
    </row>
    <row r="56" spans="1:7" x14ac:dyDescent="0.2">
      <c r="A56">
        <v>54</v>
      </c>
      <c r="B56" t="s">
        <v>2028</v>
      </c>
      <c r="C56" t="s">
        <v>2029</v>
      </c>
      <c r="D56" t="b">
        <v>0</v>
      </c>
      <c r="E56" t="b">
        <v>0</v>
      </c>
      <c r="F56" t="b">
        <v>1</v>
      </c>
      <c r="G56" t="b">
        <v>0</v>
      </c>
    </row>
    <row r="57" spans="1:7" x14ac:dyDescent="0.2">
      <c r="A57">
        <v>55</v>
      </c>
      <c r="B57" t="s">
        <v>2030</v>
      </c>
      <c r="C57" t="s">
        <v>2031</v>
      </c>
      <c r="D57" t="b">
        <v>0</v>
      </c>
      <c r="E57" t="b">
        <v>0</v>
      </c>
      <c r="F57" t="b">
        <v>1</v>
      </c>
      <c r="G57" t="b">
        <v>0</v>
      </c>
    </row>
    <row r="58" spans="1:7" x14ac:dyDescent="0.2">
      <c r="A58">
        <v>56</v>
      </c>
      <c r="B58" t="s">
        <v>1632</v>
      </c>
      <c r="C58" t="s">
        <v>3072</v>
      </c>
      <c r="D58" t="b">
        <v>0</v>
      </c>
      <c r="E58" t="b">
        <v>0</v>
      </c>
      <c r="F58" t="b">
        <v>1</v>
      </c>
      <c r="G58" t="b">
        <v>0</v>
      </c>
    </row>
    <row r="59" spans="1:7" x14ac:dyDescent="0.2">
      <c r="A59">
        <v>57</v>
      </c>
      <c r="B59" t="s">
        <v>2032</v>
      </c>
      <c r="C59" t="s">
        <v>3073</v>
      </c>
      <c r="D59" t="b">
        <v>0</v>
      </c>
      <c r="E59" t="b">
        <v>0</v>
      </c>
      <c r="F59" t="b">
        <v>1</v>
      </c>
      <c r="G59" t="b">
        <v>0</v>
      </c>
    </row>
    <row r="60" spans="1:7" x14ac:dyDescent="0.2">
      <c r="A60">
        <v>58</v>
      </c>
      <c r="B60" t="s">
        <v>1633</v>
      </c>
      <c r="C60" t="s">
        <v>3074</v>
      </c>
      <c r="D60" t="b">
        <v>0</v>
      </c>
      <c r="E60" t="b">
        <v>0</v>
      </c>
      <c r="F60" t="b">
        <v>1</v>
      </c>
      <c r="G60" t="b">
        <v>0</v>
      </c>
    </row>
    <row r="61" spans="1:7" x14ac:dyDescent="0.2">
      <c r="A61">
        <v>59</v>
      </c>
      <c r="B61" t="s">
        <v>2033</v>
      </c>
      <c r="C61" t="s">
        <v>2034</v>
      </c>
      <c r="D61" t="b">
        <v>0</v>
      </c>
      <c r="E61" t="b">
        <v>0</v>
      </c>
      <c r="F61" t="b">
        <v>1</v>
      </c>
      <c r="G61" t="b">
        <v>0</v>
      </c>
    </row>
    <row r="62" spans="1:7" x14ac:dyDescent="0.2">
      <c r="A62">
        <v>60</v>
      </c>
      <c r="B62" t="s">
        <v>2035</v>
      </c>
      <c r="C62" t="s">
        <v>2036</v>
      </c>
      <c r="D62" t="b">
        <v>0</v>
      </c>
      <c r="E62" t="b">
        <v>0</v>
      </c>
      <c r="F62" t="b">
        <v>1</v>
      </c>
      <c r="G62" t="b">
        <v>0</v>
      </c>
    </row>
    <row r="63" spans="1:7" x14ac:dyDescent="0.2">
      <c r="A63">
        <v>61</v>
      </c>
      <c r="B63" t="s">
        <v>1634</v>
      </c>
      <c r="C63" t="s">
        <v>3075</v>
      </c>
      <c r="D63" t="b">
        <v>0</v>
      </c>
      <c r="E63" t="b">
        <v>0</v>
      </c>
      <c r="F63" t="b">
        <v>1</v>
      </c>
      <c r="G63" t="b">
        <v>0</v>
      </c>
    </row>
    <row r="64" spans="1:7" x14ac:dyDescent="0.2">
      <c r="A64">
        <v>62</v>
      </c>
      <c r="B64" t="s">
        <v>2037</v>
      </c>
      <c r="C64" s="1" t="s">
        <v>2038</v>
      </c>
      <c r="D64" t="b">
        <v>0</v>
      </c>
      <c r="E64" t="b">
        <v>0</v>
      </c>
      <c r="F64" t="b">
        <v>1</v>
      </c>
      <c r="G64" t="b">
        <v>0</v>
      </c>
    </row>
    <row r="65" spans="1:7" x14ac:dyDescent="0.2">
      <c r="A65">
        <v>63</v>
      </c>
      <c r="B65" s="7" t="s">
        <v>2039</v>
      </c>
      <c r="C65" t="s">
        <v>160</v>
      </c>
      <c r="D65" t="b">
        <v>1</v>
      </c>
      <c r="E65" t="b">
        <v>0</v>
      </c>
      <c r="F65" t="b">
        <v>1</v>
      </c>
      <c r="G65" t="b">
        <v>0</v>
      </c>
    </row>
    <row r="66" spans="1:7" x14ac:dyDescent="0.2">
      <c r="A66">
        <v>64</v>
      </c>
      <c r="B66" t="s">
        <v>2040</v>
      </c>
      <c r="C66" t="s">
        <v>3076</v>
      </c>
      <c r="D66" t="b">
        <v>0</v>
      </c>
      <c r="E66" t="b">
        <v>0</v>
      </c>
      <c r="F66" t="b">
        <v>1</v>
      </c>
      <c r="G66" t="b">
        <v>0</v>
      </c>
    </row>
    <row r="67" spans="1:7" x14ac:dyDescent="0.2">
      <c r="A67">
        <v>65</v>
      </c>
      <c r="B67" t="s">
        <v>2041</v>
      </c>
      <c r="C67" t="s">
        <v>2042</v>
      </c>
      <c r="D67" t="b">
        <v>0</v>
      </c>
      <c r="E67" t="b">
        <v>0</v>
      </c>
      <c r="F67" t="b">
        <v>1</v>
      </c>
      <c r="G67" t="b">
        <v>0</v>
      </c>
    </row>
    <row r="68" spans="1:7" x14ac:dyDescent="0.2">
      <c r="A68">
        <v>66</v>
      </c>
      <c r="B68" t="s">
        <v>2043</v>
      </c>
      <c r="C68" t="s">
        <v>2044</v>
      </c>
      <c r="D68" t="b">
        <v>0</v>
      </c>
      <c r="E68" t="b">
        <v>0</v>
      </c>
      <c r="F68" t="b">
        <v>1</v>
      </c>
      <c r="G68" t="b">
        <v>0</v>
      </c>
    </row>
    <row r="69" spans="1:7" x14ac:dyDescent="0.2">
      <c r="A69">
        <v>67</v>
      </c>
      <c r="B69" t="s">
        <v>2045</v>
      </c>
      <c r="C69" t="s">
        <v>3077</v>
      </c>
      <c r="D69" t="b">
        <v>0</v>
      </c>
      <c r="E69" t="b">
        <v>0</v>
      </c>
      <c r="F69" t="b">
        <v>1</v>
      </c>
      <c r="G69" t="b">
        <v>0</v>
      </c>
    </row>
    <row r="70" spans="1:7" x14ac:dyDescent="0.2">
      <c r="A70">
        <v>68</v>
      </c>
      <c r="B70" t="s">
        <v>2046</v>
      </c>
      <c r="C70" t="s">
        <v>3078</v>
      </c>
      <c r="D70" t="b">
        <v>0</v>
      </c>
      <c r="E70" t="b">
        <v>0</v>
      </c>
      <c r="F70" t="b">
        <v>1</v>
      </c>
      <c r="G70" t="b">
        <v>0</v>
      </c>
    </row>
    <row r="71" spans="1:7" x14ac:dyDescent="0.2">
      <c r="A71">
        <v>69</v>
      </c>
      <c r="B71" t="s">
        <v>1635</v>
      </c>
      <c r="C71" t="s">
        <v>3079</v>
      </c>
      <c r="D71" t="b">
        <v>0</v>
      </c>
      <c r="E71" t="b">
        <v>0</v>
      </c>
      <c r="F71" t="b">
        <v>1</v>
      </c>
      <c r="G71" t="b">
        <v>0</v>
      </c>
    </row>
    <row r="72" spans="1:7" x14ac:dyDescent="0.2">
      <c r="A72">
        <v>70</v>
      </c>
      <c r="B72" t="s">
        <v>2047</v>
      </c>
      <c r="C72" t="s">
        <v>2048</v>
      </c>
      <c r="D72" t="b">
        <v>0</v>
      </c>
      <c r="E72" t="b">
        <v>0</v>
      </c>
      <c r="F72" t="b">
        <v>1</v>
      </c>
      <c r="G72" t="b">
        <v>0</v>
      </c>
    </row>
    <row r="73" spans="1:7" x14ac:dyDescent="0.2">
      <c r="A73">
        <v>71</v>
      </c>
      <c r="B73" t="s">
        <v>2049</v>
      </c>
      <c r="C73" t="s">
        <v>2050</v>
      </c>
      <c r="D73" t="b">
        <v>0</v>
      </c>
      <c r="E73" t="b">
        <v>0</v>
      </c>
      <c r="F73" t="b">
        <v>1</v>
      </c>
      <c r="G73" t="b">
        <v>0</v>
      </c>
    </row>
    <row r="74" spans="1:7" x14ac:dyDescent="0.2">
      <c r="A74">
        <v>72</v>
      </c>
      <c r="B74" t="s">
        <v>1636</v>
      </c>
      <c r="C74" t="s">
        <v>3080</v>
      </c>
      <c r="D74" t="b">
        <v>0</v>
      </c>
      <c r="E74" t="b">
        <v>0</v>
      </c>
      <c r="F74" t="b">
        <v>1</v>
      </c>
      <c r="G74" t="b">
        <v>0</v>
      </c>
    </row>
    <row r="75" spans="1:7" x14ac:dyDescent="0.2">
      <c r="A75">
        <v>73</v>
      </c>
      <c r="B75" t="s">
        <v>2051</v>
      </c>
      <c r="C75" t="s">
        <v>2052</v>
      </c>
      <c r="D75" t="b">
        <v>0</v>
      </c>
      <c r="E75" t="b">
        <v>0</v>
      </c>
      <c r="F75" t="b">
        <v>1</v>
      </c>
      <c r="G75" t="b">
        <v>0</v>
      </c>
    </row>
    <row r="76" spans="1:7" x14ac:dyDescent="0.2">
      <c r="A76">
        <v>74</v>
      </c>
      <c r="B76" t="s">
        <v>2053</v>
      </c>
      <c r="C76" s="1" t="s">
        <v>3081</v>
      </c>
      <c r="D76" t="b">
        <v>0</v>
      </c>
      <c r="E76" t="b">
        <v>0</v>
      </c>
      <c r="F76" t="b">
        <v>1</v>
      </c>
      <c r="G76" t="b">
        <v>0</v>
      </c>
    </row>
    <row r="77" spans="1:7" x14ac:dyDescent="0.2">
      <c r="A77">
        <v>75</v>
      </c>
      <c r="B77" t="s">
        <v>2054</v>
      </c>
      <c r="C77" t="s">
        <v>2055</v>
      </c>
      <c r="D77" t="b">
        <v>0</v>
      </c>
      <c r="E77" t="b">
        <v>0</v>
      </c>
      <c r="F77" t="b">
        <v>1</v>
      </c>
      <c r="G77" t="b">
        <v>0</v>
      </c>
    </row>
    <row r="78" spans="1:7" x14ac:dyDescent="0.2">
      <c r="A78">
        <v>76</v>
      </c>
      <c r="B78" t="s">
        <v>2056</v>
      </c>
      <c r="C78" t="s">
        <v>2057</v>
      </c>
      <c r="D78" t="b">
        <v>0</v>
      </c>
      <c r="E78" t="b">
        <v>0</v>
      </c>
      <c r="F78" t="b">
        <v>1</v>
      </c>
      <c r="G78" t="b">
        <v>0</v>
      </c>
    </row>
    <row r="79" spans="1:7" x14ac:dyDescent="0.2">
      <c r="A79">
        <v>77</v>
      </c>
      <c r="B79" t="s">
        <v>2058</v>
      </c>
      <c r="C79" t="s">
        <v>3082</v>
      </c>
      <c r="D79" t="b">
        <v>0</v>
      </c>
      <c r="E79" t="b">
        <v>0</v>
      </c>
      <c r="F79" t="b">
        <v>1</v>
      </c>
      <c r="G79" t="b">
        <v>0</v>
      </c>
    </row>
    <row r="80" spans="1:7" x14ac:dyDescent="0.2">
      <c r="A80">
        <v>78</v>
      </c>
      <c r="B80" t="s">
        <v>2059</v>
      </c>
      <c r="C80" t="s">
        <v>3083</v>
      </c>
      <c r="D80" t="b">
        <v>0</v>
      </c>
      <c r="E80" t="b">
        <v>0</v>
      </c>
      <c r="F80" t="b">
        <v>1</v>
      </c>
      <c r="G80" t="b">
        <v>0</v>
      </c>
    </row>
    <row r="81" spans="1:7" x14ac:dyDescent="0.2">
      <c r="A81">
        <v>79</v>
      </c>
      <c r="B81" t="s">
        <v>2060</v>
      </c>
      <c r="C81" t="s">
        <v>3084</v>
      </c>
      <c r="D81" t="b">
        <v>0</v>
      </c>
      <c r="E81" t="b">
        <v>0</v>
      </c>
      <c r="F81" t="b">
        <v>1</v>
      </c>
      <c r="G81" t="b">
        <v>0</v>
      </c>
    </row>
    <row r="82" spans="1:7" x14ac:dyDescent="0.2">
      <c r="A82">
        <v>80</v>
      </c>
      <c r="B82" t="s">
        <v>2061</v>
      </c>
      <c r="C82" s="1" t="s">
        <v>2062</v>
      </c>
      <c r="D82" t="b">
        <v>0</v>
      </c>
      <c r="E82" t="b">
        <v>0</v>
      </c>
      <c r="F82" t="b">
        <v>1</v>
      </c>
      <c r="G82" t="b">
        <v>0</v>
      </c>
    </row>
    <row r="83" spans="1:7" x14ac:dyDescent="0.2">
      <c r="A83">
        <v>81</v>
      </c>
      <c r="B83" t="s">
        <v>1638</v>
      </c>
      <c r="C83" t="s">
        <v>3085</v>
      </c>
      <c r="D83" t="b">
        <v>0</v>
      </c>
      <c r="E83" t="b">
        <v>0</v>
      </c>
      <c r="F83" t="b">
        <v>1</v>
      </c>
      <c r="G83" t="b">
        <v>0</v>
      </c>
    </row>
    <row r="84" spans="1:7" x14ac:dyDescent="0.2">
      <c r="A84">
        <v>82</v>
      </c>
      <c r="B84" t="s">
        <v>2063</v>
      </c>
      <c r="C84" t="s">
        <v>2064</v>
      </c>
      <c r="D84" t="b">
        <v>0</v>
      </c>
      <c r="E84" t="b">
        <v>0</v>
      </c>
      <c r="F84" t="b">
        <v>1</v>
      </c>
      <c r="G84" t="b">
        <v>0</v>
      </c>
    </row>
    <row r="85" spans="1:7" x14ac:dyDescent="0.2">
      <c r="A85">
        <v>83</v>
      </c>
      <c r="B85" t="s">
        <v>2065</v>
      </c>
      <c r="C85" t="s">
        <v>2066</v>
      </c>
      <c r="D85" t="b">
        <v>0</v>
      </c>
      <c r="E85" t="b">
        <v>0</v>
      </c>
      <c r="F85" t="b">
        <v>1</v>
      </c>
      <c r="G85" t="b">
        <v>0</v>
      </c>
    </row>
    <row r="86" spans="1:7" x14ac:dyDescent="0.2">
      <c r="A86">
        <v>84</v>
      </c>
      <c r="B86" t="s">
        <v>2067</v>
      </c>
      <c r="C86" t="s">
        <v>3086</v>
      </c>
      <c r="D86" t="b">
        <v>0</v>
      </c>
      <c r="E86" t="b">
        <v>0</v>
      </c>
      <c r="F86" t="b">
        <v>1</v>
      </c>
      <c r="G86" t="b">
        <v>0</v>
      </c>
    </row>
    <row r="87" spans="1:7" x14ac:dyDescent="0.2">
      <c r="A87">
        <v>85</v>
      </c>
      <c r="B87" t="s">
        <v>2068</v>
      </c>
      <c r="C87" t="s">
        <v>2069</v>
      </c>
      <c r="D87" t="b">
        <v>0</v>
      </c>
      <c r="E87" t="b">
        <v>0</v>
      </c>
      <c r="F87" t="b">
        <v>1</v>
      </c>
      <c r="G87" t="b">
        <v>0</v>
      </c>
    </row>
    <row r="88" spans="1:7" x14ac:dyDescent="0.2">
      <c r="A88">
        <v>86</v>
      </c>
      <c r="B88" t="s">
        <v>2070</v>
      </c>
      <c r="C88" t="s">
        <v>2071</v>
      </c>
      <c r="D88" t="b">
        <v>0</v>
      </c>
      <c r="E88" t="b">
        <v>0</v>
      </c>
      <c r="F88" t="b">
        <v>1</v>
      </c>
      <c r="G88" t="b">
        <v>0</v>
      </c>
    </row>
    <row r="89" spans="1:7" x14ac:dyDescent="0.2">
      <c r="A89">
        <v>87</v>
      </c>
      <c r="B89" t="s">
        <v>2072</v>
      </c>
      <c r="C89" t="s">
        <v>2073</v>
      </c>
      <c r="D89" t="b">
        <v>0</v>
      </c>
      <c r="E89" t="b">
        <v>0</v>
      </c>
      <c r="F89" t="b">
        <v>1</v>
      </c>
      <c r="G89" t="b">
        <v>0</v>
      </c>
    </row>
    <row r="90" spans="1:7" x14ac:dyDescent="0.2">
      <c r="A90">
        <v>88</v>
      </c>
      <c r="B90" t="s">
        <v>2074</v>
      </c>
      <c r="C90" t="s">
        <v>2075</v>
      </c>
      <c r="D90" t="b">
        <v>0</v>
      </c>
      <c r="E90" t="b">
        <v>0</v>
      </c>
      <c r="F90" t="b">
        <v>1</v>
      </c>
      <c r="G90" t="b">
        <v>0</v>
      </c>
    </row>
    <row r="91" spans="1:7" x14ac:dyDescent="0.2">
      <c r="A91">
        <v>89</v>
      </c>
      <c r="B91" t="s">
        <v>2076</v>
      </c>
      <c r="C91" t="s">
        <v>3087</v>
      </c>
      <c r="D91" t="b">
        <v>0</v>
      </c>
      <c r="E91" t="b">
        <v>0</v>
      </c>
      <c r="F91" t="b">
        <v>1</v>
      </c>
      <c r="G91" t="b">
        <v>0</v>
      </c>
    </row>
    <row r="92" spans="1:7" x14ac:dyDescent="0.2">
      <c r="A92">
        <v>90</v>
      </c>
      <c r="B92" t="s">
        <v>2077</v>
      </c>
      <c r="C92" t="s">
        <v>3088</v>
      </c>
      <c r="D92" t="b">
        <v>0</v>
      </c>
      <c r="E92" t="b">
        <v>0</v>
      </c>
      <c r="F92" t="b">
        <v>1</v>
      </c>
      <c r="G92" t="b">
        <v>0</v>
      </c>
    </row>
    <row r="93" spans="1:7" x14ac:dyDescent="0.2">
      <c r="A93">
        <v>91</v>
      </c>
      <c r="B93" t="s">
        <v>1641</v>
      </c>
      <c r="C93" t="s">
        <v>3089</v>
      </c>
      <c r="D93" t="b">
        <v>0</v>
      </c>
      <c r="E93" t="b">
        <v>0</v>
      </c>
      <c r="F93" t="b">
        <v>1</v>
      </c>
      <c r="G93" t="b">
        <v>0</v>
      </c>
    </row>
    <row r="94" spans="1:7" x14ac:dyDescent="0.2">
      <c r="A94">
        <v>92</v>
      </c>
      <c r="B94" t="s">
        <v>2078</v>
      </c>
      <c r="C94" t="s">
        <v>2079</v>
      </c>
      <c r="D94" t="b">
        <v>0</v>
      </c>
      <c r="E94" t="b">
        <v>0</v>
      </c>
      <c r="F94" t="b">
        <v>1</v>
      </c>
      <c r="G94" t="b">
        <v>0</v>
      </c>
    </row>
    <row r="95" spans="1:7" x14ac:dyDescent="0.2">
      <c r="A95">
        <v>93</v>
      </c>
      <c r="B95" t="s">
        <v>2080</v>
      </c>
      <c r="C95" t="s">
        <v>3090</v>
      </c>
      <c r="D95" t="b">
        <v>0</v>
      </c>
      <c r="E95" t="b">
        <v>0</v>
      </c>
      <c r="F95" t="b">
        <v>1</v>
      </c>
      <c r="G95" t="b">
        <v>0</v>
      </c>
    </row>
    <row r="96" spans="1:7" x14ac:dyDescent="0.2">
      <c r="A96">
        <v>94</v>
      </c>
      <c r="B96" t="s">
        <v>2081</v>
      </c>
      <c r="C96" t="s">
        <v>3091</v>
      </c>
      <c r="D96" t="b">
        <v>0</v>
      </c>
      <c r="E96" t="b">
        <v>0</v>
      </c>
      <c r="F96" t="b">
        <v>1</v>
      </c>
      <c r="G96" t="b">
        <v>0</v>
      </c>
    </row>
    <row r="97" spans="1:7" x14ac:dyDescent="0.2">
      <c r="A97">
        <v>95</v>
      </c>
      <c r="B97" t="s">
        <v>2082</v>
      </c>
      <c r="C97" t="s">
        <v>3092</v>
      </c>
      <c r="D97" t="b">
        <v>0</v>
      </c>
      <c r="E97" t="b">
        <v>0</v>
      </c>
      <c r="F97" t="b">
        <v>1</v>
      </c>
      <c r="G97" t="b">
        <v>0</v>
      </c>
    </row>
    <row r="98" spans="1:7" x14ac:dyDescent="0.2">
      <c r="A98">
        <v>96</v>
      </c>
      <c r="B98" t="s">
        <v>2083</v>
      </c>
      <c r="C98" t="s">
        <v>3093</v>
      </c>
      <c r="D98" t="b">
        <v>0</v>
      </c>
      <c r="E98" t="b">
        <v>0</v>
      </c>
      <c r="F98" t="b">
        <v>1</v>
      </c>
      <c r="G98" t="b">
        <v>0</v>
      </c>
    </row>
    <row r="99" spans="1:7" x14ac:dyDescent="0.2">
      <c r="A99">
        <v>97</v>
      </c>
      <c r="B99" t="s">
        <v>2084</v>
      </c>
      <c r="C99" t="s">
        <v>2085</v>
      </c>
      <c r="D99" t="b">
        <v>0</v>
      </c>
      <c r="E99" t="b">
        <v>0</v>
      </c>
      <c r="F99" t="b">
        <v>1</v>
      </c>
      <c r="G99" t="b">
        <v>0</v>
      </c>
    </row>
    <row r="100" spans="1:7" x14ac:dyDescent="0.2">
      <c r="A100">
        <v>98</v>
      </c>
      <c r="B100" t="s">
        <v>2086</v>
      </c>
      <c r="C100" t="s">
        <v>3094</v>
      </c>
      <c r="D100" t="b">
        <v>0</v>
      </c>
      <c r="E100" t="b">
        <v>0</v>
      </c>
      <c r="F100" t="b">
        <v>1</v>
      </c>
      <c r="G100" t="b">
        <v>0</v>
      </c>
    </row>
    <row r="101" spans="1:7" x14ac:dyDescent="0.2">
      <c r="A101">
        <v>99</v>
      </c>
      <c r="B101" t="s">
        <v>2087</v>
      </c>
      <c r="C101" t="s">
        <v>3095</v>
      </c>
      <c r="D101" t="b">
        <v>0</v>
      </c>
      <c r="E101" t="b">
        <v>0</v>
      </c>
      <c r="F101" t="b">
        <v>1</v>
      </c>
      <c r="G101" t="b">
        <v>0</v>
      </c>
    </row>
    <row r="102" spans="1:7" x14ac:dyDescent="0.2">
      <c r="A102">
        <v>100</v>
      </c>
      <c r="B102" t="s">
        <v>2088</v>
      </c>
      <c r="C102" t="s">
        <v>2089</v>
      </c>
      <c r="D102" t="b">
        <v>0</v>
      </c>
      <c r="E102" t="b">
        <v>0</v>
      </c>
      <c r="F102" t="b">
        <v>1</v>
      </c>
      <c r="G102" t="b">
        <v>0</v>
      </c>
    </row>
    <row r="103" spans="1:7" x14ac:dyDescent="0.2">
      <c r="A103">
        <v>101</v>
      </c>
      <c r="B103" t="s">
        <v>2090</v>
      </c>
      <c r="C103" t="s">
        <v>3096</v>
      </c>
      <c r="D103" t="b">
        <v>0</v>
      </c>
      <c r="E103" t="b">
        <v>0</v>
      </c>
      <c r="F103" t="b">
        <v>1</v>
      </c>
      <c r="G103" t="b">
        <v>0</v>
      </c>
    </row>
    <row r="104" spans="1:7" x14ac:dyDescent="0.2">
      <c r="A104">
        <v>102</v>
      </c>
      <c r="B104" t="s">
        <v>2091</v>
      </c>
      <c r="C104" t="s">
        <v>2092</v>
      </c>
      <c r="D104" t="b">
        <v>0</v>
      </c>
      <c r="E104" t="b">
        <v>0</v>
      </c>
      <c r="F104" t="b">
        <v>1</v>
      </c>
      <c r="G104" t="b">
        <v>0</v>
      </c>
    </row>
    <row r="105" spans="1:7" x14ac:dyDescent="0.2">
      <c r="A105">
        <v>103</v>
      </c>
      <c r="B105" t="s">
        <v>2093</v>
      </c>
      <c r="C105" t="s">
        <v>3097</v>
      </c>
      <c r="D105" t="b">
        <v>0</v>
      </c>
      <c r="E105" t="b">
        <v>0</v>
      </c>
      <c r="F105" t="b">
        <v>1</v>
      </c>
      <c r="G105" t="b">
        <v>0</v>
      </c>
    </row>
    <row r="106" spans="1:7" x14ac:dyDescent="0.2">
      <c r="A106">
        <v>104</v>
      </c>
      <c r="B106" t="s">
        <v>2094</v>
      </c>
      <c r="C106" t="s">
        <v>3098</v>
      </c>
      <c r="D106" t="b">
        <v>0</v>
      </c>
      <c r="E106" t="b">
        <v>0</v>
      </c>
      <c r="F106" t="b">
        <v>1</v>
      </c>
      <c r="G106" t="b">
        <v>0</v>
      </c>
    </row>
    <row r="107" spans="1:7" x14ac:dyDescent="0.2">
      <c r="A107">
        <v>105</v>
      </c>
      <c r="B107" t="s">
        <v>2095</v>
      </c>
      <c r="C107" t="s">
        <v>2096</v>
      </c>
      <c r="D107" t="b">
        <v>0</v>
      </c>
      <c r="E107" t="b">
        <v>0</v>
      </c>
      <c r="F107" t="b">
        <v>1</v>
      </c>
      <c r="G107" t="b">
        <v>0</v>
      </c>
    </row>
    <row r="108" spans="1:7" x14ac:dyDescent="0.2">
      <c r="A108">
        <v>106</v>
      </c>
      <c r="B108" t="s">
        <v>2097</v>
      </c>
      <c r="C108" t="s">
        <v>3099</v>
      </c>
      <c r="D108" t="b">
        <v>0</v>
      </c>
      <c r="E108" t="b">
        <v>0</v>
      </c>
      <c r="F108" t="b">
        <v>1</v>
      </c>
      <c r="G108" t="b">
        <v>0</v>
      </c>
    </row>
    <row r="109" spans="1:7" x14ac:dyDescent="0.2">
      <c r="A109">
        <v>107</v>
      </c>
      <c r="B109" t="s">
        <v>2098</v>
      </c>
      <c r="C109" s="1" t="s">
        <v>3100</v>
      </c>
      <c r="D109" t="b">
        <v>0</v>
      </c>
      <c r="E109" t="b">
        <v>0</v>
      </c>
      <c r="F109" t="b">
        <v>1</v>
      </c>
      <c r="G109" t="b">
        <v>0</v>
      </c>
    </row>
    <row r="110" spans="1:7" x14ac:dyDescent="0.2">
      <c r="A110">
        <v>108</v>
      </c>
      <c r="B110" t="s">
        <v>2099</v>
      </c>
      <c r="C110" t="s">
        <v>3101</v>
      </c>
      <c r="D110" t="b">
        <v>0</v>
      </c>
      <c r="E110" t="b">
        <v>0</v>
      </c>
      <c r="F110" t="b">
        <v>1</v>
      </c>
      <c r="G110" t="b">
        <v>0</v>
      </c>
    </row>
    <row r="111" spans="1:7" x14ac:dyDescent="0.2">
      <c r="A111">
        <v>109</v>
      </c>
      <c r="B111" t="s">
        <v>2100</v>
      </c>
      <c r="C111" t="s">
        <v>2101</v>
      </c>
      <c r="D111" t="b">
        <v>0</v>
      </c>
      <c r="E111" t="b">
        <v>0</v>
      </c>
      <c r="F111" t="b">
        <v>1</v>
      </c>
      <c r="G111" t="b">
        <v>0</v>
      </c>
    </row>
    <row r="112" spans="1:7" x14ac:dyDescent="0.2">
      <c r="A112">
        <v>110</v>
      </c>
      <c r="B112" t="s">
        <v>2102</v>
      </c>
      <c r="C112" t="s">
        <v>2103</v>
      </c>
      <c r="D112" t="b">
        <v>0</v>
      </c>
      <c r="E112" t="b">
        <v>0</v>
      </c>
      <c r="F112" t="b">
        <v>1</v>
      </c>
      <c r="G112" t="b">
        <v>0</v>
      </c>
    </row>
    <row r="113" spans="1:7" x14ac:dyDescent="0.2">
      <c r="A113">
        <v>111</v>
      </c>
      <c r="B113" t="s">
        <v>2104</v>
      </c>
      <c r="C113" t="s">
        <v>2105</v>
      </c>
      <c r="D113" t="b">
        <v>0</v>
      </c>
      <c r="E113" t="b">
        <v>0</v>
      </c>
      <c r="F113" t="b">
        <v>1</v>
      </c>
      <c r="G113" t="b">
        <v>0</v>
      </c>
    </row>
    <row r="114" spans="1:7" x14ac:dyDescent="0.2">
      <c r="A114">
        <v>112</v>
      </c>
      <c r="B114" t="s">
        <v>2106</v>
      </c>
      <c r="C114" t="s">
        <v>2107</v>
      </c>
      <c r="D114" t="b">
        <v>0</v>
      </c>
      <c r="E114" t="b">
        <v>0</v>
      </c>
      <c r="F114" t="b">
        <v>1</v>
      </c>
      <c r="G114" t="b">
        <v>0</v>
      </c>
    </row>
    <row r="115" spans="1:7" x14ac:dyDescent="0.2">
      <c r="A115">
        <v>113</v>
      </c>
      <c r="B115" t="s">
        <v>2108</v>
      </c>
      <c r="C115" t="s">
        <v>2109</v>
      </c>
      <c r="D115" t="b">
        <v>0</v>
      </c>
      <c r="E115" t="b">
        <v>0</v>
      </c>
      <c r="F115" t="b">
        <v>1</v>
      </c>
      <c r="G115" t="b">
        <v>0</v>
      </c>
    </row>
    <row r="116" spans="1:7" x14ac:dyDescent="0.2">
      <c r="A116">
        <v>114</v>
      </c>
      <c r="B116" t="s">
        <v>2110</v>
      </c>
      <c r="C116" t="s">
        <v>2111</v>
      </c>
      <c r="D116" t="b">
        <v>0</v>
      </c>
      <c r="E116" t="b">
        <v>0</v>
      </c>
      <c r="F116" t="b">
        <v>1</v>
      </c>
      <c r="G116" t="b">
        <v>0</v>
      </c>
    </row>
    <row r="117" spans="1:7" x14ac:dyDescent="0.2">
      <c r="A117">
        <v>115</v>
      </c>
      <c r="B117" t="s">
        <v>2112</v>
      </c>
      <c r="C117" t="s">
        <v>2113</v>
      </c>
      <c r="D117" t="b">
        <v>0</v>
      </c>
      <c r="E117" t="b">
        <v>0</v>
      </c>
      <c r="F117" t="b">
        <v>1</v>
      </c>
      <c r="G117" t="b">
        <v>0</v>
      </c>
    </row>
    <row r="118" spans="1:7" x14ac:dyDescent="0.2">
      <c r="A118">
        <v>116</v>
      </c>
      <c r="B118" t="s">
        <v>2114</v>
      </c>
      <c r="C118" t="s">
        <v>2115</v>
      </c>
      <c r="D118" t="b">
        <v>0</v>
      </c>
      <c r="E118" t="b">
        <v>0</v>
      </c>
      <c r="F118" t="b">
        <v>1</v>
      </c>
      <c r="G118" t="b">
        <v>0</v>
      </c>
    </row>
    <row r="119" spans="1:7" x14ac:dyDescent="0.2">
      <c r="A119">
        <v>117</v>
      </c>
      <c r="B119" t="s">
        <v>2116</v>
      </c>
      <c r="C119" t="s">
        <v>2117</v>
      </c>
      <c r="D119" t="b">
        <v>0</v>
      </c>
      <c r="E119" t="b">
        <v>0</v>
      </c>
      <c r="F119" t="b">
        <v>1</v>
      </c>
      <c r="G119" t="b">
        <v>0</v>
      </c>
    </row>
    <row r="120" spans="1:7" x14ac:dyDescent="0.2">
      <c r="A120">
        <v>118</v>
      </c>
      <c r="B120" t="s">
        <v>2118</v>
      </c>
      <c r="C120" t="s">
        <v>2119</v>
      </c>
      <c r="D120" t="b">
        <v>0</v>
      </c>
      <c r="E120" t="b">
        <v>0</v>
      </c>
      <c r="F120" t="b">
        <v>1</v>
      </c>
      <c r="G120" t="b">
        <v>0</v>
      </c>
    </row>
    <row r="121" spans="1:7" x14ac:dyDescent="0.2">
      <c r="A121">
        <v>119</v>
      </c>
      <c r="B121" t="s">
        <v>2120</v>
      </c>
      <c r="C121" t="s">
        <v>3102</v>
      </c>
      <c r="D121" t="b">
        <v>0</v>
      </c>
      <c r="E121" t="b">
        <v>0</v>
      </c>
      <c r="F121" t="b">
        <v>1</v>
      </c>
      <c r="G121" t="b">
        <v>0</v>
      </c>
    </row>
    <row r="122" spans="1:7" x14ac:dyDescent="0.2">
      <c r="A122">
        <v>120</v>
      </c>
      <c r="B122" t="s">
        <v>2121</v>
      </c>
      <c r="C122" t="s">
        <v>2122</v>
      </c>
      <c r="D122" t="b">
        <v>0</v>
      </c>
      <c r="E122" t="b">
        <v>0</v>
      </c>
      <c r="F122" t="b">
        <v>1</v>
      </c>
      <c r="G122" t="b">
        <v>0</v>
      </c>
    </row>
    <row r="123" spans="1:7" x14ac:dyDescent="0.2">
      <c r="A123">
        <v>121</v>
      </c>
      <c r="B123" t="s">
        <v>2123</v>
      </c>
      <c r="C123" t="s">
        <v>2124</v>
      </c>
      <c r="D123" t="b">
        <v>0</v>
      </c>
      <c r="E123" t="b">
        <v>0</v>
      </c>
      <c r="F123" t="b">
        <v>1</v>
      </c>
      <c r="G123" t="b">
        <v>0</v>
      </c>
    </row>
    <row r="124" spans="1:7" x14ac:dyDescent="0.2">
      <c r="A124">
        <v>122</v>
      </c>
      <c r="B124" t="s">
        <v>1650</v>
      </c>
      <c r="C124" s="1" t="s">
        <v>3103</v>
      </c>
      <c r="D124" t="b">
        <v>0</v>
      </c>
      <c r="E124" t="b">
        <v>0</v>
      </c>
      <c r="F124" t="b">
        <v>1</v>
      </c>
      <c r="G124" t="b">
        <v>0</v>
      </c>
    </row>
    <row r="125" spans="1:7" x14ac:dyDescent="0.2">
      <c r="A125">
        <v>123</v>
      </c>
      <c r="B125" t="s">
        <v>1651</v>
      </c>
      <c r="C125" t="s">
        <v>3104</v>
      </c>
      <c r="D125" t="b">
        <v>0</v>
      </c>
      <c r="E125" t="b">
        <v>0</v>
      </c>
      <c r="F125" t="b">
        <v>1</v>
      </c>
      <c r="G125" t="b">
        <v>0</v>
      </c>
    </row>
    <row r="126" spans="1:7" x14ac:dyDescent="0.2">
      <c r="A126">
        <v>124</v>
      </c>
      <c r="B126" t="s">
        <v>2125</v>
      </c>
      <c r="C126" t="s">
        <v>2126</v>
      </c>
      <c r="D126" t="b">
        <v>0</v>
      </c>
      <c r="E126" t="b">
        <v>0</v>
      </c>
      <c r="F126" t="b">
        <v>1</v>
      </c>
      <c r="G126" t="b">
        <v>0</v>
      </c>
    </row>
    <row r="127" spans="1:7" x14ac:dyDescent="0.2">
      <c r="A127">
        <v>125</v>
      </c>
      <c r="B127" t="s">
        <v>2127</v>
      </c>
      <c r="C127" t="s">
        <v>2128</v>
      </c>
      <c r="D127" t="b">
        <v>0</v>
      </c>
      <c r="E127" t="b">
        <v>0</v>
      </c>
      <c r="F127" t="b">
        <v>1</v>
      </c>
      <c r="G127" t="b">
        <v>0</v>
      </c>
    </row>
    <row r="128" spans="1:7" x14ac:dyDescent="0.2">
      <c r="A128">
        <v>126</v>
      </c>
      <c r="B128" t="s">
        <v>2129</v>
      </c>
      <c r="C128" t="s">
        <v>3105</v>
      </c>
      <c r="D128" t="b">
        <v>0</v>
      </c>
      <c r="E128" t="b">
        <v>0</v>
      </c>
      <c r="F128" t="b">
        <v>1</v>
      </c>
      <c r="G128" t="b">
        <v>0</v>
      </c>
    </row>
    <row r="129" spans="1:7" x14ac:dyDescent="0.2">
      <c r="A129">
        <v>127</v>
      </c>
      <c r="B129" t="s">
        <v>2130</v>
      </c>
      <c r="C129" t="s">
        <v>2131</v>
      </c>
      <c r="D129" t="b">
        <v>0</v>
      </c>
      <c r="E129" t="b">
        <v>0</v>
      </c>
      <c r="F129" t="b">
        <v>1</v>
      </c>
      <c r="G129" t="b">
        <v>0</v>
      </c>
    </row>
    <row r="130" spans="1:7" x14ac:dyDescent="0.2">
      <c r="A130">
        <v>128</v>
      </c>
      <c r="B130" t="s">
        <v>2132</v>
      </c>
      <c r="C130" t="s">
        <v>2133</v>
      </c>
      <c r="D130" t="b">
        <v>0</v>
      </c>
      <c r="E130" t="b">
        <v>0</v>
      </c>
      <c r="F130" t="b">
        <v>1</v>
      </c>
      <c r="G130" t="b">
        <v>0</v>
      </c>
    </row>
    <row r="131" spans="1:7" x14ac:dyDescent="0.2">
      <c r="A131">
        <v>129</v>
      </c>
      <c r="B131" t="s">
        <v>2134</v>
      </c>
      <c r="C131" t="s">
        <v>2135</v>
      </c>
      <c r="D131" t="b">
        <v>0</v>
      </c>
      <c r="E131" t="b">
        <v>0</v>
      </c>
      <c r="F131" t="b">
        <v>1</v>
      </c>
      <c r="G131" t="b">
        <v>0</v>
      </c>
    </row>
    <row r="132" spans="1:7" x14ac:dyDescent="0.2">
      <c r="A132">
        <v>130</v>
      </c>
      <c r="B132" t="s">
        <v>2136</v>
      </c>
      <c r="C132" t="s">
        <v>2137</v>
      </c>
      <c r="D132" t="b">
        <v>0</v>
      </c>
      <c r="E132" t="b">
        <v>0</v>
      </c>
      <c r="F132" t="b">
        <v>1</v>
      </c>
      <c r="G132" t="b">
        <v>0</v>
      </c>
    </row>
    <row r="133" spans="1:7" x14ac:dyDescent="0.2">
      <c r="A133">
        <v>131</v>
      </c>
      <c r="B133" t="s">
        <v>2138</v>
      </c>
      <c r="C133" t="s">
        <v>2139</v>
      </c>
      <c r="D133" t="b">
        <v>0</v>
      </c>
      <c r="E133" t="b">
        <v>0</v>
      </c>
      <c r="F133" t="b">
        <v>1</v>
      </c>
      <c r="G133" t="b">
        <v>0</v>
      </c>
    </row>
    <row r="134" spans="1:7" x14ac:dyDescent="0.2">
      <c r="A134">
        <v>132</v>
      </c>
      <c r="B134" t="s">
        <v>2140</v>
      </c>
      <c r="C134" t="s">
        <v>2141</v>
      </c>
      <c r="D134" t="b">
        <v>0</v>
      </c>
      <c r="E134" t="b">
        <v>0</v>
      </c>
      <c r="F134" t="b">
        <v>1</v>
      </c>
      <c r="G134" t="b">
        <v>0</v>
      </c>
    </row>
    <row r="135" spans="1:7" x14ac:dyDescent="0.2">
      <c r="A135">
        <v>133</v>
      </c>
      <c r="B135" t="s">
        <v>2142</v>
      </c>
      <c r="C135" t="s">
        <v>2143</v>
      </c>
      <c r="D135" t="b">
        <v>0</v>
      </c>
      <c r="E135" t="b">
        <v>0</v>
      </c>
      <c r="F135" t="b">
        <v>1</v>
      </c>
      <c r="G135" t="b">
        <v>0</v>
      </c>
    </row>
    <row r="136" spans="1:7" x14ac:dyDescent="0.2">
      <c r="A136">
        <v>134</v>
      </c>
      <c r="B136" t="s">
        <v>2144</v>
      </c>
      <c r="C136" t="s">
        <v>2145</v>
      </c>
      <c r="D136" t="b">
        <v>0</v>
      </c>
      <c r="E136" t="b">
        <v>0</v>
      </c>
      <c r="F136" t="b">
        <v>1</v>
      </c>
      <c r="G136" t="b">
        <v>0</v>
      </c>
    </row>
    <row r="137" spans="1:7" x14ac:dyDescent="0.2">
      <c r="A137">
        <v>135</v>
      </c>
      <c r="B137" t="s">
        <v>2146</v>
      </c>
      <c r="C137" t="s">
        <v>3106</v>
      </c>
      <c r="D137" t="b">
        <v>0</v>
      </c>
      <c r="E137" t="b">
        <v>0</v>
      </c>
      <c r="F137" t="b">
        <v>1</v>
      </c>
      <c r="G137" t="b">
        <v>0</v>
      </c>
    </row>
    <row r="138" spans="1:7" x14ac:dyDescent="0.2">
      <c r="A138">
        <v>136</v>
      </c>
      <c r="B138" t="s">
        <v>2147</v>
      </c>
      <c r="C138" t="s">
        <v>2148</v>
      </c>
      <c r="D138" t="b">
        <v>0</v>
      </c>
      <c r="E138" t="b">
        <v>0</v>
      </c>
      <c r="F138" t="b">
        <v>1</v>
      </c>
      <c r="G138" t="b">
        <v>0</v>
      </c>
    </row>
    <row r="139" spans="1:7" x14ac:dyDescent="0.2">
      <c r="A139">
        <v>137</v>
      </c>
      <c r="B139" t="s">
        <v>2149</v>
      </c>
      <c r="C139" t="s">
        <v>3107</v>
      </c>
      <c r="D139" t="b">
        <v>0</v>
      </c>
      <c r="E139" t="b">
        <v>0</v>
      </c>
      <c r="F139" t="b">
        <v>1</v>
      </c>
      <c r="G139" t="b">
        <v>0</v>
      </c>
    </row>
    <row r="140" spans="1:7" x14ac:dyDescent="0.2">
      <c r="A140">
        <v>138</v>
      </c>
      <c r="B140" t="s">
        <v>2150</v>
      </c>
      <c r="C140" t="s">
        <v>3108</v>
      </c>
      <c r="D140" t="b">
        <v>0</v>
      </c>
      <c r="E140" t="b">
        <v>0</v>
      </c>
      <c r="F140" t="b">
        <v>1</v>
      </c>
      <c r="G140" t="b">
        <v>0</v>
      </c>
    </row>
    <row r="141" spans="1:7" x14ac:dyDescent="0.2">
      <c r="A141">
        <v>139</v>
      </c>
      <c r="B141" t="s">
        <v>2151</v>
      </c>
      <c r="C141" t="s">
        <v>2152</v>
      </c>
      <c r="D141" t="b">
        <v>0</v>
      </c>
      <c r="E141" t="b">
        <v>0</v>
      </c>
      <c r="F141" t="b">
        <v>1</v>
      </c>
      <c r="G141" t="b">
        <v>0</v>
      </c>
    </row>
    <row r="142" spans="1:7" x14ac:dyDescent="0.2">
      <c r="A142">
        <v>140</v>
      </c>
      <c r="B142" t="s">
        <v>2153</v>
      </c>
      <c r="C142" t="s">
        <v>2154</v>
      </c>
      <c r="D142" t="b">
        <v>0</v>
      </c>
      <c r="E142" t="b">
        <v>0</v>
      </c>
      <c r="F142" t="b">
        <v>1</v>
      </c>
      <c r="G142" t="b">
        <v>0</v>
      </c>
    </row>
    <row r="143" spans="1:7" x14ac:dyDescent="0.2">
      <c r="A143">
        <v>141</v>
      </c>
      <c r="B143" t="s">
        <v>2155</v>
      </c>
      <c r="C143" t="s">
        <v>2156</v>
      </c>
      <c r="D143" t="b">
        <v>0</v>
      </c>
      <c r="E143" t="b">
        <v>0</v>
      </c>
      <c r="F143" t="b">
        <v>1</v>
      </c>
      <c r="G143" t="b">
        <v>0</v>
      </c>
    </row>
    <row r="144" spans="1:7" x14ac:dyDescent="0.2">
      <c r="A144">
        <v>142</v>
      </c>
      <c r="B144" t="s">
        <v>2157</v>
      </c>
      <c r="C144" t="s">
        <v>3109</v>
      </c>
      <c r="D144" t="b">
        <v>0</v>
      </c>
      <c r="E144" t="b">
        <v>0</v>
      </c>
      <c r="F144" t="b">
        <v>1</v>
      </c>
      <c r="G144" t="b">
        <v>0</v>
      </c>
    </row>
    <row r="145" spans="1:7" x14ac:dyDescent="0.2">
      <c r="A145">
        <v>143</v>
      </c>
      <c r="B145" t="s">
        <v>2158</v>
      </c>
      <c r="C145" t="s">
        <v>3110</v>
      </c>
      <c r="D145" t="b">
        <v>0</v>
      </c>
      <c r="E145" t="b">
        <v>0</v>
      </c>
      <c r="F145" t="b">
        <v>1</v>
      </c>
      <c r="G145" t="b">
        <v>0</v>
      </c>
    </row>
    <row r="146" spans="1:7" x14ac:dyDescent="0.2">
      <c r="A146">
        <v>144</v>
      </c>
      <c r="B146" t="s">
        <v>2159</v>
      </c>
      <c r="C146" s="1" t="s">
        <v>2160</v>
      </c>
      <c r="D146" t="b">
        <v>0</v>
      </c>
      <c r="E146" t="b">
        <v>0</v>
      </c>
      <c r="F146" t="b">
        <v>1</v>
      </c>
      <c r="G146" t="b">
        <v>0</v>
      </c>
    </row>
    <row r="147" spans="1:7" x14ac:dyDescent="0.2">
      <c r="A147">
        <v>145</v>
      </c>
      <c r="B147" t="s">
        <v>2161</v>
      </c>
      <c r="C147" t="s">
        <v>3111</v>
      </c>
      <c r="D147" t="b">
        <v>0</v>
      </c>
      <c r="E147" t="b">
        <v>0</v>
      </c>
      <c r="F147" t="b">
        <v>1</v>
      </c>
      <c r="G147" t="b">
        <v>0</v>
      </c>
    </row>
    <row r="148" spans="1:7" x14ac:dyDescent="0.2">
      <c r="A148">
        <v>146</v>
      </c>
      <c r="B148" t="s">
        <v>2162</v>
      </c>
      <c r="C148" t="s">
        <v>2163</v>
      </c>
      <c r="D148" t="b">
        <v>0</v>
      </c>
      <c r="E148" t="b">
        <v>0</v>
      </c>
      <c r="F148" t="b">
        <v>1</v>
      </c>
      <c r="G148" t="b">
        <v>0</v>
      </c>
    </row>
    <row r="149" spans="1:7" x14ac:dyDescent="0.2">
      <c r="A149">
        <v>147</v>
      </c>
      <c r="B149" t="s">
        <v>2164</v>
      </c>
      <c r="C149" t="s">
        <v>2165</v>
      </c>
      <c r="D149" t="b">
        <v>0</v>
      </c>
      <c r="E149" t="b">
        <v>0</v>
      </c>
      <c r="F149" t="b">
        <v>1</v>
      </c>
      <c r="G149" t="b">
        <v>0</v>
      </c>
    </row>
    <row r="150" spans="1:7" x14ac:dyDescent="0.2">
      <c r="A150">
        <v>148</v>
      </c>
      <c r="B150" t="s">
        <v>2166</v>
      </c>
      <c r="C150" t="s">
        <v>2167</v>
      </c>
      <c r="D150" t="b">
        <v>0</v>
      </c>
      <c r="E150" t="b">
        <v>0</v>
      </c>
      <c r="F150" t="b">
        <v>1</v>
      </c>
      <c r="G150" t="b">
        <v>0</v>
      </c>
    </row>
    <row r="151" spans="1:7" x14ac:dyDescent="0.2">
      <c r="A151">
        <v>149</v>
      </c>
      <c r="B151" t="s">
        <v>2168</v>
      </c>
      <c r="C151" t="s">
        <v>3112</v>
      </c>
      <c r="D151" t="b">
        <v>0</v>
      </c>
      <c r="E151" t="b">
        <v>0</v>
      </c>
      <c r="F151" t="b">
        <v>1</v>
      </c>
      <c r="G151" t="b">
        <v>0</v>
      </c>
    </row>
    <row r="152" spans="1:7" x14ac:dyDescent="0.2">
      <c r="A152">
        <v>150</v>
      </c>
      <c r="B152" t="s">
        <v>2169</v>
      </c>
      <c r="C152" t="s">
        <v>2170</v>
      </c>
      <c r="D152" t="b">
        <v>0</v>
      </c>
      <c r="E152" t="b">
        <v>0</v>
      </c>
      <c r="F152" t="b">
        <v>1</v>
      </c>
      <c r="G152" t="b">
        <v>0</v>
      </c>
    </row>
    <row r="153" spans="1:7" x14ac:dyDescent="0.2">
      <c r="A153">
        <v>151</v>
      </c>
      <c r="B153" t="s">
        <v>2171</v>
      </c>
      <c r="C153" t="s">
        <v>2172</v>
      </c>
      <c r="D153" t="b">
        <v>0</v>
      </c>
      <c r="E153" t="b">
        <v>0</v>
      </c>
      <c r="F153" t="b">
        <v>1</v>
      </c>
      <c r="G153" t="b">
        <v>0</v>
      </c>
    </row>
    <row r="154" spans="1:7" x14ac:dyDescent="0.2">
      <c r="A154">
        <v>152</v>
      </c>
      <c r="B154" t="s">
        <v>1653</v>
      </c>
      <c r="C154" t="s">
        <v>3113</v>
      </c>
      <c r="D154" t="b">
        <v>0</v>
      </c>
      <c r="E154" t="b">
        <v>0</v>
      </c>
      <c r="F154" t="b">
        <v>1</v>
      </c>
      <c r="G154" t="b">
        <v>0</v>
      </c>
    </row>
    <row r="155" spans="1:7" x14ac:dyDescent="0.2">
      <c r="A155">
        <v>153</v>
      </c>
      <c r="B155" t="s">
        <v>2173</v>
      </c>
      <c r="C155" t="s">
        <v>2174</v>
      </c>
      <c r="D155" t="b">
        <v>0</v>
      </c>
      <c r="E155" t="b">
        <v>0</v>
      </c>
      <c r="F155" t="b">
        <v>1</v>
      </c>
      <c r="G155" t="b">
        <v>0</v>
      </c>
    </row>
    <row r="156" spans="1:7" x14ac:dyDescent="0.2">
      <c r="A156">
        <v>154</v>
      </c>
      <c r="B156" t="s">
        <v>2175</v>
      </c>
      <c r="C156" t="s">
        <v>2176</v>
      </c>
      <c r="D156" t="b">
        <v>0</v>
      </c>
      <c r="E156" t="b">
        <v>0</v>
      </c>
      <c r="F156" t="b">
        <v>1</v>
      </c>
      <c r="G156" t="b">
        <v>0</v>
      </c>
    </row>
    <row r="157" spans="1:7" x14ac:dyDescent="0.2">
      <c r="A157">
        <v>155</v>
      </c>
      <c r="B157" t="s">
        <v>2177</v>
      </c>
      <c r="C157" t="s">
        <v>2178</v>
      </c>
      <c r="D157" t="b">
        <v>0</v>
      </c>
      <c r="E157" t="b">
        <v>0</v>
      </c>
      <c r="F157" t="b">
        <v>1</v>
      </c>
      <c r="G157" t="b">
        <v>0</v>
      </c>
    </row>
    <row r="158" spans="1:7" x14ac:dyDescent="0.2">
      <c r="A158">
        <v>156</v>
      </c>
      <c r="B158" t="s">
        <v>1655</v>
      </c>
      <c r="C158" t="s">
        <v>3114</v>
      </c>
      <c r="D158" t="b">
        <v>0</v>
      </c>
      <c r="E158" t="b">
        <v>0</v>
      </c>
      <c r="F158" t="b">
        <v>1</v>
      </c>
      <c r="G158" t="b">
        <v>0</v>
      </c>
    </row>
    <row r="159" spans="1:7" x14ac:dyDescent="0.2">
      <c r="A159">
        <v>157</v>
      </c>
      <c r="B159" t="s">
        <v>1656</v>
      </c>
      <c r="C159" t="s">
        <v>3115</v>
      </c>
      <c r="D159" t="b">
        <v>0</v>
      </c>
      <c r="E159" t="b">
        <v>0</v>
      </c>
      <c r="F159" t="b">
        <v>1</v>
      </c>
      <c r="G159" t="b">
        <v>0</v>
      </c>
    </row>
    <row r="160" spans="1:7" x14ac:dyDescent="0.2">
      <c r="A160">
        <v>158</v>
      </c>
      <c r="B160" t="s">
        <v>1657</v>
      </c>
      <c r="C160" t="s">
        <v>3116</v>
      </c>
      <c r="D160" t="b">
        <v>0</v>
      </c>
      <c r="E160" t="b">
        <v>0</v>
      </c>
      <c r="F160" t="b">
        <v>1</v>
      </c>
      <c r="G160" t="b">
        <v>0</v>
      </c>
    </row>
    <row r="161" spans="1:7" x14ac:dyDescent="0.2">
      <c r="A161">
        <v>159</v>
      </c>
      <c r="B161" t="s">
        <v>2179</v>
      </c>
      <c r="C161" t="s">
        <v>3117</v>
      </c>
      <c r="D161" t="b">
        <v>0</v>
      </c>
      <c r="E161" t="b">
        <v>0</v>
      </c>
      <c r="F161" t="b">
        <v>1</v>
      </c>
      <c r="G161" t="b">
        <v>0</v>
      </c>
    </row>
    <row r="162" spans="1:7" x14ac:dyDescent="0.2">
      <c r="A162">
        <v>160</v>
      </c>
      <c r="B162" t="s">
        <v>2180</v>
      </c>
      <c r="C162" t="s">
        <v>2181</v>
      </c>
      <c r="D162" t="b">
        <v>0</v>
      </c>
      <c r="E162" t="b">
        <v>0</v>
      </c>
      <c r="F162" t="b">
        <v>1</v>
      </c>
      <c r="G162" t="b">
        <v>0</v>
      </c>
    </row>
    <row r="163" spans="1:7" x14ac:dyDescent="0.2">
      <c r="A163">
        <v>161</v>
      </c>
      <c r="B163" t="s">
        <v>2182</v>
      </c>
      <c r="C163" t="s">
        <v>2183</v>
      </c>
      <c r="D163" t="b">
        <v>0</v>
      </c>
      <c r="E163" t="b">
        <v>0</v>
      </c>
      <c r="F163" t="b">
        <v>1</v>
      </c>
      <c r="G163" t="b">
        <v>0</v>
      </c>
    </row>
    <row r="164" spans="1:7" x14ac:dyDescent="0.2">
      <c r="A164">
        <v>162</v>
      </c>
      <c r="B164" t="s">
        <v>2184</v>
      </c>
      <c r="C164" t="s">
        <v>3118</v>
      </c>
      <c r="D164" t="b">
        <v>0</v>
      </c>
      <c r="E164" t="b">
        <v>0</v>
      </c>
      <c r="F164" t="b">
        <v>1</v>
      </c>
      <c r="G164" t="b">
        <v>0</v>
      </c>
    </row>
    <row r="165" spans="1:7" x14ac:dyDescent="0.2">
      <c r="A165">
        <v>163</v>
      </c>
      <c r="B165" t="s">
        <v>2185</v>
      </c>
      <c r="C165" t="s">
        <v>3119</v>
      </c>
      <c r="D165" t="b">
        <v>0</v>
      </c>
      <c r="E165" t="b">
        <v>0</v>
      </c>
      <c r="F165" t="b">
        <v>1</v>
      </c>
      <c r="G165" t="b">
        <v>0</v>
      </c>
    </row>
    <row r="166" spans="1:7" x14ac:dyDescent="0.2">
      <c r="A166">
        <v>164</v>
      </c>
      <c r="B166" t="s">
        <v>2186</v>
      </c>
      <c r="C166" t="s">
        <v>2187</v>
      </c>
      <c r="D166" t="b">
        <v>0</v>
      </c>
      <c r="E166" t="b">
        <v>0</v>
      </c>
      <c r="F166" t="b">
        <v>1</v>
      </c>
      <c r="G166" t="b">
        <v>0</v>
      </c>
    </row>
    <row r="167" spans="1:7" x14ac:dyDescent="0.2">
      <c r="A167">
        <v>165</v>
      </c>
      <c r="B167" t="s">
        <v>2188</v>
      </c>
      <c r="C167" t="s">
        <v>2189</v>
      </c>
      <c r="D167" t="b">
        <v>0</v>
      </c>
      <c r="E167" t="b">
        <v>0</v>
      </c>
      <c r="F167" t="b">
        <v>1</v>
      </c>
      <c r="G167" t="b">
        <v>0</v>
      </c>
    </row>
    <row r="168" spans="1:7" x14ac:dyDescent="0.2">
      <c r="A168">
        <v>166</v>
      </c>
      <c r="B168" t="s">
        <v>2190</v>
      </c>
      <c r="C168" t="s">
        <v>3120</v>
      </c>
      <c r="D168" t="b">
        <v>0</v>
      </c>
      <c r="E168" t="b">
        <v>0</v>
      </c>
      <c r="F168" t="b">
        <v>1</v>
      </c>
      <c r="G168" t="b">
        <v>0</v>
      </c>
    </row>
    <row r="169" spans="1:7" x14ac:dyDescent="0.2">
      <c r="A169">
        <v>167</v>
      </c>
      <c r="B169" t="s">
        <v>2191</v>
      </c>
      <c r="C169" t="s">
        <v>2192</v>
      </c>
      <c r="D169" t="b">
        <v>0</v>
      </c>
      <c r="E169" t="b">
        <v>0</v>
      </c>
      <c r="F169" t="b">
        <v>1</v>
      </c>
      <c r="G169" t="b">
        <v>0</v>
      </c>
    </row>
    <row r="170" spans="1:7" x14ac:dyDescent="0.2">
      <c r="A170">
        <v>168</v>
      </c>
      <c r="B170" t="s">
        <v>2193</v>
      </c>
      <c r="C170" t="s">
        <v>3121</v>
      </c>
      <c r="D170" t="b">
        <v>0</v>
      </c>
      <c r="E170" t="b">
        <v>0</v>
      </c>
      <c r="F170" t="b">
        <v>1</v>
      </c>
      <c r="G170" t="b">
        <v>0</v>
      </c>
    </row>
    <row r="171" spans="1:7" x14ac:dyDescent="0.2">
      <c r="A171">
        <v>169</v>
      </c>
      <c r="B171" t="s">
        <v>2194</v>
      </c>
      <c r="C171" t="s">
        <v>3122</v>
      </c>
      <c r="D171" t="b">
        <v>0</v>
      </c>
      <c r="E171" t="b">
        <v>0</v>
      </c>
      <c r="F171" t="b">
        <v>1</v>
      </c>
      <c r="G171" t="b">
        <v>0</v>
      </c>
    </row>
    <row r="172" spans="1:7" x14ac:dyDescent="0.2">
      <c r="A172">
        <v>170</v>
      </c>
      <c r="B172" t="s">
        <v>2195</v>
      </c>
      <c r="C172" t="s">
        <v>3123</v>
      </c>
      <c r="D172" t="b">
        <v>0</v>
      </c>
      <c r="E172" t="b">
        <v>0</v>
      </c>
      <c r="F172" t="b">
        <v>1</v>
      </c>
      <c r="G172" t="b">
        <v>0</v>
      </c>
    </row>
    <row r="173" spans="1:7" x14ac:dyDescent="0.2">
      <c r="A173">
        <v>171</v>
      </c>
      <c r="B173" t="s">
        <v>1662</v>
      </c>
      <c r="C173" t="s">
        <v>3124</v>
      </c>
      <c r="D173" t="b">
        <v>0</v>
      </c>
      <c r="E173" t="b">
        <v>0</v>
      </c>
      <c r="F173" t="b">
        <v>1</v>
      </c>
      <c r="G173" t="b">
        <v>0</v>
      </c>
    </row>
    <row r="174" spans="1:7" x14ac:dyDescent="0.2">
      <c r="A174">
        <v>172</v>
      </c>
      <c r="B174" t="s">
        <v>2196</v>
      </c>
      <c r="C174" t="s">
        <v>3125</v>
      </c>
      <c r="D174" t="b">
        <v>0</v>
      </c>
      <c r="E174" t="b">
        <v>0</v>
      </c>
      <c r="F174" t="b">
        <v>1</v>
      </c>
      <c r="G174" t="b">
        <v>0</v>
      </c>
    </row>
    <row r="175" spans="1:7" x14ac:dyDescent="0.2">
      <c r="A175">
        <v>173</v>
      </c>
      <c r="B175" t="s">
        <v>2197</v>
      </c>
      <c r="C175" t="s">
        <v>2198</v>
      </c>
      <c r="D175" t="b">
        <v>0</v>
      </c>
      <c r="E175" t="b">
        <v>0</v>
      </c>
      <c r="F175" t="b">
        <v>1</v>
      </c>
      <c r="G175" t="b">
        <v>0</v>
      </c>
    </row>
    <row r="176" spans="1:7" x14ac:dyDescent="0.2">
      <c r="A176">
        <v>174</v>
      </c>
      <c r="B176" t="s">
        <v>2199</v>
      </c>
      <c r="C176" t="s">
        <v>3126</v>
      </c>
      <c r="D176" t="b">
        <v>0</v>
      </c>
      <c r="E176" t="b">
        <v>0</v>
      </c>
      <c r="F176" t="b">
        <v>1</v>
      </c>
      <c r="G176" t="b">
        <v>0</v>
      </c>
    </row>
    <row r="177" spans="1:7" x14ac:dyDescent="0.2">
      <c r="A177">
        <v>175</v>
      </c>
      <c r="B177" t="s">
        <v>1663</v>
      </c>
      <c r="C177" t="s">
        <v>3127</v>
      </c>
      <c r="D177" t="b">
        <v>0</v>
      </c>
      <c r="E177" t="b">
        <v>0</v>
      </c>
      <c r="F177" t="b">
        <v>1</v>
      </c>
      <c r="G177" t="b">
        <v>0</v>
      </c>
    </row>
    <row r="178" spans="1:7" x14ac:dyDescent="0.2">
      <c r="A178">
        <v>176</v>
      </c>
      <c r="B178" t="s">
        <v>2200</v>
      </c>
      <c r="C178" t="s">
        <v>2201</v>
      </c>
      <c r="D178" t="b">
        <v>0</v>
      </c>
      <c r="E178" t="b">
        <v>0</v>
      </c>
      <c r="F178" t="b">
        <v>1</v>
      </c>
      <c r="G178" t="b">
        <v>0</v>
      </c>
    </row>
    <row r="179" spans="1:7" x14ac:dyDescent="0.2">
      <c r="A179">
        <v>177</v>
      </c>
      <c r="B179" t="s">
        <v>2202</v>
      </c>
      <c r="C179" t="s">
        <v>3128</v>
      </c>
      <c r="D179" t="b">
        <v>0</v>
      </c>
      <c r="E179" t="b">
        <v>0</v>
      </c>
      <c r="F179" t="b">
        <v>1</v>
      </c>
      <c r="G179" t="b">
        <v>0</v>
      </c>
    </row>
    <row r="180" spans="1:7" x14ac:dyDescent="0.2">
      <c r="A180">
        <v>178</v>
      </c>
      <c r="B180" t="s">
        <v>2203</v>
      </c>
      <c r="C180" t="s">
        <v>2204</v>
      </c>
      <c r="D180" t="b">
        <v>0</v>
      </c>
      <c r="E180" t="b">
        <v>0</v>
      </c>
      <c r="F180" t="b">
        <v>1</v>
      </c>
      <c r="G180" t="b">
        <v>0</v>
      </c>
    </row>
    <row r="181" spans="1:7" x14ac:dyDescent="0.2">
      <c r="A181">
        <v>179</v>
      </c>
      <c r="B181" t="s">
        <v>2205</v>
      </c>
      <c r="C181" t="s">
        <v>2206</v>
      </c>
      <c r="D181" t="b">
        <v>0</v>
      </c>
      <c r="E181" t="b">
        <v>0</v>
      </c>
      <c r="F181" t="b">
        <v>1</v>
      </c>
      <c r="G181" t="b">
        <v>0</v>
      </c>
    </row>
    <row r="182" spans="1:7" x14ac:dyDescent="0.2">
      <c r="A182">
        <v>180</v>
      </c>
      <c r="B182" t="s">
        <v>2207</v>
      </c>
      <c r="C182" t="s">
        <v>160</v>
      </c>
      <c r="D182" t="b">
        <v>1</v>
      </c>
      <c r="E182" t="b">
        <v>0</v>
      </c>
      <c r="F182" t="b">
        <v>1</v>
      </c>
      <c r="G182" t="b">
        <v>0</v>
      </c>
    </row>
    <row r="183" spans="1:7" x14ac:dyDescent="0.2">
      <c r="A183">
        <v>181</v>
      </c>
      <c r="B183" t="s">
        <v>2208</v>
      </c>
      <c r="C183" t="s">
        <v>2209</v>
      </c>
      <c r="D183" t="b">
        <v>0</v>
      </c>
      <c r="E183" t="b">
        <v>0</v>
      </c>
      <c r="F183" t="b">
        <v>1</v>
      </c>
      <c r="G183" t="b">
        <v>0</v>
      </c>
    </row>
    <row r="184" spans="1:7" x14ac:dyDescent="0.2">
      <c r="A184">
        <v>182</v>
      </c>
      <c r="B184" t="s">
        <v>2210</v>
      </c>
      <c r="C184" t="s">
        <v>3129</v>
      </c>
      <c r="D184" t="b">
        <v>0</v>
      </c>
      <c r="E184" t="b">
        <v>0</v>
      </c>
      <c r="F184" t="b">
        <v>1</v>
      </c>
      <c r="G184" t="b">
        <v>0</v>
      </c>
    </row>
    <row r="185" spans="1:7" x14ac:dyDescent="0.2">
      <c r="A185">
        <v>183</v>
      </c>
      <c r="B185" t="s">
        <v>2211</v>
      </c>
      <c r="C185" t="s">
        <v>2212</v>
      </c>
      <c r="D185" t="b">
        <v>0</v>
      </c>
      <c r="E185" t="b">
        <v>0</v>
      </c>
      <c r="F185" t="b">
        <v>1</v>
      </c>
      <c r="G185" t="b">
        <v>0</v>
      </c>
    </row>
    <row r="186" spans="1:7" x14ac:dyDescent="0.2">
      <c r="A186">
        <v>184</v>
      </c>
      <c r="B186" t="s">
        <v>1667</v>
      </c>
      <c r="C186" t="s">
        <v>3130</v>
      </c>
      <c r="D186" t="b">
        <v>0</v>
      </c>
      <c r="E186" t="b">
        <v>0</v>
      </c>
      <c r="F186" t="b">
        <v>1</v>
      </c>
      <c r="G186" t="b">
        <v>0</v>
      </c>
    </row>
    <row r="187" spans="1:7" x14ac:dyDescent="0.2">
      <c r="A187">
        <v>185</v>
      </c>
      <c r="B187" t="s">
        <v>2213</v>
      </c>
      <c r="C187" t="s">
        <v>3131</v>
      </c>
      <c r="D187" t="b">
        <v>0</v>
      </c>
      <c r="E187" t="b">
        <v>0</v>
      </c>
      <c r="F187" t="b">
        <v>1</v>
      </c>
      <c r="G187" t="b">
        <v>0</v>
      </c>
    </row>
    <row r="188" spans="1:7" x14ac:dyDescent="0.2">
      <c r="A188">
        <v>186</v>
      </c>
      <c r="B188" t="s">
        <v>2214</v>
      </c>
      <c r="C188" t="s">
        <v>2215</v>
      </c>
      <c r="D188" t="b">
        <v>0</v>
      </c>
      <c r="E188" t="b">
        <v>0</v>
      </c>
      <c r="F188" t="b">
        <v>1</v>
      </c>
      <c r="G188" t="b">
        <v>0</v>
      </c>
    </row>
    <row r="189" spans="1:7" x14ac:dyDescent="0.2">
      <c r="A189">
        <v>187</v>
      </c>
      <c r="B189" t="s">
        <v>2216</v>
      </c>
      <c r="C189" t="s">
        <v>2217</v>
      </c>
      <c r="D189" t="b">
        <v>0</v>
      </c>
      <c r="E189" t="b">
        <v>0</v>
      </c>
      <c r="F189" t="b">
        <v>1</v>
      </c>
      <c r="G189" t="b">
        <v>0</v>
      </c>
    </row>
    <row r="190" spans="1:7" x14ac:dyDescent="0.2">
      <c r="A190">
        <v>188</v>
      </c>
      <c r="B190" t="s">
        <v>2218</v>
      </c>
      <c r="C190" t="s">
        <v>3132</v>
      </c>
      <c r="D190" t="b">
        <v>0</v>
      </c>
      <c r="E190" t="b">
        <v>0</v>
      </c>
      <c r="F190" t="b">
        <v>1</v>
      </c>
      <c r="G190" t="b">
        <v>0</v>
      </c>
    </row>
    <row r="191" spans="1:7" x14ac:dyDescent="0.2">
      <c r="A191">
        <v>189</v>
      </c>
      <c r="B191" t="s">
        <v>2219</v>
      </c>
      <c r="C191" t="s">
        <v>3133</v>
      </c>
      <c r="D191" t="b">
        <v>0</v>
      </c>
      <c r="E191" t="b">
        <v>0</v>
      </c>
      <c r="F191" t="b">
        <v>1</v>
      </c>
      <c r="G191" t="b">
        <v>0</v>
      </c>
    </row>
    <row r="192" spans="1:7" x14ac:dyDescent="0.2">
      <c r="A192">
        <v>190</v>
      </c>
      <c r="B192" t="s">
        <v>2220</v>
      </c>
      <c r="C192" t="s">
        <v>2221</v>
      </c>
      <c r="D192" t="b">
        <v>0</v>
      </c>
      <c r="E192" t="b">
        <v>0</v>
      </c>
      <c r="F192" t="b">
        <v>1</v>
      </c>
      <c r="G192" t="b">
        <v>0</v>
      </c>
    </row>
    <row r="193" spans="1:7" x14ac:dyDescent="0.2">
      <c r="A193">
        <v>191</v>
      </c>
      <c r="B193" t="s">
        <v>2222</v>
      </c>
      <c r="C193" t="s">
        <v>2223</v>
      </c>
      <c r="D193" t="b">
        <v>0</v>
      </c>
      <c r="E193" t="b">
        <v>0</v>
      </c>
      <c r="F193" t="b">
        <v>1</v>
      </c>
      <c r="G193" t="b">
        <v>0</v>
      </c>
    </row>
    <row r="194" spans="1:7" x14ac:dyDescent="0.2">
      <c r="A194">
        <v>192</v>
      </c>
      <c r="B194" t="s">
        <v>2224</v>
      </c>
      <c r="C194" t="s">
        <v>2225</v>
      </c>
      <c r="D194" t="b">
        <v>0</v>
      </c>
      <c r="E194" t="b">
        <v>0</v>
      </c>
      <c r="F194" t="b">
        <v>1</v>
      </c>
      <c r="G194" t="b">
        <v>0</v>
      </c>
    </row>
    <row r="195" spans="1:7" x14ac:dyDescent="0.2">
      <c r="A195">
        <v>193</v>
      </c>
      <c r="B195" t="s">
        <v>2226</v>
      </c>
      <c r="C195" t="s">
        <v>2227</v>
      </c>
      <c r="D195" t="b">
        <v>0</v>
      </c>
      <c r="E195" t="b">
        <v>0</v>
      </c>
      <c r="F195" t="b">
        <v>1</v>
      </c>
      <c r="G195" t="b">
        <v>0</v>
      </c>
    </row>
    <row r="196" spans="1:7" x14ac:dyDescent="0.2">
      <c r="A196">
        <v>194</v>
      </c>
      <c r="B196" t="s">
        <v>2228</v>
      </c>
      <c r="C196" t="s">
        <v>3134</v>
      </c>
      <c r="D196" t="b">
        <v>0</v>
      </c>
      <c r="E196" t="b">
        <v>0</v>
      </c>
      <c r="F196" t="b">
        <v>1</v>
      </c>
      <c r="G196" t="b">
        <v>0</v>
      </c>
    </row>
    <row r="197" spans="1:7" x14ac:dyDescent="0.2">
      <c r="A197">
        <v>195</v>
      </c>
      <c r="B197" t="s">
        <v>2229</v>
      </c>
      <c r="C197" t="s">
        <v>2230</v>
      </c>
      <c r="D197" t="b">
        <v>0</v>
      </c>
      <c r="E197" t="b">
        <v>0</v>
      </c>
      <c r="F197" t="b">
        <v>1</v>
      </c>
      <c r="G197" t="b">
        <v>0</v>
      </c>
    </row>
    <row r="198" spans="1:7" x14ac:dyDescent="0.2">
      <c r="A198">
        <v>196</v>
      </c>
      <c r="B198" s="7" t="s">
        <v>1672</v>
      </c>
      <c r="C198" t="s">
        <v>160</v>
      </c>
      <c r="D198" t="b">
        <v>1</v>
      </c>
      <c r="E198" t="b">
        <v>0</v>
      </c>
      <c r="F198" t="b">
        <v>1</v>
      </c>
      <c r="G198" t="b">
        <v>0</v>
      </c>
    </row>
    <row r="199" spans="1:7" x14ac:dyDescent="0.2">
      <c r="A199">
        <v>197</v>
      </c>
      <c r="B199" t="s">
        <v>2231</v>
      </c>
      <c r="C199" t="s">
        <v>2232</v>
      </c>
      <c r="D199" t="b">
        <v>0</v>
      </c>
      <c r="E199" t="b">
        <v>0</v>
      </c>
      <c r="F199" t="b">
        <v>1</v>
      </c>
      <c r="G199" t="b">
        <v>0</v>
      </c>
    </row>
    <row r="200" spans="1:7" x14ac:dyDescent="0.2">
      <c r="A200">
        <v>198</v>
      </c>
      <c r="B200" t="s">
        <v>2233</v>
      </c>
      <c r="C200" t="s">
        <v>2234</v>
      </c>
      <c r="D200" t="b">
        <v>0</v>
      </c>
      <c r="E200" t="b">
        <v>0</v>
      </c>
      <c r="F200" t="b">
        <v>1</v>
      </c>
      <c r="G200" t="b">
        <v>0</v>
      </c>
    </row>
    <row r="201" spans="1:7" x14ac:dyDescent="0.2">
      <c r="A201">
        <v>199</v>
      </c>
      <c r="B201" t="s">
        <v>2235</v>
      </c>
      <c r="C201" t="s">
        <v>2236</v>
      </c>
      <c r="D201" t="b">
        <v>0</v>
      </c>
      <c r="E201" t="b">
        <v>0</v>
      </c>
      <c r="F201" t="b">
        <v>1</v>
      </c>
      <c r="G201" t="b">
        <v>0</v>
      </c>
    </row>
    <row r="202" spans="1:7" x14ac:dyDescent="0.2">
      <c r="A202">
        <v>200</v>
      </c>
      <c r="B202" t="s">
        <v>2237</v>
      </c>
      <c r="C202" t="s">
        <v>2238</v>
      </c>
      <c r="D202" t="b">
        <v>0</v>
      </c>
      <c r="E202" t="b">
        <v>0</v>
      </c>
      <c r="F202" t="b">
        <v>1</v>
      </c>
      <c r="G202" t="b">
        <v>0</v>
      </c>
    </row>
    <row r="203" spans="1:7" x14ac:dyDescent="0.2">
      <c r="A203">
        <v>201</v>
      </c>
      <c r="B203" t="s">
        <v>2239</v>
      </c>
      <c r="C203" t="s">
        <v>2240</v>
      </c>
      <c r="D203" t="b">
        <v>0</v>
      </c>
      <c r="E203" t="b">
        <v>0</v>
      </c>
      <c r="F203" t="b">
        <v>1</v>
      </c>
      <c r="G203" t="b">
        <v>0</v>
      </c>
    </row>
    <row r="204" spans="1:7" x14ac:dyDescent="0.2">
      <c r="A204">
        <v>202</v>
      </c>
      <c r="B204" t="s">
        <v>2241</v>
      </c>
      <c r="C204" t="s">
        <v>3135</v>
      </c>
      <c r="D204" t="b">
        <v>0</v>
      </c>
      <c r="E204" t="b">
        <v>0</v>
      </c>
      <c r="F204" t="b">
        <v>1</v>
      </c>
      <c r="G204" t="b">
        <v>0</v>
      </c>
    </row>
    <row r="205" spans="1:7" x14ac:dyDescent="0.2">
      <c r="A205">
        <v>203</v>
      </c>
      <c r="B205" t="s">
        <v>2242</v>
      </c>
      <c r="C205" s="1" t="s">
        <v>3136</v>
      </c>
      <c r="D205" t="b">
        <v>0</v>
      </c>
      <c r="E205" t="b">
        <v>0</v>
      </c>
      <c r="F205" t="b">
        <v>1</v>
      </c>
      <c r="G205" t="b">
        <v>0</v>
      </c>
    </row>
    <row r="206" spans="1:7" x14ac:dyDescent="0.2">
      <c r="A206">
        <v>204</v>
      </c>
      <c r="B206" t="s">
        <v>2243</v>
      </c>
      <c r="C206" t="s">
        <v>2244</v>
      </c>
      <c r="D206" t="b">
        <v>0</v>
      </c>
      <c r="E206" t="b">
        <v>0</v>
      </c>
      <c r="F206" t="b">
        <v>1</v>
      </c>
      <c r="G206" t="b">
        <v>0</v>
      </c>
    </row>
    <row r="207" spans="1:7" x14ac:dyDescent="0.2">
      <c r="A207">
        <v>205</v>
      </c>
      <c r="B207" t="s">
        <v>1674</v>
      </c>
      <c r="C207" t="s">
        <v>3137</v>
      </c>
      <c r="D207" t="b">
        <v>0</v>
      </c>
      <c r="E207" t="b">
        <v>0</v>
      </c>
      <c r="F207" t="b">
        <v>1</v>
      </c>
      <c r="G207" t="b">
        <v>0</v>
      </c>
    </row>
    <row r="208" spans="1:7" x14ac:dyDescent="0.2">
      <c r="A208">
        <v>206</v>
      </c>
      <c r="B208" t="s">
        <v>2245</v>
      </c>
      <c r="C208" t="s">
        <v>3138</v>
      </c>
      <c r="D208" t="b">
        <v>0</v>
      </c>
      <c r="E208" t="b">
        <v>0</v>
      </c>
      <c r="F208" t="b">
        <v>1</v>
      </c>
      <c r="G208" t="b">
        <v>0</v>
      </c>
    </row>
    <row r="209" spans="1:7" x14ac:dyDescent="0.2">
      <c r="A209">
        <v>207</v>
      </c>
      <c r="B209" t="s">
        <v>2246</v>
      </c>
      <c r="C209" t="s">
        <v>2247</v>
      </c>
      <c r="D209" t="b">
        <v>0</v>
      </c>
      <c r="E209" t="b">
        <v>0</v>
      </c>
      <c r="F209" t="b">
        <v>1</v>
      </c>
      <c r="G209" t="b">
        <v>0</v>
      </c>
    </row>
    <row r="210" spans="1:7" x14ac:dyDescent="0.2">
      <c r="A210">
        <v>208</v>
      </c>
      <c r="B210" t="s">
        <v>2248</v>
      </c>
      <c r="C210" t="s">
        <v>2249</v>
      </c>
      <c r="D210" t="b">
        <v>0</v>
      </c>
      <c r="E210" t="b">
        <v>0</v>
      </c>
      <c r="F210" t="b">
        <v>1</v>
      </c>
      <c r="G210" t="b">
        <v>0</v>
      </c>
    </row>
    <row r="211" spans="1:7" x14ac:dyDescent="0.2">
      <c r="A211">
        <v>209</v>
      </c>
      <c r="B211" t="s">
        <v>2250</v>
      </c>
      <c r="C211" t="s">
        <v>3139</v>
      </c>
      <c r="D211" t="b">
        <v>0</v>
      </c>
      <c r="E211" t="b">
        <v>0</v>
      </c>
      <c r="F211" t="b">
        <v>1</v>
      </c>
      <c r="G211" t="b">
        <v>0</v>
      </c>
    </row>
    <row r="212" spans="1:7" x14ac:dyDescent="0.2">
      <c r="A212">
        <v>210</v>
      </c>
      <c r="B212" t="s">
        <v>1677</v>
      </c>
      <c r="C212" t="s">
        <v>3140</v>
      </c>
      <c r="D212" t="b">
        <v>0</v>
      </c>
      <c r="E212" t="b">
        <v>0</v>
      </c>
      <c r="F212" t="b">
        <v>1</v>
      </c>
      <c r="G212" t="b">
        <v>0</v>
      </c>
    </row>
    <row r="213" spans="1:7" x14ac:dyDescent="0.2">
      <c r="A213">
        <v>211</v>
      </c>
      <c r="B213" t="s">
        <v>1678</v>
      </c>
      <c r="C213" t="s">
        <v>3141</v>
      </c>
      <c r="D213" t="b">
        <v>0</v>
      </c>
      <c r="E213" t="b">
        <v>0</v>
      </c>
      <c r="F213" t="b">
        <v>1</v>
      </c>
      <c r="G213" t="b">
        <v>0</v>
      </c>
    </row>
    <row r="214" spans="1:7" x14ac:dyDescent="0.2">
      <c r="A214">
        <v>212</v>
      </c>
      <c r="B214" t="s">
        <v>2251</v>
      </c>
      <c r="C214" t="s">
        <v>2252</v>
      </c>
      <c r="D214" t="b">
        <v>0</v>
      </c>
      <c r="E214" t="b">
        <v>0</v>
      </c>
      <c r="F214" t="b">
        <v>1</v>
      </c>
      <c r="G214" t="b">
        <v>0</v>
      </c>
    </row>
    <row r="215" spans="1:7" x14ac:dyDescent="0.2">
      <c r="A215">
        <v>213</v>
      </c>
      <c r="B215" t="s">
        <v>2253</v>
      </c>
      <c r="C215" t="s">
        <v>2254</v>
      </c>
      <c r="D215" t="b">
        <v>0</v>
      </c>
      <c r="E215" t="b">
        <v>0</v>
      </c>
      <c r="F215" t="b">
        <v>1</v>
      </c>
      <c r="G215" t="b">
        <v>0</v>
      </c>
    </row>
    <row r="216" spans="1:7" x14ac:dyDescent="0.2">
      <c r="A216">
        <v>214</v>
      </c>
      <c r="B216" t="s">
        <v>2255</v>
      </c>
      <c r="C216" t="s">
        <v>3142</v>
      </c>
      <c r="D216" t="b">
        <v>0</v>
      </c>
      <c r="E216" t="b">
        <v>0</v>
      </c>
      <c r="F216" t="b">
        <v>1</v>
      </c>
      <c r="G216" t="b">
        <v>0</v>
      </c>
    </row>
    <row r="217" spans="1:7" x14ac:dyDescent="0.2">
      <c r="A217">
        <v>215</v>
      </c>
      <c r="B217" t="s">
        <v>2256</v>
      </c>
      <c r="C217" t="s">
        <v>2257</v>
      </c>
      <c r="D217" t="b">
        <v>0</v>
      </c>
      <c r="E217" t="b">
        <v>0</v>
      </c>
      <c r="F217" t="b">
        <v>1</v>
      </c>
      <c r="G217" t="b">
        <v>0</v>
      </c>
    </row>
    <row r="218" spans="1:7" x14ac:dyDescent="0.2">
      <c r="A218">
        <v>216</v>
      </c>
      <c r="B218" t="s">
        <v>2258</v>
      </c>
      <c r="C218" t="s">
        <v>3143</v>
      </c>
      <c r="D218" t="b">
        <v>0</v>
      </c>
      <c r="E218" t="b">
        <v>0</v>
      </c>
      <c r="F218" t="b">
        <v>1</v>
      </c>
      <c r="G218" t="b">
        <v>0</v>
      </c>
    </row>
    <row r="219" spans="1:7" x14ac:dyDescent="0.2">
      <c r="A219">
        <v>217</v>
      </c>
      <c r="B219" t="s">
        <v>2259</v>
      </c>
      <c r="C219" t="s">
        <v>2260</v>
      </c>
      <c r="D219" t="b">
        <v>0</v>
      </c>
      <c r="E219" t="b">
        <v>0</v>
      </c>
      <c r="F219" t="b">
        <v>1</v>
      </c>
      <c r="G219" t="b">
        <v>0</v>
      </c>
    </row>
    <row r="220" spans="1:7" x14ac:dyDescent="0.2">
      <c r="A220">
        <v>218</v>
      </c>
      <c r="B220" t="s">
        <v>2261</v>
      </c>
      <c r="C220" t="s">
        <v>2262</v>
      </c>
      <c r="D220" t="b">
        <v>0</v>
      </c>
      <c r="E220" t="b">
        <v>0</v>
      </c>
      <c r="F220" t="b">
        <v>1</v>
      </c>
      <c r="G220" t="b">
        <v>0</v>
      </c>
    </row>
    <row r="221" spans="1:7" x14ac:dyDescent="0.2">
      <c r="A221">
        <v>219</v>
      </c>
      <c r="B221" t="s">
        <v>2263</v>
      </c>
      <c r="C221" t="s">
        <v>3144</v>
      </c>
      <c r="D221" t="b">
        <v>0</v>
      </c>
      <c r="E221" t="b">
        <v>0</v>
      </c>
      <c r="F221" t="b">
        <v>1</v>
      </c>
      <c r="G221" t="b">
        <v>0</v>
      </c>
    </row>
    <row r="222" spans="1:7" x14ac:dyDescent="0.2">
      <c r="A222">
        <v>220</v>
      </c>
      <c r="B222" t="s">
        <v>2264</v>
      </c>
      <c r="C222" t="s">
        <v>2265</v>
      </c>
      <c r="D222" t="b">
        <v>0</v>
      </c>
      <c r="E222" t="b">
        <v>0</v>
      </c>
      <c r="F222" t="b">
        <v>1</v>
      </c>
      <c r="G222" t="b">
        <v>0</v>
      </c>
    </row>
    <row r="223" spans="1:7" x14ac:dyDescent="0.2">
      <c r="A223">
        <v>221</v>
      </c>
      <c r="B223" t="s">
        <v>2266</v>
      </c>
      <c r="C223" t="s">
        <v>2267</v>
      </c>
      <c r="D223" t="b">
        <v>0</v>
      </c>
      <c r="E223" t="b">
        <v>0</v>
      </c>
      <c r="F223" t="b">
        <v>1</v>
      </c>
      <c r="G223" t="b">
        <v>0</v>
      </c>
    </row>
    <row r="224" spans="1:7" x14ac:dyDescent="0.2">
      <c r="A224">
        <v>222</v>
      </c>
      <c r="B224" t="s">
        <v>2268</v>
      </c>
      <c r="C224" t="s">
        <v>2269</v>
      </c>
      <c r="D224" t="b">
        <v>0</v>
      </c>
      <c r="E224" t="b">
        <v>0</v>
      </c>
      <c r="F224" t="b">
        <v>1</v>
      </c>
      <c r="G224" t="b">
        <v>0</v>
      </c>
    </row>
    <row r="225" spans="1:7" x14ac:dyDescent="0.2">
      <c r="A225">
        <v>223</v>
      </c>
      <c r="B225" t="s">
        <v>2270</v>
      </c>
      <c r="C225" t="s">
        <v>2271</v>
      </c>
      <c r="D225" t="b">
        <v>0</v>
      </c>
      <c r="E225" t="b">
        <v>0</v>
      </c>
      <c r="F225" t="b">
        <v>1</v>
      </c>
      <c r="G225" t="b">
        <v>0</v>
      </c>
    </row>
    <row r="226" spans="1:7" x14ac:dyDescent="0.2">
      <c r="A226">
        <v>224</v>
      </c>
      <c r="B226" t="s">
        <v>2272</v>
      </c>
      <c r="C226" t="s">
        <v>3145</v>
      </c>
      <c r="D226" t="b">
        <v>0</v>
      </c>
      <c r="E226" t="b">
        <v>0</v>
      </c>
      <c r="F226" t="b">
        <v>1</v>
      </c>
      <c r="G226" t="b">
        <v>0</v>
      </c>
    </row>
    <row r="227" spans="1:7" x14ac:dyDescent="0.2">
      <c r="A227">
        <v>225</v>
      </c>
      <c r="B227" t="s">
        <v>2273</v>
      </c>
      <c r="C227" t="s">
        <v>2274</v>
      </c>
      <c r="D227" t="b">
        <v>0</v>
      </c>
      <c r="E227" t="b">
        <v>0</v>
      </c>
      <c r="F227" t="b">
        <v>1</v>
      </c>
      <c r="G227" t="b">
        <v>0</v>
      </c>
    </row>
    <row r="228" spans="1:7" x14ac:dyDescent="0.2">
      <c r="A228">
        <v>226</v>
      </c>
      <c r="B228" t="s">
        <v>1682</v>
      </c>
      <c r="C228" t="s">
        <v>3146</v>
      </c>
      <c r="D228" t="b">
        <v>0</v>
      </c>
      <c r="E228" t="b">
        <v>0</v>
      </c>
      <c r="F228" t="b">
        <v>1</v>
      </c>
      <c r="G228" t="b">
        <v>0</v>
      </c>
    </row>
    <row r="229" spans="1:7" x14ac:dyDescent="0.2">
      <c r="A229">
        <v>227</v>
      </c>
      <c r="B229" t="s">
        <v>2275</v>
      </c>
      <c r="C229" t="s">
        <v>2276</v>
      </c>
      <c r="D229" t="b">
        <v>0</v>
      </c>
      <c r="E229" t="b">
        <v>0</v>
      </c>
      <c r="F229" t="b">
        <v>1</v>
      </c>
      <c r="G229" t="b">
        <v>0</v>
      </c>
    </row>
    <row r="230" spans="1:7" x14ac:dyDescent="0.2">
      <c r="A230">
        <v>228</v>
      </c>
      <c r="B230" t="s">
        <v>2277</v>
      </c>
      <c r="C230" t="s">
        <v>3147</v>
      </c>
      <c r="D230" t="b">
        <v>0</v>
      </c>
      <c r="E230" t="b">
        <v>0</v>
      </c>
      <c r="F230" t="b">
        <v>1</v>
      </c>
      <c r="G230" t="b">
        <v>0</v>
      </c>
    </row>
    <row r="231" spans="1:7" x14ac:dyDescent="0.2">
      <c r="A231">
        <v>229</v>
      </c>
      <c r="B231" t="s">
        <v>1684</v>
      </c>
      <c r="C231" t="s">
        <v>3148</v>
      </c>
      <c r="D231" t="b">
        <v>0</v>
      </c>
      <c r="E231" t="b">
        <v>0</v>
      </c>
      <c r="F231" t="b">
        <v>1</v>
      </c>
      <c r="G231" t="b">
        <v>0</v>
      </c>
    </row>
    <row r="232" spans="1:7" x14ac:dyDescent="0.2">
      <c r="A232">
        <v>230</v>
      </c>
      <c r="B232" t="s">
        <v>2278</v>
      </c>
      <c r="C232" t="s">
        <v>2279</v>
      </c>
      <c r="D232" t="b">
        <v>0</v>
      </c>
      <c r="E232" t="b">
        <v>0</v>
      </c>
      <c r="F232" t="b">
        <v>1</v>
      </c>
      <c r="G232" t="b">
        <v>0</v>
      </c>
    </row>
    <row r="233" spans="1:7" x14ac:dyDescent="0.2">
      <c r="A233">
        <v>231</v>
      </c>
      <c r="B233" t="s">
        <v>2280</v>
      </c>
      <c r="C233" t="s">
        <v>2281</v>
      </c>
      <c r="D233" t="b">
        <v>0</v>
      </c>
      <c r="E233" t="b">
        <v>0</v>
      </c>
      <c r="F233" t="b">
        <v>1</v>
      </c>
      <c r="G233" t="b">
        <v>0</v>
      </c>
    </row>
    <row r="234" spans="1:7" x14ac:dyDescent="0.2">
      <c r="A234">
        <v>232</v>
      </c>
      <c r="B234" t="s">
        <v>2282</v>
      </c>
      <c r="C234" t="s">
        <v>3149</v>
      </c>
      <c r="D234" t="b">
        <v>0</v>
      </c>
      <c r="E234" t="b">
        <v>0</v>
      </c>
      <c r="F234" t="b">
        <v>1</v>
      </c>
      <c r="G234" t="b">
        <v>0</v>
      </c>
    </row>
    <row r="235" spans="1:7" x14ac:dyDescent="0.2">
      <c r="A235">
        <v>233</v>
      </c>
      <c r="B235" t="s">
        <v>1686</v>
      </c>
      <c r="C235" s="1" t="s">
        <v>3150</v>
      </c>
      <c r="D235" t="b">
        <v>0</v>
      </c>
      <c r="E235" t="b">
        <v>0</v>
      </c>
      <c r="F235" t="b">
        <v>1</v>
      </c>
      <c r="G235" t="b">
        <v>0</v>
      </c>
    </row>
    <row r="236" spans="1:7" x14ac:dyDescent="0.2">
      <c r="A236">
        <v>234</v>
      </c>
      <c r="B236" t="s">
        <v>2283</v>
      </c>
      <c r="C236" t="s">
        <v>2284</v>
      </c>
      <c r="D236" t="b">
        <v>0</v>
      </c>
      <c r="E236" t="b">
        <v>0</v>
      </c>
      <c r="F236" t="b">
        <v>1</v>
      </c>
      <c r="G236" t="b">
        <v>0</v>
      </c>
    </row>
    <row r="237" spans="1:7" x14ac:dyDescent="0.2">
      <c r="A237">
        <v>235</v>
      </c>
      <c r="B237" t="s">
        <v>2285</v>
      </c>
      <c r="C237" t="s">
        <v>2286</v>
      </c>
      <c r="D237" t="b">
        <v>0</v>
      </c>
      <c r="E237" t="b">
        <v>0</v>
      </c>
      <c r="F237" t="b">
        <v>1</v>
      </c>
      <c r="G237" t="b">
        <v>0</v>
      </c>
    </row>
    <row r="238" spans="1:7" x14ac:dyDescent="0.2">
      <c r="A238">
        <v>236</v>
      </c>
      <c r="B238" t="s">
        <v>1689</v>
      </c>
      <c r="C238" t="s">
        <v>3151</v>
      </c>
      <c r="D238" t="b">
        <v>0</v>
      </c>
      <c r="E238" t="b">
        <v>0</v>
      </c>
      <c r="F238" t="b">
        <v>1</v>
      </c>
      <c r="G238" t="b">
        <v>0</v>
      </c>
    </row>
    <row r="239" spans="1:7" x14ac:dyDescent="0.2">
      <c r="A239">
        <v>237</v>
      </c>
      <c r="B239" t="s">
        <v>2287</v>
      </c>
      <c r="C239" t="s">
        <v>2288</v>
      </c>
      <c r="D239" t="b">
        <v>0</v>
      </c>
      <c r="E239" t="b">
        <v>0</v>
      </c>
      <c r="F239" t="b">
        <v>1</v>
      </c>
      <c r="G239" t="b">
        <v>0</v>
      </c>
    </row>
    <row r="240" spans="1:7" x14ac:dyDescent="0.2">
      <c r="A240">
        <v>238</v>
      </c>
      <c r="B240" t="s">
        <v>2289</v>
      </c>
      <c r="C240" t="s">
        <v>2290</v>
      </c>
      <c r="D240" t="b">
        <v>0</v>
      </c>
      <c r="E240" t="b">
        <v>0</v>
      </c>
      <c r="F240" t="b">
        <v>1</v>
      </c>
      <c r="G240" t="b">
        <v>0</v>
      </c>
    </row>
    <row r="241" spans="1:7" x14ac:dyDescent="0.2">
      <c r="A241">
        <v>239</v>
      </c>
      <c r="B241" t="s">
        <v>2291</v>
      </c>
      <c r="C241" t="s">
        <v>2292</v>
      </c>
      <c r="D241" t="b">
        <v>0</v>
      </c>
      <c r="E241" t="b">
        <v>0</v>
      </c>
      <c r="F241" t="b">
        <v>1</v>
      </c>
      <c r="G241" t="b">
        <v>0</v>
      </c>
    </row>
    <row r="242" spans="1:7" x14ac:dyDescent="0.2">
      <c r="A242">
        <v>240</v>
      </c>
      <c r="B242" t="s">
        <v>1691</v>
      </c>
      <c r="C242" t="s">
        <v>3152</v>
      </c>
      <c r="D242" t="b">
        <v>0</v>
      </c>
      <c r="E242" t="b">
        <v>0</v>
      </c>
      <c r="F242" t="b">
        <v>1</v>
      </c>
      <c r="G242" t="b">
        <v>0</v>
      </c>
    </row>
    <row r="243" spans="1:7" x14ac:dyDescent="0.2">
      <c r="A243">
        <v>241</v>
      </c>
      <c r="B243" t="s">
        <v>2293</v>
      </c>
      <c r="C243" t="s">
        <v>3153</v>
      </c>
      <c r="D243" t="b">
        <v>0</v>
      </c>
      <c r="E243" t="b">
        <v>0</v>
      </c>
      <c r="F243" t="b">
        <v>1</v>
      </c>
      <c r="G243" t="b">
        <v>0</v>
      </c>
    </row>
    <row r="244" spans="1:7" x14ac:dyDescent="0.2">
      <c r="A244">
        <v>242</v>
      </c>
      <c r="B244" t="s">
        <v>1692</v>
      </c>
      <c r="C244" t="s">
        <v>3070</v>
      </c>
      <c r="D244" t="b">
        <v>0</v>
      </c>
      <c r="E244" t="b">
        <v>0</v>
      </c>
      <c r="F244" t="b">
        <v>1</v>
      </c>
      <c r="G244" t="b">
        <v>0</v>
      </c>
    </row>
    <row r="245" spans="1:7" x14ac:dyDescent="0.2">
      <c r="A245">
        <v>243</v>
      </c>
      <c r="B245" t="s">
        <v>2294</v>
      </c>
      <c r="C245" t="s">
        <v>2295</v>
      </c>
      <c r="D245" t="b">
        <v>0</v>
      </c>
      <c r="E245" t="b">
        <v>0</v>
      </c>
      <c r="F245" t="b">
        <v>1</v>
      </c>
      <c r="G245" t="b">
        <v>0</v>
      </c>
    </row>
    <row r="246" spans="1:7" x14ac:dyDescent="0.2">
      <c r="A246">
        <v>244</v>
      </c>
      <c r="B246" t="s">
        <v>2296</v>
      </c>
      <c r="C246" t="s">
        <v>3154</v>
      </c>
      <c r="D246" t="b">
        <v>0</v>
      </c>
      <c r="E246" t="b">
        <v>0</v>
      </c>
      <c r="F246" t="b">
        <v>1</v>
      </c>
      <c r="G246" t="b">
        <v>0</v>
      </c>
    </row>
    <row r="247" spans="1:7" x14ac:dyDescent="0.2">
      <c r="A247">
        <v>245</v>
      </c>
      <c r="B247" t="s">
        <v>2297</v>
      </c>
      <c r="C247" t="s">
        <v>3155</v>
      </c>
      <c r="D247" t="b">
        <v>0</v>
      </c>
      <c r="E247" t="b">
        <v>0</v>
      </c>
      <c r="F247" t="b">
        <v>1</v>
      </c>
      <c r="G247" t="b">
        <v>0</v>
      </c>
    </row>
    <row r="248" spans="1:7" x14ac:dyDescent="0.2">
      <c r="A248">
        <v>246</v>
      </c>
      <c r="B248" t="s">
        <v>2298</v>
      </c>
      <c r="C248" t="s">
        <v>2299</v>
      </c>
      <c r="D248" t="b">
        <v>0</v>
      </c>
      <c r="E248" t="b">
        <v>0</v>
      </c>
      <c r="F248" t="b">
        <v>1</v>
      </c>
      <c r="G248" t="b">
        <v>0</v>
      </c>
    </row>
    <row r="249" spans="1:7" x14ac:dyDescent="0.2">
      <c r="A249">
        <v>247</v>
      </c>
      <c r="B249" t="s">
        <v>2300</v>
      </c>
      <c r="C249" t="s">
        <v>2301</v>
      </c>
      <c r="D249" t="b">
        <v>0</v>
      </c>
      <c r="E249" t="b">
        <v>0</v>
      </c>
      <c r="F249" t="b">
        <v>1</v>
      </c>
      <c r="G249" t="b">
        <v>0</v>
      </c>
    </row>
    <row r="250" spans="1:7" x14ac:dyDescent="0.2">
      <c r="A250">
        <v>248</v>
      </c>
      <c r="B250" t="s">
        <v>2302</v>
      </c>
      <c r="C250" t="s">
        <v>2303</v>
      </c>
      <c r="D250" t="b">
        <v>0</v>
      </c>
      <c r="E250" t="b">
        <v>0</v>
      </c>
      <c r="F250" t="b">
        <v>1</v>
      </c>
      <c r="G250" t="b">
        <v>0</v>
      </c>
    </row>
    <row r="251" spans="1:7" x14ac:dyDescent="0.2">
      <c r="A251">
        <v>249</v>
      </c>
      <c r="B251" t="s">
        <v>2304</v>
      </c>
      <c r="C251" t="s">
        <v>3156</v>
      </c>
      <c r="D251" t="b">
        <v>0</v>
      </c>
      <c r="E251" t="b">
        <v>0</v>
      </c>
      <c r="F251" t="b">
        <v>1</v>
      </c>
      <c r="G251" t="b">
        <v>0</v>
      </c>
    </row>
    <row r="252" spans="1:7" x14ac:dyDescent="0.2">
      <c r="A252">
        <v>250</v>
      </c>
      <c r="B252" t="s">
        <v>2305</v>
      </c>
      <c r="C252" t="s">
        <v>2306</v>
      </c>
      <c r="D252" t="b">
        <v>0</v>
      </c>
      <c r="E252" t="b">
        <v>0</v>
      </c>
      <c r="F252" t="b">
        <v>1</v>
      </c>
      <c r="G252" t="b">
        <v>0</v>
      </c>
    </row>
    <row r="253" spans="1:7" x14ac:dyDescent="0.2">
      <c r="A253">
        <v>251</v>
      </c>
      <c r="B253" t="s">
        <v>2307</v>
      </c>
      <c r="C253" t="s">
        <v>2308</v>
      </c>
      <c r="D253" t="b">
        <v>0</v>
      </c>
      <c r="E253" t="b">
        <v>0</v>
      </c>
      <c r="F253" t="b">
        <v>1</v>
      </c>
      <c r="G253" t="b">
        <v>0</v>
      </c>
    </row>
    <row r="254" spans="1:7" x14ac:dyDescent="0.2">
      <c r="A254">
        <v>252</v>
      </c>
      <c r="B254" t="s">
        <v>2309</v>
      </c>
      <c r="C254" t="s">
        <v>3157</v>
      </c>
      <c r="D254" t="b">
        <v>0</v>
      </c>
      <c r="E254" t="b">
        <v>0</v>
      </c>
      <c r="F254" t="b">
        <v>1</v>
      </c>
      <c r="G254" t="b">
        <v>0</v>
      </c>
    </row>
    <row r="255" spans="1:7" x14ac:dyDescent="0.2">
      <c r="A255">
        <v>253</v>
      </c>
      <c r="B255" t="s">
        <v>2310</v>
      </c>
      <c r="C255" t="s">
        <v>2311</v>
      </c>
      <c r="D255" t="b">
        <v>0</v>
      </c>
      <c r="E255" t="b">
        <v>0</v>
      </c>
      <c r="F255" t="b">
        <v>1</v>
      </c>
      <c r="G255" t="b">
        <v>0</v>
      </c>
    </row>
    <row r="256" spans="1:7" x14ac:dyDescent="0.2">
      <c r="A256">
        <v>254</v>
      </c>
      <c r="B256" t="s">
        <v>2312</v>
      </c>
      <c r="C256" t="s">
        <v>2313</v>
      </c>
      <c r="D256" t="b">
        <v>0</v>
      </c>
      <c r="E256" t="b">
        <v>0</v>
      </c>
      <c r="F256" t="b">
        <v>1</v>
      </c>
      <c r="G256" t="b">
        <v>0</v>
      </c>
    </row>
    <row r="257" spans="1:7" x14ac:dyDescent="0.2">
      <c r="A257">
        <v>255</v>
      </c>
      <c r="B257" t="s">
        <v>2314</v>
      </c>
      <c r="C257" t="s">
        <v>2315</v>
      </c>
      <c r="D257" t="b">
        <v>0</v>
      </c>
      <c r="E257" t="b">
        <v>0</v>
      </c>
      <c r="F257" t="b">
        <v>1</v>
      </c>
      <c r="G257" t="b">
        <v>0</v>
      </c>
    </row>
    <row r="258" spans="1:7" x14ac:dyDescent="0.2">
      <c r="A258">
        <v>256</v>
      </c>
      <c r="B258" t="s">
        <v>1696</v>
      </c>
      <c r="C258" s="1" t="s">
        <v>3158</v>
      </c>
      <c r="D258" t="b">
        <v>0</v>
      </c>
      <c r="E258" t="b">
        <v>0</v>
      </c>
      <c r="F258" t="b">
        <v>1</v>
      </c>
      <c r="G258" t="b">
        <v>0</v>
      </c>
    </row>
    <row r="259" spans="1:7" x14ac:dyDescent="0.2">
      <c r="A259">
        <v>257</v>
      </c>
      <c r="B259" t="s">
        <v>2316</v>
      </c>
      <c r="C259" t="s">
        <v>2317</v>
      </c>
      <c r="D259" t="b">
        <v>0</v>
      </c>
      <c r="E259" t="b">
        <v>0</v>
      </c>
      <c r="F259" t="b">
        <v>1</v>
      </c>
      <c r="G259" t="b">
        <v>0</v>
      </c>
    </row>
    <row r="260" spans="1:7" x14ac:dyDescent="0.2">
      <c r="A260">
        <v>258</v>
      </c>
      <c r="B260" t="s">
        <v>2318</v>
      </c>
      <c r="C260" t="s">
        <v>3159</v>
      </c>
      <c r="D260" t="b">
        <v>0</v>
      </c>
      <c r="E260" t="b">
        <v>0</v>
      </c>
      <c r="F260" t="b">
        <v>1</v>
      </c>
      <c r="G260" t="b">
        <v>0</v>
      </c>
    </row>
    <row r="261" spans="1:7" x14ac:dyDescent="0.2">
      <c r="A261">
        <v>259</v>
      </c>
      <c r="B261" t="s">
        <v>2319</v>
      </c>
      <c r="C261" t="s">
        <v>2320</v>
      </c>
      <c r="D261" t="b">
        <v>0</v>
      </c>
      <c r="E261" t="b">
        <v>0</v>
      </c>
      <c r="F261" t="b">
        <v>1</v>
      </c>
      <c r="G261" t="b">
        <v>0</v>
      </c>
    </row>
    <row r="262" spans="1:7" x14ac:dyDescent="0.2">
      <c r="A262">
        <v>260</v>
      </c>
      <c r="B262" t="s">
        <v>2321</v>
      </c>
      <c r="C262" t="s">
        <v>3160</v>
      </c>
      <c r="D262" t="b">
        <v>0</v>
      </c>
      <c r="E262" t="b">
        <v>0</v>
      </c>
      <c r="F262" t="b">
        <v>1</v>
      </c>
      <c r="G262" t="b">
        <v>0</v>
      </c>
    </row>
    <row r="263" spans="1:7" x14ac:dyDescent="0.2">
      <c r="A263">
        <v>261</v>
      </c>
      <c r="B263" t="s">
        <v>2322</v>
      </c>
      <c r="C263" t="s">
        <v>2323</v>
      </c>
      <c r="D263" t="b">
        <v>0</v>
      </c>
      <c r="E263" t="b">
        <v>0</v>
      </c>
      <c r="F263" t="b">
        <v>1</v>
      </c>
      <c r="G263" t="b">
        <v>0</v>
      </c>
    </row>
    <row r="264" spans="1:7" x14ac:dyDescent="0.2">
      <c r="A264">
        <v>262</v>
      </c>
      <c r="B264" t="s">
        <v>2324</v>
      </c>
      <c r="C264" t="s">
        <v>3161</v>
      </c>
      <c r="D264" t="b">
        <v>0</v>
      </c>
      <c r="E264" t="b">
        <v>0</v>
      </c>
      <c r="F264" t="b">
        <v>1</v>
      </c>
      <c r="G264" t="b">
        <v>0</v>
      </c>
    </row>
    <row r="265" spans="1:7" x14ac:dyDescent="0.2">
      <c r="A265">
        <v>263</v>
      </c>
      <c r="B265" t="s">
        <v>2325</v>
      </c>
      <c r="C265" t="s">
        <v>3162</v>
      </c>
      <c r="D265" t="b">
        <v>0</v>
      </c>
      <c r="E265" t="b">
        <v>0</v>
      </c>
      <c r="F265" t="b">
        <v>1</v>
      </c>
      <c r="G265" t="b">
        <v>0</v>
      </c>
    </row>
    <row r="266" spans="1:7" x14ac:dyDescent="0.2">
      <c r="A266">
        <v>264</v>
      </c>
      <c r="B266" t="s">
        <v>2326</v>
      </c>
      <c r="C266" t="s">
        <v>3163</v>
      </c>
      <c r="D266" t="b">
        <v>0</v>
      </c>
      <c r="E266" t="b">
        <v>0</v>
      </c>
      <c r="F266" t="b">
        <v>1</v>
      </c>
      <c r="G266" t="b">
        <v>0</v>
      </c>
    </row>
    <row r="267" spans="1:7" x14ac:dyDescent="0.2">
      <c r="A267">
        <v>265</v>
      </c>
      <c r="B267" t="s">
        <v>1697</v>
      </c>
      <c r="C267" t="s">
        <v>3083</v>
      </c>
      <c r="D267" t="b">
        <v>0</v>
      </c>
      <c r="E267" t="b">
        <v>0</v>
      </c>
      <c r="F267" t="b">
        <v>1</v>
      </c>
      <c r="G267" t="b">
        <v>0</v>
      </c>
    </row>
    <row r="268" spans="1:7" x14ac:dyDescent="0.2">
      <c r="A268">
        <v>266</v>
      </c>
      <c r="B268" t="s">
        <v>2327</v>
      </c>
      <c r="C268" t="s">
        <v>2328</v>
      </c>
      <c r="D268" t="b">
        <v>0</v>
      </c>
      <c r="E268" t="b">
        <v>0</v>
      </c>
      <c r="F268" t="b">
        <v>1</v>
      </c>
      <c r="G268" t="b">
        <v>0</v>
      </c>
    </row>
    <row r="269" spans="1:7" x14ac:dyDescent="0.2">
      <c r="A269">
        <v>267</v>
      </c>
      <c r="B269" t="s">
        <v>2329</v>
      </c>
      <c r="C269" t="s">
        <v>3164</v>
      </c>
      <c r="D269" t="b">
        <v>0</v>
      </c>
      <c r="E269" t="b">
        <v>0</v>
      </c>
      <c r="F269" t="b">
        <v>1</v>
      </c>
      <c r="G269" t="b">
        <v>0</v>
      </c>
    </row>
    <row r="270" spans="1:7" x14ac:dyDescent="0.2">
      <c r="A270">
        <v>268</v>
      </c>
      <c r="B270" t="s">
        <v>2330</v>
      </c>
      <c r="C270" t="s">
        <v>2331</v>
      </c>
      <c r="D270" t="b">
        <v>0</v>
      </c>
      <c r="E270" t="b">
        <v>0</v>
      </c>
      <c r="F270" t="b">
        <v>1</v>
      </c>
      <c r="G270" t="b">
        <v>0</v>
      </c>
    </row>
    <row r="271" spans="1:7" x14ac:dyDescent="0.2">
      <c r="A271">
        <v>269</v>
      </c>
      <c r="B271" t="s">
        <v>2332</v>
      </c>
      <c r="C271" t="s">
        <v>2333</v>
      </c>
      <c r="D271" t="b">
        <v>0</v>
      </c>
      <c r="E271" t="b">
        <v>0</v>
      </c>
      <c r="F271" t="b">
        <v>1</v>
      </c>
      <c r="G271" t="b">
        <v>0</v>
      </c>
    </row>
    <row r="272" spans="1:7" x14ac:dyDescent="0.2">
      <c r="A272">
        <v>270</v>
      </c>
      <c r="B272" t="s">
        <v>2334</v>
      </c>
      <c r="C272" t="s">
        <v>2335</v>
      </c>
      <c r="D272" t="b">
        <v>0</v>
      </c>
      <c r="E272" t="b">
        <v>0</v>
      </c>
      <c r="F272" t="b">
        <v>1</v>
      </c>
      <c r="G272" t="b">
        <v>0</v>
      </c>
    </row>
    <row r="273" spans="1:7" x14ac:dyDescent="0.2">
      <c r="A273">
        <v>271</v>
      </c>
      <c r="B273" t="s">
        <v>1698</v>
      </c>
      <c r="C273" t="s">
        <v>3165</v>
      </c>
      <c r="D273" t="b">
        <v>0</v>
      </c>
      <c r="E273" t="b">
        <v>0</v>
      </c>
      <c r="F273" t="b">
        <v>1</v>
      </c>
      <c r="G273" t="b">
        <v>0</v>
      </c>
    </row>
    <row r="274" spans="1:7" x14ac:dyDescent="0.2">
      <c r="A274">
        <v>272</v>
      </c>
      <c r="B274" t="s">
        <v>2336</v>
      </c>
      <c r="C274" t="s">
        <v>2337</v>
      </c>
      <c r="D274" t="b">
        <v>0</v>
      </c>
      <c r="E274" t="b">
        <v>0</v>
      </c>
      <c r="F274" t="b">
        <v>1</v>
      </c>
      <c r="G274" t="b">
        <v>0</v>
      </c>
    </row>
    <row r="275" spans="1:7" x14ac:dyDescent="0.2">
      <c r="A275">
        <v>273</v>
      </c>
      <c r="B275" t="s">
        <v>2338</v>
      </c>
      <c r="C275" t="s">
        <v>2339</v>
      </c>
      <c r="D275" t="b">
        <v>0</v>
      </c>
      <c r="E275" t="b">
        <v>0</v>
      </c>
      <c r="F275" t="b">
        <v>1</v>
      </c>
      <c r="G275" t="b">
        <v>0</v>
      </c>
    </row>
    <row r="276" spans="1:7" x14ac:dyDescent="0.2">
      <c r="A276">
        <v>274</v>
      </c>
      <c r="B276" t="s">
        <v>2340</v>
      </c>
      <c r="C276" t="s">
        <v>3166</v>
      </c>
      <c r="D276" t="b">
        <v>0</v>
      </c>
      <c r="E276" t="b">
        <v>0</v>
      </c>
      <c r="F276" t="b">
        <v>1</v>
      </c>
      <c r="G276" t="b">
        <v>0</v>
      </c>
    </row>
    <row r="277" spans="1:7" x14ac:dyDescent="0.2">
      <c r="A277">
        <v>275</v>
      </c>
      <c r="B277" t="s">
        <v>1700</v>
      </c>
      <c r="C277" t="s">
        <v>3167</v>
      </c>
      <c r="D277" t="b">
        <v>0</v>
      </c>
      <c r="E277" t="b">
        <v>0</v>
      </c>
      <c r="F277" t="b">
        <v>1</v>
      </c>
      <c r="G277" t="b">
        <v>0</v>
      </c>
    </row>
    <row r="278" spans="1:7" x14ac:dyDescent="0.2">
      <c r="A278">
        <v>276</v>
      </c>
      <c r="B278" t="s">
        <v>2341</v>
      </c>
      <c r="C278" t="s">
        <v>2342</v>
      </c>
      <c r="D278" t="b">
        <v>0</v>
      </c>
      <c r="E278" t="b">
        <v>0</v>
      </c>
      <c r="F278" t="b">
        <v>1</v>
      </c>
      <c r="G278" t="b">
        <v>0</v>
      </c>
    </row>
    <row r="279" spans="1:7" x14ac:dyDescent="0.2">
      <c r="A279">
        <v>277</v>
      </c>
      <c r="B279" t="s">
        <v>2343</v>
      </c>
      <c r="C279" t="s">
        <v>2344</v>
      </c>
      <c r="D279" t="b">
        <v>0</v>
      </c>
      <c r="E279" t="b">
        <v>0</v>
      </c>
      <c r="F279" t="b">
        <v>1</v>
      </c>
      <c r="G279" t="b">
        <v>0</v>
      </c>
    </row>
    <row r="280" spans="1:7" x14ac:dyDescent="0.2">
      <c r="A280">
        <v>278</v>
      </c>
      <c r="B280" t="s">
        <v>2345</v>
      </c>
      <c r="C280" t="s">
        <v>2346</v>
      </c>
      <c r="D280" t="b">
        <v>0</v>
      </c>
      <c r="E280" t="b">
        <v>0</v>
      </c>
      <c r="F280" t="b">
        <v>1</v>
      </c>
      <c r="G280" t="b">
        <v>0</v>
      </c>
    </row>
    <row r="281" spans="1:7" x14ac:dyDescent="0.2">
      <c r="A281">
        <v>279</v>
      </c>
      <c r="B281" t="s">
        <v>1701</v>
      </c>
      <c r="C281" t="s">
        <v>3168</v>
      </c>
      <c r="D281" t="b">
        <v>0</v>
      </c>
      <c r="E281" t="b">
        <v>0</v>
      </c>
      <c r="F281" t="b">
        <v>1</v>
      </c>
      <c r="G281" t="b">
        <v>0</v>
      </c>
    </row>
    <row r="282" spans="1:7" x14ac:dyDescent="0.2">
      <c r="A282">
        <v>280</v>
      </c>
      <c r="B282" t="s">
        <v>2347</v>
      </c>
      <c r="C282" t="s">
        <v>2348</v>
      </c>
      <c r="D282" t="b">
        <v>0</v>
      </c>
      <c r="E282" t="b">
        <v>0</v>
      </c>
      <c r="F282" t="b">
        <v>1</v>
      </c>
      <c r="G282" t="b">
        <v>0</v>
      </c>
    </row>
    <row r="283" spans="1:7" x14ac:dyDescent="0.2">
      <c r="A283">
        <v>281</v>
      </c>
      <c r="B283" t="s">
        <v>2349</v>
      </c>
      <c r="C283" t="s">
        <v>2350</v>
      </c>
      <c r="D283" t="b">
        <v>0</v>
      </c>
      <c r="E283" t="b">
        <v>0</v>
      </c>
      <c r="F283" t="b">
        <v>1</v>
      </c>
      <c r="G283" t="b">
        <v>0</v>
      </c>
    </row>
    <row r="284" spans="1:7" x14ac:dyDescent="0.2">
      <c r="A284">
        <v>282</v>
      </c>
      <c r="B284" t="s">
        <v>2351</v>
      </c>
      <c r="C284" t="s">
        <v>2352</v>
      </c>
      <c r="D284" t="b">
        <v>0</v>
      </c>
      <c r="E284" t="b">
        <v>0</v>
      </c>
      <c r="F284" t="b">
        <v>1</v>
      </c>
      <c r="G284" t="b">
        <v>0</v>
      </c>
    </row>
    <row r="285" spans="1:7" x14ac:dyDescent="0.2">
      <c r="A285">
        <v>283</v>
      </c>
      <c r="B285" t="s">
        <v>2353</v>
      </c>
      <c r="C285" t="s">
        <v>3169</v>
      </c>
      <c r="D285" t="b">
        <v>0</v>
      </c>
      <c r="E285" t="b">
        <v>0</v>
      </c>
      <c r="F285" t="b">
        <v>1</v>
      </c>
      <c r="G285" t="b">
        <v>0</v>
      </c>
    </row>
    <row r="286" spans="1:7" x14ac:dyDescent="0.2">
      <c r="A286">
        <v>284</v>
      </c>
      <c r="B286" t="s">
        <v>2354</v>
      </c>
      <c r="C286" t="s">
        <v>3170</v>
      </c>
      <c r="D286" t="b">
        <v>0</v>
      </c>
      <c r="E286" t="b">
        <v>0</v>
      </c>
      <c r="F286" t="b">
        <v>1</v>
      </c>
      <c r="G286" t="b">
        <v>0</v>
      </c>
    </row>
    <row r="287" spans="1:7" x14ac:dyDescent="0.2">
      <c r="A287">
        <v>285</v>
      </c>
      <c r="B287" t="s">
        <v>1702</v>
      </c>
      <c r="C287" t="s">
        <v>3171</v>
      </c>
      <c r="D287" t="b">
        <v>0</v>
      </c>
      <c r="E287" t="b">
        <v>0</v>
      </c>
      <c r="F287" t="b">
        <v>1</v>
      </c>
      <c r="G287" t="b">
        <v>0</v>
      </c>
    </row>
    <row r="288" spans="1:7" x14ac:dyDescent="0.2">
      <c r="A288">
        <v>286</v>
      </c>
      <c r="B288" t="s">
        <v>2355</v>
      </c>
      <c r="C288" t="s">
        <v>2356</v>
      </c>
      <c r="D288" t="b">
        <v>0</v>
      </c>
      <c r="E288" t="b">
        <v>0</v>
      </c>
      <c r="F288" t="b">
        <v>1</v>
      </c>
      <c r="G288" t="b">
        <v>0</v>
      </c>
    </row>
    <row r="289" spans="1:7" x14ac:dyDescent="0.2">
      <c r="A289">
        <v>287</v>
      </c>
      <c r="B289" t="s">
        <v>2357</v>
      </c>
      <c r="C289" t="s">
        <v>2358</v>
      </c>
      <c r="D289" t="b">
        <v>0</v>
      </c>
      <c r="E289" t="b">
        <v>0</v>
      </c>
      <c r="F289" t="b">
        <v>1</v>
      </c>
      <c r="G289" t="b">
        <v>0</v>
      </c>
    </row>
    <row r="290" spans="1:7" x14ac:dyDescent="0.2">
      <c r="A290">
        <v>288</v>
      </c>
      <c r="B290" t="s">
        <v>2359</v>
      </c>
      <c r="C290" t="s">
        <v>3172</v>
      </c>
      <c r="D290" t="b">
        <v>0</v>
      </c>
      <c r="E290" t="b">
        <v>0</v>
      </c>
      <c r="F290" t="b">
        <v>1</v>
      </c>
      <c r="G290" t="b">
        <v>0</v>
      </c>
    </row>
    <row r="291" spans="1:7" x14ac:dyDescent="0.2">
      <c r="A291">
        <v>289</v>
      </c>
      <c r="B291" t="s">
        <v>2360</v>
      </c>
      <c r="C291" t="s">
        <v>2361</v>
      </c>
      <c r="D291" t="b">
        <v>0</v>
      </c>
      <c r="E291" t="b">
        <v>0</v>
      </c>
      <c r="F291" t="b">
        <v>1</v>
      </c>
      <c r="G291" t="b">
        <v>0</v>
      </c>
    </row>
    <row r="292" spans="1:7" x14ac:dyDescent="0.2">
      <c r="A292">
        <v>290</v>
      </c>
      <c r="B292" t="s">
        <v>2362</v>
      </c>
      <c r="C292" t="s">
        <v>3173</v>
      </c>
      <c r="D292" t="b">
        <v>0</v>
      </c>
      <c r="E292" t="b">
        <v>0</v>
      </c>
      <c r="F292" t="b">
        <v>1</v>
      </c>
      <c r="G292" t="b">
        <v>0</v>
      </c>
    </row>
    <row r="293" spans="1:7" x14ac:dyDescent="0.2">
      <c r="A293">
        <v>291</v>
      </c>
      <c r="B293" t="s">
        <v>2363</v>
      </c>
      <c r="C293" t="s">
        <v>2364</v>
      </c>
      <c r="D293" t="b">
        <v>0</v>
      </c>
      <c r="E293" t="b">
        <v>0</v>
      </c>
      <c r="F293" t="b">
        <v>1</v>
      </c>
      <c r="G293" t="b">
        <v>0</v>
      </c>
    </row>
    <row r="294" spans="1:7" x14ac:dyDescent="0.2">
      <c r="A294">
        <v>292</v>
      </c>
      <c r="B294" t="s">
        <v>2365</v>
      </c>
      <c r="C294" t="s">
        <v>2366</v>
      </c>
      <c r="D294" t="b">
        <v>0</v>
      </c>
      <c r="E294" t="b">
        <v>0</v>
      </c>
      <c r="F294" t="b">
        <v>1</v>
      </c>
      <c r="G294" t="b">
        <v>0</v>
      </c>
    </row>
    <row r="295" spans="1:7" x14ac:dyDescent="0.2">
      <c r="A295">
        <v>293</v>
      </c>
      <c r="B295" t="s">
        <v>1704</v>
      </c>
      <c r="C295" t="s">
        <v>3174</v>
      </c>
      <c r="D295" t="b">
        <v>0</v>
      </c>
      <c r="E295" t="b">
        <v>0</v>
      </c>
      <c r="F295" t="b">
        <v>1</v>
      </c>
      <c r="G295" t="b">
        <v>0</v>
      </c>
    </row>
    <row r="296" spans="1:7" x14ac:dyDescent="0.2">
      <c r="A296">
        <v>294</v>
      </c>
      <c r="B296" t="s">
        <v>1705</v>
      </c>
      <c r="C296" t="s">
        <v>3175</v>
      </c>
      <c r="D296" t="b">
        <v>0</v>
      </c>
      <c r="E296" t="b">
        <v>0</v>
      </c>
      <c r="F296" t="b">
        <v>1</v>
      </c>
      <c r="G296" t="b">
        <v>0</v>
      </c>
    </row>
    <row r="297" spans="1:7" x14ac:dyDescent="0.2">
      <c r="A297">
        <v>295</v>
      </c>
      <c r="B297" t="s">
        <v>2367</v>
      </c>
      <c r="C297" t="s">
        <v>3176</v>
      </c>
      <c r="D297" t="b">
        <v>0</v>
      </c>
      <c r="E297" t="b">
        <v>0</v>
      </c>
      <c r="F297" t="b">
        <v>1</v>
      </c>
      <c r="G297" t="b">
        <v>0</v>
      </c>
    </row>
    <row r="298" spans="1:7" x14ac:dyDescent="0.2">
      <c r="A298">
        <v>296</v>
      </c>
      <c r="B298" t="s">
        <v>2368</v>
      </c>
      <c r="C298" t="s">
        <v>3177</v>
      </c>
      <c r="D298" t="b">
        <v>0</v>
      </c>
      <c r="E298" t="b">
        <v>0</v>
      </c>
      <c r="F298" t="b">
        <v>1</v>
      </c>
      <c r="G298" t="b">
        <v>0</v>
      </c>
    </row>
    <row r="299" spans="1:7" x14ac:dyDescent="0.2">
      <c r="A299">
        <v>297</v>
      </c>
      <c r="B299" t="s">
        <v>2369</v>
      </c>
      <c r="C299" t="s">
        <v>2370</v>
      </c>
      <c r="D299" t="b">
        <v>0</v>
      </c>
      <c r="E299" t="b">
        <v>0</v>
      </c>
      <c r="F299" t="b">
        <v>1</v>
      </c>
      <c r="G299" t="b">
        <v>0</v>
      </c>
    </row>
    <row r="300" spans="1:7" x14ac:dyDescent="0.2">
      <c r="A300">
        <v>298</v>
      </c>
      <c r="B300" t="s">
        <v>2371</v>
      </c>
      <c r="C300" t="s">
        <v>2372</v>
      </c>
      <c r="D300" t="b">
        <v>0</v>
      </c>
      <c r="E300" t="b">
        <v>0</v>
      </c>
      <c r="F300" t="b">
        <v>1</v>
      </c>
      <c r="G300" t="b">
        <v>0</v>
      </c>
    </row>
    <row r="301" spans="1:7" x14ac:dyDescent="0.2">
      <c r="A301">
        <v>299</v>
      </c>
      <c r="B301" t="s">
        <v>2373</v>
      </c>
      <c r="C301" t="s">
        <v>2374</v>
      </c>
      <c r="D301" t="b">
        <v>0</v>
      </c>
      <c r="E301" t="b">
        <v>0</v>
      </c>
      <c r="F301" t="b">
        <v>1</v>
      </c>
      <c r="G301" t="b">
        <v>0</v>
      </c>
    </row>
    <row r="302" spans="1:7" x14ac:dyDescent="0.2">
      <c r="A302">
        <v>300</v>
      </c>
      <c r="B302" t="s">
        <v>2375</v>
      </c>
      <c r="C302" t="s">
        <v>2376</v>
      </c>
      <c r="D302" t="b">
        <v>0</v>
      </c>
      <c r="E302" t="b">
        <v>0</v>
      </c>
      <c r="F302" t="b">
        <v>1</v>
      </c>
      <c r="G302" t="b">
        <v>0</v>
      </c>
    </row>
    <row r="303" spans="1:7" x14ac:dyDescent="0.2">
      <c r="A303">
        <v>301</v>
      </c>
      <c r="B303" t="s">
        <v>2377</v>
      </c>
      <c r="C303" t="s">
        <v>2378</v>
      </c>
      <c r="D303" t="b">
        <v>0</v>
      </c>
      <c r="E303" t="b">
        <v>0</v>
      </c>
      <c r="F303" t="b">
        <v>1</v>
      </c>
      <c r="G303" t="b">
        <v>0</v>
      </c>
    </row>
    <row r="304" spans="1:7" x14ac:dyDescent="0.2">
      <c r="A304">
        <v>302</v>
      </c>
      <c r="B304" t="s">
        <v>2379</v>
      </c>
      <c r="C304" t="s">
        <v>2380</v>
      </c>
      <c r="D304" t="b">
        <v>0</v>
      </c>
      <c r="E304" t="b">
        <v>0</v>
      </c>
      <c r="F304" t="b">
        <v>1</v>
      </c>
      <c r="G304" t="b">
        <v>0</v>
      </c>
    </row>
    <row r="305" spans="1:7" x14ac:dyDescent="0.2">
      <c r="A305">
        <v>303</v>
      </c>
      <c r="B305" t="s">
        <v>2381</v>
      </c>
      <c r="C305" t="s">
        <v>3178</v>
      </c>
      <c r="D305" t="b">
        <v>0</v>
      </c>
      <c r="E305" t="b">
        <v>0</v>
      </c>
      <c r="F305" t="b">
        <v>1</v>
      </c>
      <c r="G305" t="b">
        <v>0</v>
      </c>
    </row>
    <row r="306" spans="1:7" x14ac:dyDescent="0.2">
      <c r="A306">
        <v>304</v>
      </c>
      <c r="B306" t="s">
        <v>2382</v>
      </c>
      <c r="C306" t="s">
        <v>2383</v>
      </c>
      <c r="D306" t="b">
        <v>0</v>
      </c>
      <c r="E306" t="b">
        <v>0</v>
      </c>
      <c r="F306" t="b">
        <v>1</v>
      </c>
      <c r="G306" t="b">
        <v>0</v>
      </c>
    </row>
    <row r="307" spans="1:7" x14ac:dyDescent="0.2">
      <c r="A307">
        <v>305</v>
      </c>
      <c r="B307" t="s">
        <v>2384</v>
      </c>
      <c r="C307" t="s">
        <v>2385</v>
      </c>
      <c r="D307" t="b">
        <v>0</v>
      </c>
      <c r="E307" t="b">
        <v>0</v>
      </c>
      <c r="F307" t="b">
        <v>1</v>
      </c>
      <c r="G307" t="b">
        <v>0</v>
      </c>
    </row>
    <row r="308" spans="1:7" x14ac:dyDescent="0.2">
      <c r="A308">
        <v>306</v>
      </c>
      <c r="B308" t="s">
        <v>2386</v>
      </c>
      <c r="C308" t="s">
        <v>2387</v>
      </c>
      <c r="D308" t="b">
        <v>0</v>
      </c>
      <c r="E308" t="b">
        <v>0</v>
      </c>
      <c r="F308" t="b">
        <v>1</v>
      </c>
      <c r="G308" t="b">
        <v>0</v>
      </c>
    </row>
    <row r="309" spans="1:7" x14ac:dyDescent="0.2">
      <c r="A309">
        <v>307</v>
      </c>
      <c r="B309" t="s">
        <v>2388</v>
      </c>
      <c r="C309" t="s">
        <v>3179</v>
      </c>
      <c r="D309" t="b">
        <v>0</v>
      </c>
      <c r="E309" t="b">
        <v>0</v>
      </c>
      <c r="F309" t="b">
        <v>1</v>
      </c>
      <c r="G309" t="b">
        <v>0</v>
      </c>
    </row>
    <row r="310" spans="1:7" x14ac:dyDescent="0.2">
      <c r="A310">
        <v>308</v>
      </c>
      <c r="B310" t="s">
        <v>2389</v>
      </c>
      <c r="C310" t="s">
        <v>2390</v>
      </c>
      <c r="D310" t="b">
        <v>0</v>
      </c>
      <c r="E310" t="b">
        <v>0</v>
      </c>
      <c r="F310" t="b">
        <v>1</v>
      </c>
      <c r="G310" t="b">
        <v>0</v>
      </c>
    </row>
    <row r="311" spans="1:7" x14ac:dyDescent="0.2">
      <c r="A311">
        <v>309</v>
      </c>
      <c r="B311" t="s">
        <v>2391</v>
      </c>
      <c r="C311" t="s">
        <v>3180</v>
      </c>
      <c r="D311" t="b">
        <v>0</v>
      </c>
      <c r="E311" t="b">
        <v>0</v>
      </c>
      <c r="F311" t="b">
        <v>1</v>
      </c>
      <c r="G311" t="b">
        <v>0</v>
      </c>
    </row>
    <row r="312" spans="1:7" x14ac:dyDescent="0.2">
      <c r="A312">
        <v>310</v>
      </c>
      <c r="B312" t="s">
        <v>2392</v>
      </c>
      <c r="C312" t="s">
        <v>2393</v>
      </c>
      <c r="D312" t="b">
        <v>0</v>
      </c>
      <c r="E312" t="b">
        <v>0</v>
      </c>
      <c r="F312" t="b">
        <v>1</v>
      </c>
      <c r="G312" t="b">
        <v>0</v>
      </c>
    </row>
    <row r="313" spans="1:7" x14ac:dyDescent="0.2">
      <c r="A313">
        <v>311</v>
      </c>
      <c r="B313" t="s">
        <v>2394</v>
      </c>
      <c r="C313" t="s">
        <v>2395</v>
      </c>
      <c r="D313" t="b">
        <v>0</v>
      </c>
      <c r="E313" t="b">
        <v>0</v>
      </c>
      <c r="F313" t="b">
        <v>1</v>
      </c>
      <c r="G313" t="b">
        <v>0</v>
      </c>
    </row>
    <row r="314" spans="1:7" x14ac:dyDescent="0.2">
      <c r="A314">
        <v>312</v>
      </c>
      <c r="B314" t="s">
        <v>2396</v>
      </c>
      <c r="C314" t="s">
        <v>3181</v>
      </c>
      <c r="D314" t="b">
        <v>0</v>
      </c>
      <c r="E314" t="b">
        <v>0</v>
      </c>
      <c r="F314" t="b">
        <v>1</v>
      </c>
      <c r="G314" t="b">
        <v>0</v>
      </c>
    </row>
    <row r="315" spans="1:7" x14ac:dyDescent="0.2">
      <c r="A315">
        <v>313</v>
      </c>
      <c r="B315" t="s">
        <v>2397</v>
      </c>
      <c r="C315" t="s">
        <v>3182</v>
      </c>
      <c r="D315" t="b">
        <v>0</v>
      </c>
      <c r="E315" t="b">
        <v>0</v>
      </c>
      <c r="F315" t="b">
        <v>1</v>
      </c>
      <c r="G315" t="b">
        <v>0</v>
      </c>
    </row>
    <row r="316" spans="1:7" x14ac:dyDescent="0.2">
      <c r="A316">
        <v>314</v>
      </c>
      <c r="B316" t="s">
        <v>2398</v>
      </c>
      <c r="C316" t="s">
        <v>3183</v>
      </c>
      <c r="D316" t="b">
        <v>0</v>
      </c>
      <c r="E316" t="b">
        <v>0</v>
      </c>
      <c r="F316" t="b">
        <v>1</v>
      </c>
      <c r="G316" t="b">
        <v>0</v>
      </c>
    </row>
    <row r="317" spans="1:7" x14ac:dyDescent="0.2">
      <c r="A317">
        <v>315</v>
      </c>
      <c r="B317" t="s">
        <v>2399</v>
      </c>
      <c r="C317" t="s">
        <v>2400</v>
      </c>
      <c r="D317" t="b">
        <v>0</v>
      </c>
      <c r="E317" t="b">
        <v>0</v>
      </c>
      <c r="F317" t="b">
        <v>1</v>
      </c>
      <c r="G317" t="b">
        <v>0</v>
      </c>
    </row>
    <row r="318" spans="1:7" x14ac:dyDescent="0.2">
      <c r="A318">
        <v>316</v>
      </c>
      <c r="B318" t="s">
        <v>2401</v>
      </c>
      <c r="C318" t="s">
        <v>3184</v>
      </c>
      <c r="D318" t="b">
        <v>0</v>
      </c>
      <c r="E318" t="b">
        <v>0</v>
      </c>
      <c r="F318" t="b">
        <v>1</v>
      </c>
      <c r="G318" t="b">
        <v>0</v>
      </c>
    </row>
    <row r="319" spans="1:7" x14ac:dyDescent="0.2">
      <c r="A319">
        <v>317</v>
      </c>
      <c r="B319" t="s">
        <v>2402</v>
      </c>
      <c r="C319" t="s">
        <v>2403</v>
      </c>
      <c r="D319" t="b">
        <v>0</v>
      </c>
      <c r="E319" t="b">
        <v>0</v>
      </c>
      <c r="F319" t="b">
        <v>1</v>
      </c>
      <c r="G319" t="b">
        <v>0</v>
      </c>
    </row>
    <row r="320" spans="1:7" x14ac:dyDescent="0.2">
      <c r="A320">
        <v>318</v>
      </c>
      <c r="B320" t="s">
        <v>2404</v>
      </c>
      <c r="C320" t="s">
        <v>2405</v>
      </c>
      <c r="D320" t="b">
        <v>0</v>
      </c>
      <c r="E320" t="b">
        <v>0</v>
      </c>
      <c r="F320" t="b">
        <v>1</v>
      </c>
      <c r="G320" t="b">
        <v>0</v>
      </c>
    </row>
    <row r="321" spans="1:7" x14ac:dyDescent="0.2">
      <c r="A321">
        <v>319</v>
      </c>
      <c r="B321" t="s">
        <v>2406</v>
      </c>
      <c r="C321" t="s">
        <v>2407</v>
      </c>
      <c r="D321" t="b">
        <v>0</v>
      </c>
      <c r="E321" t="b">
        <v>0</v>
      </c>
      <c r="F321" t="b">
        <v>1</v>
      </c>
      <c r="G321" t="b">
        <v>0</v>
      </c>
    </row>
    <row r="322" spans="1:7" x14ac:dyDescent="0.2">
      <c r="A322">
        <v>320</v>
      </c>
      <c r="B322" t="s">
        <v>1708</v>
      </c>
      <c r="C322" t="s">
        <v>3185</v>
      </c>
      <c r="D322" t="b">
        <v>0</v>
      </c>
      <c r="E322" t="b">
        <v>0</v>
      </c>
      <c r="F322" t="b">
        <v>1</v>
      </c>
      <c r="G322" t="b">
        <v>0</v>
      </c>
    </row>
    <row r="323" spans="1:7" x14ac:dyDescent="0.2">
      <c r="A323">
        <v>321</v>
      </c>
      <c r="B323" t="s">
        <v>2408</v>
      </c>
      <c r="C323" t="s">
        <v>3186</v>
      </c>
      <c r="D323" t="b">
        <v>0</v>
      </c>
      <c r="E323" t="b">
        <v>0</v>
      </c>
      <c r="F323" t="b">
        <v>1</v>
      </c>
      <c r="G323" t="b">
        <v>0</v>
      </c>
    </row>
    <row r="324" spans="1:7" x14ac:dyDescent="0.2">
      <c r="A324">
        <v>322</v>
      </c>
      <c r="B324" t="s">
        <v>2409</v>
      </c>
      <c r="C324" s="1" t="s">
        <v>2410</v>
      </c>
      <c r="D324" t="b">
        <v>0</v>
      </c>
      <c r="E324" t="b">
        <v>0</v>
      </c>
      <c r="F324" t="b">
        <v>1</v>
      </c>
      <c r="G324" t="b">
        <v>0</v>
      </c>
    </row>
    <row r="325" spans="1:7" x14ac:dyDescent="0.2">
      <c r="A325">
        <v>323</v>
      </c>
      <c r="B325" t="s">
        <v>1709</v>
      </c>
      <c r="C325" t="s">
        <v>3187</v>
      </c>
      <c r="D325" t="b">
        <v>0</v>
      </c>
      <c r="E325" t="b">
        <v>0</v>
      </c>
      <c r="F325" t="b">
        <v>1</v>
      </c>
      <c r="G325" t="b">
        <v>0</v>
      </c>
    </row>
    <row r="326" spans="1:7" x14ac:dyDescent="0.2">
      <c r="A326">
        <v>324</v>
      </c>
      <c r="B326" t="s">
        <v>2411</v>
      </c>
      <c r="C326" t="s">
        <v>3188</v>
      </c>
      <c r="D326" t="b">
        <v>0</v>
      </c>
      <c r="E326" t="b">
        <v>0</v>
      </c>
      <c r="F326" t="b">
        <v>1</v>
      </c>
      <c r="G326" t="b">
        <v>0</v>
      </c>
    </row>
    <row r="327" spans="1:7" x14ac:dyDescent="0.2">
      <c r="A327">
        <v>325</v>
      </c>
      <c r="B327" t="s">
        <v>2412</v>
      </c>
      <c r="C327" t="s">
        <v>2413</v>
      </c>
      <c r="D327" t="b">
        <v>0</v>
      </c>
      <c r="E327" t="b">
        <v>0</v>
      </c>
      <c r="F327" t="b">
        <v>1</v>
      </c>
      <c r="G327" t="b">
        <v>0</v>
      </c>
    </row>
    <row r="328" spans="1:7" x14ac:dyDescent="0.2">
      <c r="A328">
        <v>326</v>
      </c>
      <c r="B328" t="s">
        <v>2414</v>
      </c>
      <c r="C328" t="s">
        <v>2415</v>
      </c>
      <c r="D328" t="b">
        <v>0</v>
      </c>
      <c r="E328" t="b">
        <v>0</v>
      </c>
      <c r="F328" t="b">
        <v>1</v>
      </c>
      <c r="G328" t="b">
        <v>0</v>
      </c>
    </row>
    <row r="329" spans="1:7" x14ac:dyDescent="0.2">
      <c r="A329">
        <v>327</v>
      </c>
      <c r="B329" t="s">
        <v>1710</v>
      </c>
      <c r="C329" t="s">
        <v>3189</v>
      </c>
      <c r="D329" t="b">
        <v>0</v>
      </c>
      <c r="E329" t="b">
        <v>0</v>
      </c>
      <c r="F329" t="b">
        <v>1</v>
      </c>
      <c r="G329" t="b">
        <v>0</v>
      </c>
    </row>
    <row r="330" spans="1:7" x14ac:dyDescent="0.2">
      <c r="A330">
        <v>328</v>
      </c>
      <c r="B330" t="s">
        <v>2416</v>
      </c>
      <c r="C330" t="s">
        <v>2417</v>
      </c>
      <c r="D330" t="b">
        <v>0</v>
      </c>
      <c r="E330" t="b">
        <v>0</v>
      </c>
      <c r="F330" t="b">
        <v>1</v>
      </c>
      <c r="G330" t="b">
        <v>0</v>
      </c>
    </row>
    <row r="331" spans="1:7" x14ac:dyDescent="0.2">
      <c r="A331">
        <v>329</v>
      </c>
      <c r="B331" t="s">
        <v>2418</v>
      </c>
      <c r="C331" t="s">
        <v>2419</v>
      </c>
      <c r="D331" t="b">
        <v>0</v>
      </c>
      <c r="E331" t="b">
        <v>0</v>
      </c>
      <c r="F331" t="b">
        <v>1</v>
      </c>
      <c r="G331" t="b">
        <v>0</v>
      </c>
    </row>
    <row r="332" spans="1:7" x14ac:dyDescent="0.2">
      <c r="A332">
        <v>330</v>
      </c>
      <c r="B332" t="s">
        <v>2420</v>
      </c>
      <c r="C332" t="s">
        <v>2421</v>
      </c>
      <c r="D332" t="b">
        <v>0</v>
      </c>
      <c r="E332" t="b">
        <v>0</v>
      </c>
      <c r="F332" t="b">
        <v>1</v>
      </c>
      <c r="G332" t="b">
        <v>0</v>
      </c>
    </row>
    <row r="333" spans="1:7" x14ac:dyDescent="0.2">
      <c r="A333">
        <v>331</v>
      </c>
      <c r="B333" t="s">
        <v>2422</v>
      </c>
      <c r="C333" t="s">
        <v>2423</v>
      </c>
      <c r="D333" t="b">
        <v>0</v>
      </c>
      <c r="E333" t="b">
        <v>0</v>
      </c>
      <c r="F333" t="b">
        <v>1</v>
      </c>
      <c r="G333" t="b">
        <v>0</v>
      </c>
    </row>
    <row r="334" spans="1:7" x14ac:dyDescent="0.2">
      <c r="A334">
        <v>332</v>
      </c>
      <c r="B334" t="s">
        <v>2424</v>
      </c>
      <c r="C334" t="s">
        <v>2425</v>
      </c>
      <c r="D334" t="b">
        <v>0</v>
      </c>
      <c r="E334" t="b">
        <v>0</v>
      </c>
      <c r="F334" t="b">
        <v>1</v>
      </c>
      <c r="G334" t="b">
        <v>0</v>
      </c>
    </row>
    <row r="335" spans="1:7" x14ac:dyDescent="0.2">
      <c r="A335">
        <v>333</v>
      </c>
      <c r="B335" t="s">
        <v>2426</v>
      </c>
      <c r="C335" t="s">
        <v>3190</v>
      </c>
      <c r="D335" t="b">
        <v>0</v>
      </c>
      <c r="E335" t="b">
        <v>0</v>
      </c>
      <c r="F335" t="b">
        <v>1</v>
      </c>
      <c r="G335" t="b">
        <v>0</v>
      </c>
    </row>
    <row r="336" spans="1:7" x14ac:dyDescent="0.2">
      <c r="A336">
        <v>334</v>
      </c>
      <c r="B336" t="s">
        <v>2427</v>
      </c>
      <c r="C336" t="s">
        <v>3191</v>
      </c>
      <c r="D336" t="b">
        <v>0</v>
      </c>
      <c r="E336" t="b">
        <v>0</v>
      </c>
      <c r="F336" t="b">
        <v>1</v>
      </c>
      <c r="G336" t="b">
        <v>0</v>
      </c>
    </row>
    <row r="337" spans="1:7" x14ac:dyDescent="0.2">
      <c r="A337">
        <v>335</v>
      </c>
      <c r="B337" t="s">
        <v>2428</v>
      </c>
      <c r="C337" t="s">
        <v>2429</v>
      </c>
      <c r="D337" t="b">
        <v>0</v>
      </c>
      <c r="E337" t="b">
        <v>0</v>
      </c>
      <c r="F337" t="b">
        <v>1</v>
      </c>
      <c r="G337" t="b">
        <v>0</v>
      </c>
    </row>
    <row r="338" spans="1:7" x14ac:dyDescent="0.2">
      <c r="A338">
        <v>336</v>
      </c>
      <c r="B338" t="s">
        <v>2430</v>
      </c>
      <c r="C338" t="s">
        <v>2431</v>
      </c>
      <c r="D338" t="b">
        <v>0</v>
      </c>
      <c r="E338" t="b">
        <v>0</v>
      </c>
      <c r="F338" t="b">
        <v>1</v>
      </c>
      <c r="G338" t="b">
        <v>0</v>
      </c>
    </row>
    <row r="339" spans="1:7" x14ac:dyDescent="0.2">
      <c r="A339">
        <v>337</v>
      </c>
      <c r="B339" t="s">
        <v>2432</v>
      </c>
      <c r="C339" t="s">
        <v>2433</v>
      </c>
      <c r="D339" t="b">
        <v>0</v>
      </c>
      <c r="E339" t="b">
        <v>0</v>
      </c>
      <c r="F339" t="b">
        <v>1</v>
      </c>
      <c r="G339" t="b">
        <v>0</v>
      </c>
    </row>
    <row r="340" spans="1:7" x14ac:dyDescent="0.2">
      <c r="A340">
        <v>338</v>
      </c>
      <c r="B340" t="s">
        <v>2434</v>
      </c>
      <c r="C340" t="s">
        <v>3192</v>
      </c>
      <c r="D340" t="b">
        <v>0</v>
      </c>
      <c r="E340" t="b">
        <v>0</v>
      </c>
      <c r="F340" t="b">
        <v>1</v>
      </c>
      <c r="G340" t="b">
        <v>0</v>
      </c>
    </row>
    <row r="341" spans="1:7" x14ac:dyDescent="0.2">
      <c r="A341">
        <v>339</v>
      </c>
      <c r="B341" t="s">
        <v>2435</v>
      </c>
      <c r="C341" t="s">
        <v>3193</v>
      </c>
      <c r="D341" t="b">
        <v>0</v>
      </c>
      <c r="E341" t="b">
        <v>0</v>
      </c>
      <c r="F341" t="b">
        <v>1</v>
      </c>
      <c r="G341" t="b">
        <v>0</v>
      </c>
    </row>
    <row r="342" spans="1:7" x14ac:dyDescent="0.2">
      <c r="A342">
        <v>340</v>
      </c>
      <c r="B342" t="s">
        <v>2436</v>
      </c>
      <c r="C342" t="s">
        <v>2437</v>
      </c>
      <c r="D342" t="b">
        <v>0</v>
      </c>
      <c r="E342" t="b">
        <v>0</v>
      </c>
      <c r="F342" t="b">
        <v>1</v>
      </c>
      <c r="G342" t="b">
        <v>0</v>
      </c>
    </row>
    <row r="343" spans="1:7" x14ac:dyDescent="0.2">
      <c r="A343">
        <v>341</v>
      </c>
      <c r="B343" t="s">
        <v>2438</v>
      </c>
      <c r="C343" t="s">
        <v>2439</v>
      </c>
      <c r="D343" t="b">
        <v>0</v>
      </c>
      <c r="E343" t="b">
        <v>0</v>
      </c>
      <c r="F343" t="b">
        <v>1</v>
      </c>
      <c r="G343" t="b">
        <v>0</v>
      </c>
    </row>
    <row r="344" spans="1:7" x14ac:dyDescent="0.2">
      <c r="A344">
        <v>342</v>
      </c>
      <c r="B344" t="s">
        <v>2440</v>
      </c>
      <c r="C344" t="s">
        <v>2441</v>
      </c>
      <c r="D344" t="b">
        <v>0</v>
      </c>
      <c r="E344" t="b">
        <v>0</v>
      </c>
      <c r="F344" t="b">
        <v>1</v>
      </c>
      <c r="G344" t="b">
        <v>0</v>
      </c>
    </row>
    <row r="345" spans="1:7" x14ac:dyDescent="0.2">
      <c r="A345">
        <v>343</v>
      </c>
      <c r="B345" t="s">
        <v>2442</v>
      </c>
      <c r="C345" t="s">
        <v>3194</v>
      </c>
      <c r="D345" t="b">
        <v>0</v>
      </c>
      <c r="E345" t="b">
        <v>0</v>
      </c>
      <c r="F345" t="b">
        <v>1</v>
      </c>
      <c r="G345" t="b">
        <v>0</v>
      </c>
    </row>
    <row r="346" spans="1:7" x14ac:dyDescent="0.2">
      <c r="A346">
        <v>344</v>
      </c>
      <c r="B346" t="s">
        <v>1713</v>
      </c>
      <c r="C346" t="s">
        <v>3195</v>
      </c>
      <c r="D346" t="b">
        <v>0</v>
      </c>
      <c r="E346" t="b">
        <v>0</v>
      </c>
      <c r="F346" t="b">
        <v>1</v>
      </c>
      <c r="G346" t="b">
        <v>0</v>
      </c>
    </row>
    <row r="347" spans="1:7" x14ac:dyDescent="0.2">
      <c r="A347">
        <v>345</v>
      </c>
      <c r="B347" t="s">
        <v>1714</v>
      </c>
      <c r="C347" t="s">
        <v>3196</v>
      </c>
      <c r="D347" t="b">
        <v>0</v>
      </c>
      <c r="E347" t="b">
        <v>0</v>
      </c>
      <c r="F347" t="b">
        <v>1</v>
      </c>
      <c r="G347" t="b">
        <v>0</v>
      </c>
    </row>
    <row r="348" spans="1:7" x14ac:dyDescent="0.2">
      <c r="A348">
        <v>346</v>
      </c>
      <c r="B348" t="s">
        <v>2443</v>
      </c>
      <c r="C348" t="s">
        <v>3197</v>
      </c>
      <c r="D348" t="b">
        <v>0</v>
      </c>
      <c r="E348" t="b">
        <v>0</v>
      </c>
      <c r="F348" t="b">
        <v>1</v>
      </c>
      <c r="G348" t="b">
        <v>0</v>
      </c>
    </row>
    <row r="349" spans="1:7" x14ac:dyDescent="0.2">
      <c r="A349">
        <v>347</v>
      </c>
      <c r="B349" t="s">
        <v>2444</v>
      </c>
      <c r="C349" t="s">
        <v>2445</v>
      </c>
      <c r="D349" t="b">
        <v>0</v>
      </c>
      <c r="E349" t="b">
        <v>0</v>
      </c>
      <c r="F349" t="b">
        <v>1</v>
      </c>
      <c r="G349" t="b">
        <v>0</v>
      </c>
    </row>
    <row r="350" spans="1:7" x14ac:dyDescent="0.2">
      <c r="A350">
        <v>348</v>
      </c>
      <c r="B350" t="s">
        <v>2446</v>
      </c>
      <c r="C350" t="s">
        <v>160</v>
      </c>
      <c r="D350" t="b">
        <v>1</v>
      </c>
      <c r="E350" t="b">
        <v>0</v>
      </c>
      <c r="F350" t="b">
        <v>1</v>
      </c>
      <c r="G350" t="b">
        <v>0</v>
      </c>
    </row>
    <row r="351" spans="1:7" x14ac:dyDescent="0.2">
      <c r="A351">
        <v>349</v>
      </c>
      <c r="B351" t="s">
        <v>2447</v>
      </c>
      <c r="C351" t="s">
        <v>2448</v>
      </c>
      <c r="D351" t="b">
        <v>0</v>
      </c>
      <c r="E351" t="b">
        <v>0</v>
      </c>
      <c r="F351" t="b">
        <v>1</v>
      </c>
      <c r="G351" t="b">
        <v>0</v>
      </c>
    </row>
    <row r="352" spans="1:7" x14ac:dyDescent="0.2">
      <c r="A352">
        <v>350</v>
      </c>
      <c r="B352" t="s">
        <v>2449</v>
      </c>
      <c r="C352" t="s">
        <v>3198</v>
      </c>
      <c r="D352" t="b">
        <v>0</v>
      </c>
      <c r="E352" t="b">
        <v>0</v>
      </c>
      <c r="F352" t="b">
        <v>1</v>
      </c>
      <c r="G352" t="b">
        <v>0</v>
      </c>
    </row>
    <row r="353" spans="1:7" x14ac:dyDescent="0.2">
      <c r="A353">
        <v>351</v>
      </c>
      <c r="B353" t="s">
        <v>2450</v>
      </c>
      <c r="C353" t="s">
        <v>3199</v>
      </c>
      <c r="D353" t="b">
        <v>0</v>
      </c>
      <c r="E353" t="b">
        <v>0</v>
      </c>
      <c r="F353" t="b">
        <v>1</v>
      </c>
      <c r="G353" t="b">
        <v>0</v>
      </c>
    </row>
    <row r="354" spans="1:7" x14ac:dyDescent="0.2">
      <c r="A354">
        <v>352</v>
      </c>
      <c r="B354" t="s">
        <v>1715</v>
      </c>
      <c r="C354" t="s">
        <v>3200</v>
      </c>
      <c r="D354" t="b">
        <v>0</v>
      </c>
      <c r="E354" t="b">
        <v>0</v>
      </c>
      <c r="F354" t="b">
        <v>1</v>
      </c>
      <c r="G354" t="b">
        <v>0</v>
      </c>
    </row>
    <row r="355" spans="1:7" x14ac:dyDescent="0.2">
      <c r="A355">
        <v>353</v>
      </c>
      <c r="B355" t="s">
        <v>1716</v>
      </c>
      <c r="C355" t="s">
        <v>3201</v>
      </c>
      <c r="D355" t="b">
        <v>0</v>
      </c>
      <c r="E355" t="b">
        <v>0</v>
      </c>
      <c r="F355" t="b">
        <v>1</v>
      </c>
      <c r="G355" t="b">
        <v>0</v>
      </c>
    </row>
    <row r="356" spans="1:7" x14ac:dyDescent="0.2">
      <c r="A356">
        <v>354</v>
      </c>
      <c r="B356" t="s">
        <v>2451</v>
      </c>
      <c r="C356" t="s">
        <v>2452</v>
      </c>
      <c r="D356" t="b">
        <v>0</v>
      </c>
      <c r="E356" t="b">
        <v>0</v>
      </c>
      <c r="F356" t="b">
        <v>1</v>
      </c>
      <c r="G356" t="b">
        <v>0</v>
      </c>
    </row>
    <row r="357" spans="1:7" x14ac:dyDescent="0.2">
      <c r="A357">
        <v>355</v>
      </c>
      <c r="B357" t="s">
        <v>1717</v>
      </c>
      <c r="C357" t="s">
        <v>3202</v>
      </c>
      <c r="D357" t="b">
        <v>0</v>
      </c>
      <c r="E357" t="b">
        <v>0</v>
      </c>
      <c r="F357" t="b">
        <v>1</v>
      </c>
      <c r="G357" t="b">
        <v>0</v>
      </c>
    </row>
    <row r="358" spans="1:7" x14ac:dyDescent="0.2">
      <c r="A358">
        <v>356</v>
      </c>
      <c r="B358" t="s">
        <v>2453</v>
      </c>
      <c r="C358" t="s">
        <v>2454</v>
      </c>
      <c r="D358" t="b">
        <v>0</v>
      </c>
      <c r="E358" t="b">
        <v>0</v>
      </c>
      <c r="F358" t="b">
        <v>1</v>
      </c>
      <c r="G358" t="b">
        <v>0</v>
      </c>
    </row>
    <row r="359" spans="1:7" x14ac:dyDescent="0.2">
      <c r="A359">
        <v>357</v>
      </c>
      <c r="B359" t="s">
        <v>1718</v>
      </c>
      <c r="C359" t="s">
        <v>3203</v>
      </c>
      <c r="D359" t="b">
        <v>0</v>
      </c>
      <c r="E359" t="b">
        <v>0</v>
      </c>
      <c r="F359" t="b">
        <v>1</v>
      </c>
      <c r="G359" t="b">
        <v>0</v>
      </c>
    </row>
    <row r="360" spans="1:7" x14ac:dyDescent="0.2">
      <c r="A360">
        <v>358</v>
      </c>
      <c r="B360" t="s">
        <v>2455</v>
      </c>
      <c r="C360" t="s">
        <v>2456</v>
      </c>
      <c r="D360" t="b">
        <v>0</v>
      </c>
      <c r="E360" t="b">
        <v>0</v>
      </c>
      <c r="F360" t="b">
        <v>1</v>
      </c>
      <c r="G360" t="b">
        <v>0</v>
      </c>
    </row>
    <row r="361" spans="1:7" x14ac:dyDescent="0.2">
      <c r="A361">
        <v>359</v>
      </c>
      <c r="B361" t="s">
        <v>2457</v>
      </c>
      <c r="C361" t="s">
        <v>3204</v>
      </c>
      <c r="D361" t="b">
        <v>0</v>
      </c>
      <c r="E361" t="b">
        <v>0</v>
      </c>
      <c r="F361" t="b">
        <v>1</v>
      </c>
      <c r="G361" t="b">
        <v>0</v>
      </c>
    </row>
    <row r="362" spans="1:7" x14ac:dyDescent="0.2">
      <c r="A362">
        <v>360</v>
      </c>
      <c r="B362" t="s">
        <v>2458</v>
      </c>
      <c r="C362" t="s">
        <v>3205</v>
      </c>
      <c r="D362" t="b">
        <v>0</v>
      </c>
      <c r="E362" t="b">
        <v>0</v>
      </c>
      <c r="F362" t="b">
        <v>1</v>
      </c>
      <c r="G362" t="b">
        <v>0</v>
      </c>
    </row>
    <row r="363" spans="1:7" x14ac:dyDescent="0.2">
      <c r="A363">
        <v>361</v>
      </c>
      <c r="B363" t="s">
        <v>1719</v>
      </c>
      <c r="C363" t="s">
        <v>3206</v>
      </c>
      <c r="D363" t="b">
        <v>0</v>
      </c>
      <c r="E363" t="b">
        <v>0</v>
      </c>
      <c r="F363" t="b">
        <v>1</v>
      </c>
      <c r="G363" t="b">
        <v>0</v>
      </c>
    </row>
    <row r="364" spans="1:7" x14ac:dyDescent="0.2">
      <c r="A364">
        <v>362</v>
      </c>
      <c r="B364" t="s">
        <v>2459</v>
      </c>
      <c r="C364" t="s">
        <v>2460</v>
      </c>
      <c r="D364" t="b">
        <v>0</v>
      </c>
      <c r="E364" t="b">
        <v>0</v>
      </c>
      <c r="F364" t="b">
        <v>1</v>
      </c>
      <c r="G364" t="b">
        <v>0</v>
      </c>
    </row>
    <row r="365" spans="1:7" x14ac:dyDescent="0.2">
      <c r="A365">
        <v>363</v>
      </c>
      <c r="B365" t="s">
        <v>2461</v>
      </c>
      <c r="C365" t="s">
        <v>2462</v>
      </c>
      <c r="D365" t="b">
        <v>0</v>
      </c>
      <c r="E365" t="b">
        <v>0</v>
      </c>
      <c r="F365" t="b">
        <v>1</v>
      </c>
      <c r="G365" t="b">
        <v>0</v>
      </c>
    </row>
    <row r="366" spans="1:7" x14ac:dyDescent="0.2">
      <c r="A366">
        <v>364</v>
      </c>
      <c r="B366" t="s">
        <v>2463</v>
      </c>
      <c r="C366" t="s">
        <v>3207</v>
      </c>
      <c r="D366" t="b">
        <v>0</v>
      </c>
      <c r="E366" t="b">
        <v>0</v>
      </c>
      <c r="F366" t="b">
        <v>1</v>
      </c>
      <c r="G366" t="b">
        <v>0</v>
      </c>
    </row>
    <row r="367" spans="1:7" x14ac:dyDescent="0.2">
      <c r="A367">
        <v>365</v>
      </c>
      <c r="B367" t="s">
        <v>1721</v>
      </c>
      <c r="C367" t="s">
        <v>3208</v>
      </c>
      <c r="D367" t="b">
        <v>0</v>
      </c>
      <c r="E367" t="b">
        <v>0</v>
      </c>
      <c r="F367" t="b">
        <v>1</v>
      </c>
      <c r="G367" t="b">
        <v>0</v>
      </c>
    </row>
    <row r="368" spans="1:7" x14ac:dyDescent="0.2">
      <c r="A368">
        <v>366</v>
      </c>
      <c r="B368" t="s">
        <v>2464</v>
      </c>
      <c r="C368" t="s">
        <v>2465</v>
      </c>
      <c r="D368" t="b">
        <v>0</v>
      </c>
      <c r="E368" t="b">
        <v>0</v>
      </c>
      <c r="F368" t="b">
        <v>1</v>
      </c>
      <c r="G368" t="b">
        <v>0</v>
      </c>
    </row>
    <row r="369" spans="1:7" x14ac:dyDescent="0.2">
      <c r="A369">
        <v>367</v>
      </c>
      <c r="B369" t="s">
        <v>2466</v>
      </c>
      <c r="C369" t="s">
        <v>3209</v>
      </c>
      <c r="D369" t="b">
        <v>0</v>
      </c>
      <c r="E369" t="b">
        <v>0</v>
      </c>
      <c r="F369" t="b">
        <v>1</v>
      </c>
      <c r="G369" t="b">
        <v>0</v>
      </c>
    </row>
    <row r="370" spans="1:7" x14ac:dyDescent="0.2">
      <c r="A370">
        <v>368</v>
      </c>
      <c r="B370" t="s">
        <v>1722</v>
      </c>
      <c r="C370" t="s">
        <v>3210</v>
      </c>
      <c r="D370" t="b">
        <v>0</v>
      </c>
      <c r="E370" t="b">
        <v>0</v>
      </c>
      <c r="F370" t="b">
        <v>1</v>
      </c>
      <c r="G370" t="b">
        <v>0</v>
      </c>
    </row>
    <row r="371" spans="1:7" x14ac:dyDescent="0.2">
      <c r="A371">
        <v>369</v>
      </c>
      <c r="B371" t="s">
        <v>2467</v>
      </c>
      <c r="C371" t="s">
        <v>3211</v>
      </c>
      <c r="D371" t="b">
        <v>0</v>
      </c>
      <c r="E371" t="b">
        <v>0</v>
      </c>
      <c r="F371" t="b">
        <v>1</v>
      </c>
      <c r="G371" t="b">
        <v>0</v>
      </c>
    </row>
    <row r="372" spans="1:7" x14ac:dyDescent="0.2">
      <c r="A372">
        <v>370</v>
      </c>
      <c r="B372" t="s">
        <v>1724</v>
      </c>
      <c r="C372" t="s">
        <v>3212</v>
      </c>
      <c r="D372" t="b">
        <v>0</v>
      </c>
      <c r="E372" t="b">
        <v>0</v>
      </c>
      <c r="F372" t="b">
        <v>1</v>
      </c>
      <c r="G372" t="b">
        <v>0</v>
      </c>
    </row>
    <row r="373" spans="1:7" x14ac:dyDescent="0.2">
      <c r="A373">
        <v>371</v>
      </c>
      <c r="B373" t="s">
        <v>2468</v>
      </c>
      <c r="C373" t="s">
        <v>2469</v>
      </c>
      <c r="D373" t="b">
        <v>0</v>
      </c>
      <c r="E373" t="b">
        <v>0</v>
      </c>
      <c r="F373" t="b">
        <v>1</v>
      </c>
      <c r="G373" t="b">
        <v>0</v>
      </c>
    </row>
    <row r="374" spans="1:7" x14ac:dyDescent="0.2">
      <c r="A374">
        <v>372</v>
      </c>
      <c r="B374" t="s">
        <v>1726</v>
      </c>
      <c r="C374" t="s">
        <v>3213</v>
      </c>
      <c r="D374" t="b">
        <v>0</v>
      </c>
      <c r="E374" t="b">
        <v>0</v>
      </c>
      <c r="F374" t="b">
        <v>1</v>
      </c>
      <c r="G374" t="b">
        <v>0</v>
      </c>
    </row>
    <row r="375" spans="1:7" x14ac:dyDescent="0.2">
      <c r="A375">
        <v>373</v>
      </c>
      <c r="B375" t="s">
        <v>2470</v>
      </c>
      <c r="C375" t="s">
        <v>2471</v>
      </c>
      <c r="D375" t="b">
        <v>0</v>
      </c>
      <c r="E375" t="b">
        <v>0</v>
      </c>
      <c r="F375" t="b">
        <v>1</v>
      </c>
      <c r="G375" t="b">
        <v>0</v>
      </c>
    </row>
    <row r="376" spans="1:7" x14ac:dyDescent="0.2">
      <c r="A376">
        <v>374</v>
      </c>
      <c r="B376" t="s">
        <v>2472</v>
      </c>
      <c r="C376" t="s">
        <v>2473</v>
      </c>
      <c r="D376" t="b">
        <v>0</v>
      </c>
      <c r="E376" t="b">
        <v>0</v>
      </c>
      <c r="F376" t="b">
        <v>1</v>
      </c>
      <c r="G376" t="b">
        <v>0</v>
      </c>
    </row>
    <row r="377" spans="1:7" x14ac:dyDescent="0.2">
      <c r="A377">
        <v>375</v>
      </c>
      <c r="B377" t="s">
        <v>2474</v>
      </c>
      <c r="C377" t="s">
        <v>2475</v>
      </c>
      <c r="D377" t="b">
        <v>0</v>
      </c>
      <c r="E377" t="b">
        <v>0</v>
      </c>
      <c r="F377" t="b">
        <v>1</v>
      </c>
      <c r="G377" t="b">
        <v>0</v>
      </c>
    </row>
    <row r="378" spans="1:7" x14ac:dyDescent="0.2">
      <c r="A378">
        <v>376</v>
      </c>
      <c r="B378" t="s">
        <v>2476</v>
      </c>
      <c r="C378" t="s">
        <v>2477</v>
      </c>
      <c r="D378" t="b">
        <v>0</v>
      </c>
      <c r="E378" t="b">
        <v>0</v>
      </c>
      <c r="F378" t="b">
        <v>1</v>
      </c>
      <c r="G378" t="b">
        <v>0</v>
      </c>
    </row>
    <row r="379" spans="1:7" x14ac:dyDescent="0.2">
      <c r="A379">
        <v>377</v>
      </c>
      <c r="B379" t="s">
        <v>2478</v>
      </c>
      <c r="C379" t="s">
        <v>3214</v>
      </c>
      <c r="D379" t="b">
        <v>0</v>
      </c>
      <c r="E379" t="b">
        <v>0</v>
      </c>
      <c r="F379" t="b">
        <v>1</v>
      </c>
      <c r="G379" t="b">
        <v>0</v>
      </c>
    </row>
    <row r="380" spans="1:7" x14ac:dyDescent="0.2">
      <c r="A380">
        <v>378</v>
      </c>
      <c r="B380" t="s">
        <v>2479</v>
      </c>
      <c r="C380" t="s">
        <v>2480</v>
      </c>
      <c r="D380" t="b">
        <v>0</v>
      </c>
      <c r="E380" t="b">
        <v>0</v>
      </c>
      <c r="F380" t="b">
        <v>1</v>
      </c>
      <c r="G380" t="b">
        <v>0</v>
      </c>
    </row>
    <row r="381" spans="1:7" x14ac:dyDescent="0.2">
      <c r="A381">
        <v>379</v>
      </c>
      <c r="B381" t="s">
        <v>2481</v>
      </c>
      <c r="C381" t="s">
        <v>2482</v>
      </c>
      <c r="D381" t="b">
        <v>0</v>
      </c>
      <c r="E381" t="b">
        <v>0</v>
      </c>
      <c r="F381" t="b">
        <v>1</v>
      </c>
      <c r="G381" t="b">
        <v>0</v>
      </c>
    </row>
    <row r="382" spans="1:7" x14ac:dyDescent="0.2">
      <c r="A382">
        <v>380</v>
      </c>
      <c r="B382" t="s">
        <v>2483</v>
      </c>
      <c r="C382" t="s">
        <v>2484</v>
      </c>
      <c r="D382" t="b">
        <v>0</v>
      </c>
      <c r="E382" t="b">
        <v>0</v>
      </c>
      <c r="F382" t="b">
        <v>1</v>
      </c>
      <c r="G382" t="b">
        <v>0</v>
      </c>
    </row>
    <row r="383" spans="1:7" x14ac:dyDescent="0.2">
      <c r="A383">
        <v>381</v>
      </c>
      <c r="B383" t="s">
        <v>2485</v>
      </c>
      <c r="C383" t="s">
        <v>2486</v>
      </c>
      <c r="D383" t="b">
        <v>0</v>
      </c>
      <c r="E383" t="b">
        <v>0</v>
      </c>
      <c r="F383" t="b">
        <v>1</v>
      </c>
      <c r="G383" t="b">
        <v>0</v>
      </c>
    </row>
    <row r="384" spans="1:7" x14ac:dyDescent="0.2">
      <c r="A384">
        <v>382</v>
      </c>
      <c r="B384" t="s">
        <v>2487</v>
      </c>
      <c r="C384" t="s">
        <v>2488</v>
      </c>
      <c r="D384" t="b">
        <v>0</v>
      </c>
      <c r="E384" t="b">
        <v>0</v>
      </c>
      <c r="F384" t="b">
        <v>1</v>
      </c>
      <c r="G384" t="b">
        <v>0</v>
      </c>
    </row>
    <row r="385" spans="1:7" x14ac:dyDescent="0.2">
      <c r="A385">
        <v>383</v>
      </c>
      <c r="B385" t="s">
        <v>2489</v>
      </c>
      <c r="C385" s="1" t="s">
        <v>2490</v>
      </c>
      <c r="D385" t="b">
        <v>0</v>
      </c>
      <c r="E385" t="b">
        <v>0</v>
      </c>
      <c r="F385" t="b">
        <v>1</v>
      </c>
      <c r="G385" t="b">
        <v>0</v>
      </c>
    </row>
    <row r="386" spans="1:7" x14ac:dyDescent="0.2">
      <c r="A386">
        <v>384</v>
      </c>
      <c r="B386" t="s">
        <v>2491</v>
      </c>
      <c r="C386" t="s">
        <v>2492</v>
      </c>
      <c r="D386" t="b">
        <v>0</v>
      </c>
      <c r="E386" t="b">
        <v>0</v>
      </c>
      <c r="F386" t="b">
        <v>1</v>
      </c>
      <c r="G386" t="b">
        <v>0</v>
      </c>
    </row>
    <row r="387" spans="1:7" x14ac:dyDescent="0.2">
      <c r="A387">
        <v>385</v>
      </c>
      <c r="B387" t="s">
        <v>1727</v>
      </c>
      <c r="C387" t="s">
        <v>3215</v>
      </c>
      <c r="D387" t="b">
        <v>0</v>
      </c>
      <c r="E387" t="b">
        <v>0</v>
      </c>
      <c r="F387" t="b">
        <v>1</v>
      </c>
      <c r="G387" t="b">
        <v>0</v>
      </c>
    </row>
    <row r="388" spans="1:7" x14ac:dyDescent="0.2">
      <c r="A388">
        <v>386</v>
      </c>
      <c r="B388" t="s">
        <v>2493</v>
      </c>
      <c r="C388" t="s">
        <v>2494</v>
      </c>
      <c r="D388" t="b">
        <v>0</v>
      </c>
      <c r="E388" t="b">
        <v>0</v>
      </c>
      <c r="F388" t="b">
        <v>1</v>
      </c>
      <c r="G388" t="b">
        <v>0</v>
      </c>
    </row>
    <row r="389" spans="1:7" x14ac:dyDescent="0.2">
      <c r="A389">
        <v>387</v>
      </c>
      <c r="B389" t="s">
        <v>2495</v>
      </c>
      <c r="C389" t="s">
        <v>2496</v>
      </c>
      <c r="D389" t="b">
        <v>0</v>
      </c>
      <c r="E389" t="b">
        <v>0</v>
      </c>
      <c r="F389" t="b">
        <v>1</v>
      </c>
      <c r="G389" t="b">
        <v>0</v>
      </c>
    </row>
    <row r="390" spans="1:7" x14ac:dyDescent="0.2">
      <c r="A390">
        <v>388</v>
      </c>
      <c r="B390" t="s">
        <v>1729</v>
      </c>
      <c r="C390" t="s">
        <v>3216</v>
      </c>
      <c r="D390" t="b">
        <v>0</v>
      </c>
      <c r="E390" t="b">
        <v>0</v>
      </c>
      <c r="F390" t="b">
        <v>1</v>
      </c>
      <c r="G390" t="b">
        <v>0</v>
      </c>
    </row>
    <row r="391" spans="1:7" x14ac:dyDescent="0.2">
      <c r="A391">
        <v>389</v>
      </c>
      <c r="B391" t="s">
        <v>2497</v>
      </c>
      <c r="C391" t="s">
        <v>2498</v>
      </c>
      <c r="D391" t="b">
        <v>0</v>
      </c>
      <c r="E391" t="b">
        <v>0</v>
      </c>
      <c r="F391" t="b">
        <v>1</v>
      </c>
      <c r="G391" t="b">
        <v>0</v>
      </c>
    </row>
    <row r="392" spans="1:7" x14ac:dyDescent="0.2">
      <c r="A392">
        <v>390</v>
      </c>
      <c r="B392" t="s">
        <v>2499</v>
      </c>
      <c r="C392" t="s">
        <v>2500</v>
      </c>
      <c r="D392" t="b">
        <v>0</v>
      </c>
      <c r="E392" t="b">
        <v>0</v>
      </c>
      <c r="F392" t="b">
        <v>1</v>
      </c>
      <c r="G392" t="b">
        <v>0</v>
      </c>
    </row>
    <row r="393" spans="1:7" x14ac:dyDescent="0.2">
      <c r="A393">
        <v>391</v>
      </c>
      <c r="B393" t="s">
        <v>2501</v>
      </c>
      <c r="C393" t="s">
        <v>2337</v>
      </c>
      <c r="D393" t="b">
        <v>0</v>
      </c>
      <c r="E393" t="b">
        <v>0</v>
      </c>
      <c r="F393" t="b">
        <v>1</v>
      </c>
      <c r="G393" t="b">
        <v>0</v>
      </c>
    </row>
    <row r="394" spans="1:7" x14ac:dyDescent="0.2">
      <c r="A394">
        <v>392</v>
      </c>
      <c r="B394" t="s">
        <v>1730</v>
      </c>
      <c r="C394" t="s">
        <v>3217</v>
      </c>
      <c r="D394" t="b">
        <v>0</v>
      </c>
      <c r="E394" t="b">
        <v>0</v>
      </c>
      <c r="F394" t="b">
        <v>1</v>
      </c>
      <c r="G394" t="b">
        <v>0</v>
      </c>
    </row>
    <row r="395" spans="1:7" x14ac:dyDescent="0.2">
      <c r="A395">
        <v>393</v>
      </c>
      <c r="B395" t="s">
        <v>1731</v>
      </c>
      <c r="C395" t="s">
        <v>3218</v>
      </c>
      <c r="D395" t="b">
        <v>0</v>
      </c>
      <c r="E395" t="b">
        <v>0</v>
      </c>
      <c r="F395" t="b">
        <v>1</v>
      </c>
      <c r="G395" t="b">
        <v>0</v>
      </c>
    </row>
    <row r="396" spans="1:7" x14ac:dyDescent="0.2">
      <c r="A396">
        <v>394</v>
      </c>
      <c r="B396" t="s">
        <v>2502</v>
      </c>
      <c r="C396" t="s">
        <v>2503</v>
      </c>
      <c r="D396" t="b">
        <v>0</v>
      </c>
      <c r="E396" t="b">
        <v>0</v>
      </c>
      <c r="F396" t="b">
        <v>1</v>
      </c>
      <c r="G396" t="b">
        <v>0</v>
      </c>
    </row>
    <row r="397" spans="1:7" x14ac:dyDescent="0.2">
      <c r="A397">
        <v>395</v>
      </c>
      <c r="B397" t="s">
        <v>2504</v>
      </c>
      <c r="C397" t="s">
        <v>2505</v>
      </c>
      <c r="D397" t="b">
        <v>0</v>
      </c>
      <c r="E397" t="b">
        <v>0</v>
      </c>
      <c r="F397" t="b">
        <v>1</v>
      </c>
      <c r="G397" t="b">
        <v>0</v>
      </c>
    </row>
    <row r="398" spans="1:7" x14ac:dyDescent="0.2">
      <c r="A398">
        <v>396</v>
      </c>
      <c r="B398" t="s">
        <v>2506</v>
      </c>
      <c r="C398" t="s">
        <v>2507</v>
      </c>
      <c r="D398" t="b">
        <v>0</v>
      </c>
      <c r="E398" t="b">
        <v>0</v>
      </c>
      <c r="F398" t="b">
        <v>1</v>
      </c>
      <c r="G398" t="b">
        <v>0</v>
      </c>
    </row>
    <row r="399" spans="1:7" x14ac:dyDescent="0.2">
      <c r="A399">
        <v>397</v>
      </c>
      <c r="B399" t="s">
        <v>2508</v>
      </c>
      <c r="C399" t="s">
        <v>3219</v>
      </c>
      <c r="D399" t="b">
        <v>0</v>
      </c>
      <c r="E399" t="b">
        <v>0</v>
      </c>
      <c r="F399" t="b">
        <v>1</v>
      </c>
      <c r="G399" t="b">
        <v>0</v>
      </c>
    </row>
    <row r="400" spans="1:7" x14ac:dyDescent="0.2">
      <c r="A400">
        <v>398</v>
      </c>
      <c r="B400" t="s">
        <v>2509</v>
      </c>
      <c r="C400" t="s">
        <v>3220</v>
      </c>
      <c r="D400" t="b">
        <v>0</v>
      </c>
      <c r="E400" t="b">
        <v>0</v>
      </c>
      <c r="F400" t="b">
        <v>1</v>
      </c>
      <c r="G400" t="b">
        <v>0</v>
      </c>
    </row>
    <row r="401" spans="1:7" x14ac:dyDescent="0.2">
      <c r="A401">
        <v>399</v>
      </c>
      <c r="B401" t="s">
        <v>2510</v>
      </c>
      <c r="C401" t="s">
        <v>3221</v>
      </c>
      <c r="D401" t="b">
        <v>0</v>
      </c>
      <c r="E401" t="b">
        <v>0</v>
      </c>
      <c r="F401" t="b">
        <v>1</v>
      </c>
      <c r="G401" t="b">
        <v>0</v>
      </c>
    </row>
    <row r="402" spans="1:7" x14ac:dyDescent="0.2">
      <c r="A402">
        <v>400</v>
      </c>
      <c r="B402" t="s">
        <v>1734</v>
      </c>
      <c r="C402" t="s">
        <v>3222</v>
      </c>
      <c r="D402" t="b">
        <v>0</v>
      </c>
      <c r="E402" t="b">
        <v>0</v>
      </c>
      <c r="F402" t="b">
        <v>1</v>
      </c>
      <c r="G402" t="b">
        <v>0</v>
      </c>
    </row>
    <row r="403" spans="1:7" x14ac:dyDescent="0.2">
      <c r="A403">
        <v>401</v>
      </c>
      <c r="B403" t="s">
        <v>2511</v>
      </c>
      <c r="C403" t="s">
        <v>2512</v>
      </c>
      <c r="D403" t="b">
        <v>0</v>
      </c>
      <c r="E403" t="b">
        <v>0</v>
      </c>
      <c r="F403" t="b">
        <v>1</v>
      </c>
      <c r="G403" t="b">
        <v>0</v>
      </c>
    </row>
    <row r="404" spans="1:7" x14ac:dyDescent="0.2">
      <c r="A404">
        <v>402</v>
      </c>
      <c r="B404" t="s">
        <v>1736</v>
      </c>
      <c r="C404" t="s">
        <v>3223</v>
      </c>
      <c r="D404" t="b">
        <v>0</v>
      </c>
      <c r="E404" t="b">
        <v>0</v>
      </c>
      <c r="F404" t="b">
        <v>1</v>
      </c>
      <c r="G404" t="b">
        <v>0</v>
      </c>
    </row>
    <row r="405" spans="1:7" x14ac:dyDescent="0.2">
      <c r="A405">
        <v>403</v>
      </c>
      <c r="B405" t="s">
        <v>2513</v>
      </c>
      <c r="C405" t="s">
        <v>3224</v>
      </c>
      <c r="D405" t="b">
        <v>0</v>
      </c>
      <c r="E405" t="b">
        <v>0</v>
      </c>
      <c r="F405" t="b">
        <v>1</v>
      </c>
      <c r="G405" t="b">
        <v>0</v>
      </c>
    </row>
    <row r="406" spans="1:7" x14ac:dyDescent="0.2">
      <c r="A406">
        <v>404</v>
      </c>
      <c r="B406" t="s">
        <v>1737</v>
      </c>
      <c r="C406" t="s">
        <v>3225</v>
      </c>
      <c r="D406" t="b">
        <v>0</v>
      </c>
      <c r="E406" t="b">
        <v>0</v>
      </c>
      <c r="F406" t="b">
        <v>1</v>
      </c>
      <c r="G406" t="b">
        <v>0</v>
      </c>
    </row>
    <row r="407" spans="1:7" x14ac:dyDescent="0.2">
      <c r="A407">
        <v>405</v>
      </c>
      <c r="B407" t="s">
        <v>2514</v>
      </c>
      <c r="C407" t="s">
        <v>2515</v>
      </c>
      <c r="D407" t="b">
        <v>0</v>
      </c>
      <c r="E407" t="b">
        <v>0</v>
      </c>
      <c r="F407" t="b">
        <v>1</v>
      </c>
      <c r="G407" t="b">
        <v>0</v>
      </c>
    </row>
    <row r="408" spans="1:7" x14ac:dyDescent="0.2">
      <c r="A408">
        <v>406</v>
      </c>
      <c r="B408" t="s">
        <v>2516</v>
      </c>
      <c r="C408" t="s">
        <v>2517</v>
      </c>
      <c r="D408" t="b">
        <v>0</v>
      </c>
      <c r="E408" t="b">
        <v>0</v>
      </c>
      <c r="F408" t="b">
        <v>1</v>
      </c>
      <c r="G408" t="b">
        <v>0</v>
      </c>
    </row>
    <row r="409" spans="1:7" x14ac:dyDescent="0.2">
      <c r="A409">
        <v>407</v>
      </c>
      <c r="B409" t="s">
        <v>2518</v>
      </c>
      <c r="C409" t="s">
        <v>3226</v>
      </c>
      <c r="D409" t="b">
        <v>0</v>
      </c>
      <c r="E409" t="b">
        <v>0</v>
      </c>
      <c r="F409" t="b">
        <v>1</v>
      </c>
      <c r="G409" t="b">
        <v>0</v>
      </c>
    </row>
    <row r="410" spans="1:7" x14ac:dyDescent="0.2">
      <c r="A410">
        <v>408</v>
      </c>
      <c r="B410" t="s">
        <v>2519</v>
      </c>
      <c r="C410" t="s">
        <v>2520</v>
      </c>
      <c r="D410" t="b">
        <v>0</v>
      </c>
      <c r="E410" t="b">
        <v>0</v>
      </c>
      <c r="F410" t="b">
        <v>1</v>
      </c>
      <c r="G410" t="b">
        <v>0</v>
      </c>
    </row>
    <row r="411" spans="1:7" x14ac:dyDescent="0.2">
      <c r="A411">
        <v>409</v>
      </c>
      <c r="B411" t="s">
        <v>2521</v>
      </c>
      <c r="C411" t="s">
        <v>2522</v>
      </c>
      <c r="D411" t="b">
        <v>0</v>
      </c>
      <c r="E411" t="b">
        <v>0</v>
      </c>
      <c r="F411" t="b">
        <v>1</v>
      </c>
      <c r="G411" t="b">
        <v>0</v>
      </c>
    </row>
    <row r="412" spans="1:7" x14ac:dyDescent="0.2">
      <c r="A412">
        <v>410</v>
      </c>
      <c r="B412" t="s">
        <v>2523</v>
      </c>
      <c r="C412" t="s">
        <v>3227</v>
      </c>
      <c r="D412" t="b">
        <v>0</v>
      </c>
      <c r="E412" t="b">
        <v>0</v>
      </c>
      <c r="F412" t="b">
        <v>1</v>
      </c>
      <c r="G412" t="b">
        <v>0</v>
      </c>
    </row>
    <row r="413" spans="1:7" x14ac:dyDescent="0.2">
      <c r="A413">
        <v>411</v>
      </c>
      <c r="B413" t="s">
        <v>2524</v>
      </c>
      <c r="C413" t="s">
        <v>3228</v>
      </c>
      <c r="D413" t="b">
        <v>0</v>
      </c>
      <c r="E413" t="b">
        <v>0</v>
      </c>
      <c r="F413" t="b">
        <v>1</v>
      </c>
      <c r="G413" t="b">
        <v>0</v>
      </c>
    </row>
    <row r="414" spans="1:7" x14ac:dyDescent="0.2">
      <c r="A414">
        <v>412</v>
      </c>
      <c r="B414" t="s">
        <v>2525</v>
      </c>
      <c r="C414" t="s">
        <v>2526</v>
      </c>
      <c r="D414" t="b">
        <v>0</v>
      </c>
      <c r="E414" t="b">
        <v>0</v>
      </c>
      <c r="F414" t="b">
        <v>1</v>
      </c>
      <c r="G414" t="b">
        <v>0</v>
      </c>
    </row>
    <row r="415" spans="1:7" x14ac:dyDescent="0.2">
      <c r="A415">
        <v>413</v>
      </c>
      <c r="B415" t="s">
        <v>2527</v>
      </c>
      <c r="C415" t="s">
        <v>2528</v>
      </c>
      <c r="D415" t="b">
        <v>0</v>
      </c>
      <c r="E415" t="b">
        <v>0</v>
      </c>
      <c r="F415" t="b">
        <v>1</v>
      </c>
      <c r="G415" t="b">
        <v>0</v>
      </c>
    </row>
    <row r="416" spans="1:7" x14ac:dyDescent="0.2">
      <c r="A416">
        <v>414</v>
      </c>
      <c r="B416" t="s">
        <v>2529</v>
      </c>
      <c r="C416" t="s">
        <v>2530</v>
      </c>
      <c r="D416" t="b">
        <v>0</v>
      </c>
      <c r="E416" t="b">
        <v>0</v>
      </c>
      <c r="F416" t="b">
        <v>1</v>
      </c>
      <c r="G416" t="b">
        <v>0</v>
      </c>
    </row>
    <row r="417" spans="1:7" x14ac:dyDescent="0.2">
      <c r="A417">
        <v>415</v>
      </c>
      <c r="B417" t="s">
        <v>2531</v>
      </c>
      <c r="C417" t="s">
        <v>2532</v>
      </c>
      <c r="D417" t="b">
        <v>0</v>
      </c>
      <c r="E417" t="b">
        <v>0</v>
      </c>
      <c r="F417" t="b">
        <v>1</v>
      </c>
      <c r="G417" t="b">
        <v>0</v>
      </c>
    </row>
    <row r="418" spans="1:7" x14ac:dyDescent="0.2">
      <c r="A418">
        <v>416</v>
      </c>
      <c r="B418" t="s">
        <v>2533</v>
      </c>
      <c r="C418" t="s">
        <v>2534</v>
      </c>
      <c r="D418" t="b">
        <v>0</v>
      </c>
      <c r="E418" t="b">
        <v>0</v>
      </c>
      <c r="F418" t="b">
        <v>1</v>
      </c>
      <c r="G418" t="b">
        <v>0</v>
      </c>
    </row>
    <row r="419" spans="1:7" x14ac:dyDescent="0.2">
      <c r="A419">
        <v>417</v>
      </c>
      <c r="B419" t="s">
        <v>2535</v>
      </c>
      <c r="C419" t="s">
        <v>2536</v>
      </c>
      <c r="D419" t="b">
        <v>0</v>
      </c>
      <c r="E419" t="b">
        <v>0</v>
      </c>
      <c r="F419" t="b">
        <v>1</v>
      </c>
      <c r="G419" t="b">
        <v>0</v>
      </c>
    </row>
    <row r="420" spans="1:7" x14ac:dyDescent="0.2">
      <c r="A420">
        <v>418</v>
      </c>
      <c r="B420" t="s">
        <v>1741</v>
      </c>
      <c r="C420" t="s">
        <v>3229</v>
      </c>
      <c r="D420" t="b">
        <v>0</v>
      </c>
      <c r="E420" t="b">
        <v>0</v>
      </c>
      <c r="F420" t="b">
        <v>1</v>
      </c>
      <c r="G420" t="b">
        <v>0</v>
      </c>
    </row>
    <row r="421" spans="1:7" x14ac:dyDescent="0.2">
      <c r="A421">
        <v>419</v>
      </c>
      <c r="B421" t="s">
        <v>2537</v>
      </c>
      <c r="C421" t="s">
        <v>3230</v>
      </c>
      <c r="D421" t="b">
        <v>0</v>
      </c>
      <c r="E421" t="b">
        <v>0</v>
      </c>
      <c r="F421" t="b">
        <v>1</v>
      </c>
      <c r="G421" t="b">
        <v>0</v>
      </c>
    </row>
    <row r="422" spans="1:7" x14ac:dyDescent="0.2">
      <c r="A422">
        <v>420</v>
      </c>
      <c r="B422" t="s">
        <v>2538</v>
      </c>
      <c r="C422" t="s">
        <v>2539</v>
      </c>
      <c r="D422" t="b">
        <v>0</v>
      </c>
      <c r="E422" t="b">
        <v>0</v>
      </c>
      <c r="F422" t="b">
        <v>1</v>
      </c>
      <c r="G422" t="b">
        <v>0</v>
      </c>
    </row>
    <row r="423" spans="1:7" x14ac:dyDescent="0.2">
      <c r="A423">
        <v>421</v>
      </c>
      <c r="B423" t="s">
        <v>2540</v>
      </c>
      <c r="C423" t="s">
        <v>2541</v>
      </c>
      <c r="D423" t="b">
        <v>0</v>
      </c>
      <c r="E423" t="b">
        <v>0</v>
      </c>
      <c r="F423" t="b">
        <v>1</v>
      </c>
      <c r="G423" t="b">
        <v>0</v>
      </c>
    </row>
    <row r="424" spans="1:7" x14ac:dyDescent="0.2">
      <c r="A424">
        <v>422</v>
      </c>
      <c r="B424" t="s">
        <v>1742</v>
      </c>
      <c r="C424" t="s">
        <v>3231</v>
      </c>
      <c r="D424" t="b">
        <v>0</v>
      </c>
      <c r="E424" t="b">
        <v>0</v>
      </c>
      <c r="F424" t="b">
        <v>1</v>
      </c>
      <c r="G424" t="b">
        <v>0</v>
      </c>
    </row>
    <row r="425" spans="1:7" x14ac:dyDescent="0.2">
      <c r="A425">
        <v>423</v>
      </c>
      <c r="B425" t="s">
        <v>2542</v>
      </c>
      <c r="C425" t="s">
        <v>3232</v>
      </c>
      <c r="D425" t="b">
        <v>0</v>
      </c>
      <c r="E425" t="b">
        <v>0</v>
      </c>
      <c r="F425" t="b">
        <v>1</v>
      </c>
      <c r="G425" t="b">
        <v>0</v>
      </c>
    </row>
    <row r="426" spans="1:7" x14ac:dyDescent="0.2">
      <c r="A426">
        <v>424</v>
      </c>
      <c r="B426" t="s">
        <v>2543</v>
      </c>
      <c r="C426" t="s">
        <v>2544</v>
      </c>
      <c r="D426" t="b">
        <v>0</v>
      </c>
      <c r="E426" t="b">
        <v>0</v>
      </c>
      <c r="F426" t="b">
        <v>1</v>
      </c>
      <c r="G426" t="b">
        <v>0</v>
      </c>
    </row>
    <row r="427" spans="1:7" x14ac:dyDescent="0.2">
      <c r="A427">
        <v>425</v>
      </c>
      <c r="B427" t="s">
        <v>2545</v>
      </c>
      <c r="C427" t="s">
        <v>2546</v>
      </c>
      <c r="D427" t="b">
        <v>0</v>
      </c>
      <c r="E427" t="b">
        <v>0</v>
      </c>
      <c r="F427" t="b">
        <v>1</v>
      </c>
      <c r="G427" t="b">
        <v>0</v>
      </c>
    </row>
    <row r="428" spans="1:7" x14ac:dyDescent="0.2">
      <c r="A428">
        <v>426</v>
      </c>
      <c r="B428" t="s">
        <v>2547</v>
      </c>
      <c r="C428" t="s">
        <v>2548</v>
      </c>
      <c r="D428" t="b">
        <v>0</v>
      </c>
      <c r="E428" t="b">
        <v>0</v>
      </c>
      <c r="F428" t="b">
        <v>1</v>
      </c>
      <c r="G428" t="b">
        <v>0</v>
      </c>
    </row>
    <row r="429" spans="1:7" x14ac:dyDescent="0.2">
      <c r="A429">
        <v>427</v>
      </c>
      <c r="B429" t="s">
        <v>2549</v>
      </c>
      <c r="C429" t="s">
        <v>3233</v>
      </c>
      <c r="D429" t="b">
        <v>0</v>
      </c>
      <c r="E429" t="b">
        <v>0</v>
      </c>
      <c r="F429" t="b">
        <v>1</v>
      </c>
      <c r="G429" t="b">
        <v>0</v>
      </c>
    </row>
    <row r="430" spans="1:7" x14ac:dyDescent="0.2">
      <c r="A430">
        <v>428</v>
      </c>
      <c r="B430" t="s">
        <v>2550</v>
      </c>
      <c r="C430" t="s">
        <v>3234</v>
      </c>
      <c r="D430" t="b">
        <v>0</v>
      </c>
      <c r="E430" t="b">
        <v>0</v>
      </c>
      <c r="F430" t="b">
        <v>1</v>
      </c>
      <c r="G430" t="b">
        <v>0</v>
      </c>
    </row>
    <row r="431" spans="1:7" x14ac:dyDescent="0.2">
      <c r="A431">
        <v>429</v>
      </c>
      <c r="B431" t="s">
        <v>1744</v>
      </c>
      <c r="C431" t="s">
        <v>3235</v>
      </c>
      <c r="D431" t="b">
        <v>0</v>
      </c>
      <c r="E431" t="b">
        <v>0</v>
      </c>
      <c r="F431" t="b">
        <v>1</v>
      </c>
      <c r="G431" t="b">
        <v>0</v>
      </c>
    </row>
    <row r="432" spans="1:7" x14ac:dyDescent="0.2">
      <c r="A432">
        <v>430</v>
      </c>
      <c r="B432" t="s">
        <v>2551</v>
      </c>
      <c r="C432" t="s">
        <v>2552</v>
      </c>
      <c r="D432" t="b">
        <v>0</v>
      </c>
      <c r="E432" t="b">
        <v>0</v>
      </c>
      <c r="F432" t="b">
        <v>1</v>
      </c>
      <c r="G432" t="b">
        <v>0</v>
      </c>
    </row>
    <row r="433" spans="1:7" x14ac:dyDescent="0.2">
      <c r="A433">
        <v>431</v>
      </c>
      <c r="B433" t="s">
        <v>2553</v>
      </c>
      <c r="C433" t="s">
        <v>2554</v>
      </c>
      <c r="D433" t="b">
        <v>0</v>
      </c>
      <c r="E433" t="b">
        <v>0</v>
      </c>
      <c r="F433" t="b">
        <v>1</v>
      </c>
      <c r="G433" t="b">
        <v>0</v>
      </c>
    </row>
    <row r="434" spans="1:7" x14ac:dyDescent="0.2">
      <c r="A434">
        <v>432</v>
      </c>
      <c r="B434" t="s">
        <v>2555</v>
      </c>
      <c r="C434" t="s">
        <v>2556</v>
      </c>
      <c r="D434" t="b">
        <v>0</v>
      </c>
      <c r="E434" t="b">
        <v>0</v>
      </c>
      <c r="F434" t="b">
        <v>1</v>
      </c>
      <c r="G434" t="b">
        <v>0</v>
      </c>
    </row>
    <row r="435" spans="1:7" x14ac:dyDescent="0.2">
      <c r="A435">
        <v>433</v>
      </c>
      <c r="B435" t="s">
        <v>2557</v>
      </c>
      <c r="C435" t="s">
        <v>3236</v>
      </c>
      <c r="D435" t="b">
        <v>0</v>
      </c>
      <c r="E435" t="b">
        <v>0</v>
      </c>
      <c r="F435" t="b">
        <v>1</v>
      </c>
      <c r="G435" t="b">
        <v>0</v>
      </c>
    </row>
    <row r="436" spans="1:7" x14ac:dyDescent="0.2">
      <c r="A436">
        <v>434</v>
      </c>
      <c r="B436" t="s">
        <v>2558</v>
      </c>
      <c r="C436" t="s">
        <v>2559</v>
      </c>
      <c r="D436" t="b">
        <v>0</v>
      </c>
      <c r="E436" t="b">
        <v>0</v>
      </c>
      <c r="F436" t="b">
        <v>1</v>
      </c>
      <c r="G436" t="b">
        <v>0</v>
      </c>
    </row>
    <row r="437" spans="1:7" x14ac:dyDescent="0.2">
      <c r="A437">
        <v>435</v>
      </c>
      <c r="B437" t="s">
        <v>2560</v>
      </c>
      <c r="C437" t="s">
        <v>3237</v>
      </c>
      <c r="D437" t="b">
        <v>0</v>
      </c>
      <c r="E437" t="b">
        <v>0</v>
      </c>
      <c r="F437" t="b">
        <v>1</v>
      </c>
      <c r="G437" t="b">
        <v>0</v>
      </c>
    </row>
    <row r="438" spans="1:7" x14ac:dyDescent="0.2">
      <c r="A438">
        <v>436</v>
      </c>
      <c r="B438" t="s">
        <v>2561</v>
      </c>
      <c r="C438" t="s">
        <v>2562</v>
      </c>
      <c r="D438" t="b">
        <v>0</v>
      </c>
      <c r="E438" t="b">
        <v>0</v>
      </c>
      <c r="F438" t="b">
        <v>1</v>
      </c>
      <c r="G438" t="b">
        <v>0</v>
      </c>
    </row>
    <row r="439" spans="1:7" x14ac:dyDescent="0.2">
      <c r="A439">
        <v>437</v>
      </c>
      <c r="B439" t="s">
        <v>2563</v>
      </c>
      <c r="C439" t="s">
        <v>2564</v>
      </c>
      <c r="D439" t="b">
        <v>0</v>
      </c>
      <c r="E439" t="b">
        <v>0</v>
      </c>
      <c r="F439" t="b">
        <v>1</v>
      </c>
      <c r="G439" t="b">
        <v>0</v>
      </c>
    </row>
    <row r="440" spans="1:7" x14ac:dyDescent="0.2">
      <c r="A440">
        <v>438</v>
      </c>
      <c r="B440" t="s">
        <v>2565</v>
      </c>
      <c r="C440" t="s">
        <v>2566</v>
      </c>
      <c r="D440" t="b">
        <v>0</v>
      </c>
      <c r="E440" t="b">
        <v>0</v>
      </c>
      <c r="F440" t="b">
        <v>1</v>
      </c>
      <c r="G440" t="b">
        <v>0</v>
      </c>
    </row>
    <row r="441" spans="1:7" x14ac:dyDescent="0.2">
      <c r="A441">
        <v>439</v>
      </c>
      <c r="B441" t="s">
        <v>1748</v>
      </c>
      <c r="C441" t="s">
        <v>3238</v>
      </c>
      <c r="D441" t="b">
        <v>0</v>
      </c>
      <c r="E441" t="b">
        <v>0</v>
      </c>
      <c r="F441" t="b">
        <v>1</v>
      </c>
      <c r="G441" t="b">
        <v>0</v>
      </c>
    </row>
    <row r="442" spans="1:7" x14ac:dyDescent="0.2">
      <c r="A442">
        <v>440</v>
      </c>
      <c r="B442" t="s">
        <v>2567</v>
      </c>
      <c r="C442" t="s">
        <v>3239</v>
      </c>
      <c r="D442" t="b">
        <v>0</v>
      </c>
      <c r="E442" t="b">
        <v>0</v>
      </c>
      <c r="F442" t="b">
        <v>1</v>
      </c>
      <c r="G442" t="b">
        <v>0</v>
      </c>
    </row>
    <row r="443" spans="1:7" x14ac:dyDescent="0.2">
      <c r="A443">
        <v>441</v>
      </c>
      <c r="B443" t="s">
        <v>2568</v>
      </c>
      <c r="C443" t="s">
        <v>2569</v>
      </c>
      <c r="D443" t="b">
        <v>0</v>
      </c>
      <c r="E443" t="b">
        <v>0</v>
      </c>
      <c r="F443" t="b">
        <v>1</v>
      </c>
      <c r="G443" t="b">
        <v>0</v>
      </c>
    </row>
    <row r="444" spans="1:7" x14ac:dyDescent="0.2">
      <c r="A444">
        <v>442</v>
      </c>
      <c r="B444" t="s">
        <v>2570</v>
      </c>
      <c r="C444" t="s">
        <v>3240</v>
      </c>
      <c r="D444" t="b">
        <v>0</v>
      </c>
      <c r="E444" t="b">
        <v>0</v>
      </c>
      <c r="F444" t="b">
        <v>1</v>
      </c>
      <c r="G444" t="b">
        <v>0</v>
      </c>
    </row>
    <row r="445" spans="1:7" x14ac:dyDescent="0.2">
      <c r="A445">
        <v>443</v>
      </c>
      <c r="B445" t="s">
        <v>2571</v>
      </c>
      <c r="C445" t="s">
        <v>2572</v>
      </c>
      <c r="D445" t="b">
        <v>0</v>
      </c>
      <c r="E445" t="b">
        <v>0</v>
      </c>
      <c r="F445" t="b">
        <v>1</v>
      </c>
      <c r="G445" t="b">
        <v>0</v>
      </c>
    </row>
    <row r="446" spans="1:7" x14ac:dyDescent="0.2">
      <c r="A446">
        <v>444</v>
      </c>
      <c r="B446" t="s">
        <v>2573</v>
      </c>
      <c r="C446" t="s">
        <v>2574</v>
      </c>
      <c r="D446" t="b">
        <v>0</v>
      </c>
      <c r="E446" t="b">
        <v>0</v>
      </c>
      <c r="F446" t="b">
        <v>1</v>
      </c>
      <c r="G446" t="b">
        <v>0</v>
      </c>
    </row>
    <row r="447" spans="1:7" x14ac:dyDescent="0.2">
      <c r="A447">
        <v>445</v>
      </c>
      <c r="B447" t="s">
        <v>2575</v>
      </c>
      <c r="C447" t="s">
        <v>3241</v>
      </c>
      <c r="D447" t="b">
        <v>0</v>
      </c>
      <c r="E447" t="b">
        <v>0</v>
      </c>
      <c r="F447" t="b">
        <v>1</v>
      </c>
      <c r="G447" t="b">
        <v>0</v>
      </c>
    </row>
    <row r="448" spans="1:7" x14ac:dyDescent="0.2">
      <c r="A448">
        <v>446</v>
      </c>
      <c r="B448" t="s">
        <v>2576</v>
      </c>
      <c r="C448" t="s">
        <v>2577</v>
      </c>
      <c r="D448" t="b">
        <v>0</v>
      </c>
      <c r="E448" t="b">
        <v>0</v>
      </c>
      <c r="F448" t="b">
        <v>1</v>
      </c>
      <c r="G448" t="b">
        <v>0</v>
      </c>
    </row>
    <row r="449" spans="1:7" x14ac:dyDescent="0.2">
      <c r="A449">
        <v>447</v>
      </c>
      <c r="B449" t="s">
        <v>2578</v>
      </c>
      <c r="C449" t="s">
        <v>2579</v>
      </c>
      <c r="D449" t="b">
        <v>0</v>
      </c>
      <c r="E449" t="b">
        <v>0</v>
      </c>
      <c r="F449" t="b">
        <v>1</v>
      </c>
      <c r="G449" t="b">
        <v>0</v>
      </c>
    </row>
    <row r="450" spans="1:7" x14ac:dyDescent="0.2">
      <c r="A450">
        <v>448</v>
      </c>
      <c r="B450" t="s">
        <v>2580</v>
      </c>
      <c r="C450" t="s">
        <v>2581</v>
      </c>
      <c r="D450" t="b">
        <v>0</v>
      </c>
      <c r="E450" t="b">
        <v>0</v>
      </c>
      <c r="F450" t="b">
        <v>1</v>
      </c>
      <c r="G450" t="b">
        <v>0</v>
      </c>
    </row>
    <row r="451" spans="1:7" x14ac:dyDescent="0.2">
      <c r="A451">
        <v>449</v>
      </c>
      <c r="B451" t="s">
        <v>2582</v>
      </c>
      <c r="C451" t="s">
        <v>3242</v>
      </c>
      <c r="D451" t="b">
        <v>0</v>
      </c>
      <c r="E451" t="b">
        <v>0</v>
      </c>
      <c r="F451" t="b">
        <v>1</v>
      </c>
      <c r="G451" t="b">
        <v>0</v>
      </c>
    </row>
    <row r="452" spans="1:7" x14ac:dyDescent="0.2">
      <c r="A452">
        <v>450</v>
      </c>
      <c r="B452" t="s">
        <v>2583</v>
      </c>
      <c r="C452" t="s">
        <v>2584</v>
      </c>
      <c r="D452" t="b">
        <v>0</v>
      </c>
      <c r="E452" t="b">
        <v>0</v>
      </c>
      <c r="F452" t="b">
        <v>1</v>
      </c>
      <c r="G452" t="b">
        <v>0</v>
      </c>
    </row>
    <row r="453" spans="1:7" x14ac:dyDescent="0.2">
      <c r="A453">
        <v>451</v>
      </c>
      <c r="B453" t="s">
        <v>2585</v>
      </c>
      <c r="C453" t="s">
        <v>2586</v>
      </c>
      <c r="D453" t="b">
        <v>0</v>
      </c>
      <c r="E453" t="b">
        <v>0</v>
      </c>
      <c r="F453" t="b">
        <v>1</v>
      </c>
      <c r="G453" t="b">
        <v>0</v>
      </c>
    </row>
    <row r="454" spans="1:7" x14ac:dyDescent="0.2">
      <c r="A454">
        <v>452</v>
      </c>
      <c r="B454" t="s">
        <v>2587</v>
      </c>
      <c r="C454" t="s">
        <v>3243</v>
      </c>
      <c r="D454" t="b">
        <v>0</v>
      </c>
      <c r="E454" t="b">
        <v>0</v>
      </c>
      <c r="F454" t="b">
        <v>1</v>
      </c>
      <c r="G454" t="b">
        <v>0</v>
      </c>
    </row>
    <row r="455" spans="1:7" x14ac:dyDescent="0.2">
      <c r="A455">
        <v>453</v>
      </c>
      <c r="B455" t="s">
        <v>2588</v>
      </c>
      <c r="C455" t="s">
        <v>2589</v>
      </c>
      <c r="D455" t="b">
        <v>0</v>
      </c>
      <c r="E455" t="b">
        <v>0</v>
      </c>
      <c r="F455" t="b">
        <v>1</v>
      </c>
      <c r="G455" t="b">
        <v>0</v>
      </c>
    </row>
    <row r="456" spans="1:7" x14ac:dyDescent="0.2">
      <c r="A456">
        <v>454</v>
      </c>
      <c r="B456" t="s">
        <v>2590</v>
      </c>
      <c r="C456" t="s">
        <v>2591</v>
      </c>
      <c r="D456" t="b">
        <v>0</v>
      </c>
      <c r="E456" t="b">
        <v>0</v>
      </c>
      <c r="F456" t="b">
        <v>1</v>
      </c>
      <c r="G456" t="b">
        <v>0</v>
      </c>
    </row>
    <row r="457" spans="1:7" x14ac:dyDescent="0.2">
      <c r="A457">
        <v>455</v>
      </c>
      <c r="B457" t="s">
        <v>2592</v>
      </c>
      <c r="C457" t="s">
        <v>2593</v>
      </c>
      <c r="D457" t="b">
        <v>0</v>
      </c>
      <c r="E457" t="b">
        <v>0</v>
      </c>
      <c r="F457" t="b">
        <v>1</v>
      </c>
      <c r="G457" t="b">
        <v>0</v>
      </c>
    </row>
    <row r="458" spans="1:7" x14ac:dyDescent="0.2">
      <c r="A458">
        <v>456</v>
      </c>
      <c r="B458" t="s">
        <v>2594</v>
      </c>
      <c r="C458" t="s">
        <v>2595</v>
      </c>
      <c r="D458" t="b">
        <v>0</v>
      </c>
      <c r="E458" t="b">
        <v>0</v>
      </c>
      <c r="F458" t="b">
        <v>1</v>
      </c>
      <c r="G458" t="b">
        <v>0</v>
      </c>
    </row>
    <row r="459" spans="1:7" x14ac:dyDescent="0.2">
      <c r="A459">
        <v>457</v>
      </c>
      <c r="B459" t="s">
        <v>2596</v>
      </c>
      <c r="C459" t="s">
        <v>2597</v>
      </c>
      <c r="D459" t="b">
        <v>0</v>
      </c>
      <c r="E459" t="b">
        <v>0</v>
      </c>
      <c r="F459" t="b">
        <v>1</v>
      </c>
      <c r="G459" t="b">
        <v>0</v>
      </c>
    </row>
    <row r="460" spans="1:7" x14ac:dyDescent="0.2">
      <c r="A460">
        <v>458</v>
      </c>
      <c r="B460" t="s">
        <v>2598</v>
      </c>
      <c r="C460" t="s">
        <v>2599</v>
      </c>
      <c r="D460" t="b">
        <v>0</v>
      </c>
      <c r="E460" t="b">
        <v>0</v>
      </c>
      <c r="F460" t="b">
        <v>1</v>
      </c>
      <c r="G460" t="b">
        <v>0</v>
      </c>
    </row>
    <row r="461" spans="1:7" x14ac:dyDescent="0.2">
      <c r="A461">
        <v>459</v>
      </c>
      <c r="B461" t="s">
        <v>2600</v>
      </c>
      <c r="C461" t="s">
        <v>3244</v>
      </c>
      <c r="D461" t="b">
        <v>0</v>
      </c>
      <c r="E461" t="b">
        <v>0</v>
      </c>
      <c r="F461" t="b">
        <v>1</v>
      </c>
      <c r="G461" t="b">
        <v>0</v>
      </c>
    </row>
    <row r="462" spans="1:7" x14ac:dyDescent="0.2">
      <c r="A462">
        <v>460</v>
      </c>
      <c r="B462" t="s">
        <v>2601</v>
      </c>
      <c r="C462" t="s">
        <v>2602</v>
      </c>
      <c r="D462" t="b">
        <v>0</v>
      </c>
      <c r="E462" t="b">
        <v>0</v>
      </c>
      <c r="F462" t="b">
        <v>1</v>
      </c>
      <c r="G462" t="b">
        <v>0</v>
      </c>
    </row>
    <row r="463" spans="1:7" x14ac:dyDescent="0.2">
      <c r="A463">
        <v>461</v>
      </c>
      <c r="B463" t="s">
        <v>2603</v>
      </c>
      <c r="C463" t="s">
        <v>2604</v>
      </c>
      <c r="D463" t="b">
        <v>0</v>
      </c>
      <c r="E463" t="b">
        <v>0</v>
      </c>
      <c r="F463" t="b">
        <v>1</v>
      </c>
      <c r="G463" t="b">
        <v>0</v>
      </c>
    </row>
    <row r="464" spans="1:7" x14ac:dyDescent="0.2">
      <c r="A464">
        <v>462</v>
      </c>
      <c r="B464" t="s">
        <v>2605</v>
      </c>
      <c r="C464" t="s">
        <v>2606</v>
      </c>
      <c r="D464" t="b">
        <v>0</v>
      </c>
      <c r="E464" t="b">
        <v>0</v>
      </c>
      <c r="F464" t="b">
        <v>1</v>
      </c>
      <c r="G464" t="b">
        <v>0</v>
      </c>
    </row>
    <row r="465" spans="1:7" x14ac:dyDescent="0.2">
      <c r="A465">
        <v>463</v>
      </c>
      <c r="B465" t="s">
        <v>2607</v>
      </c>
      <c r="C465" t="s">
        <v>2608</v>
      </c>
      <c r="D465" t="b">
        <v>0</v>
      </c>
      <c r="E465" t="b">
        <v>0</v>
      </c>
      <c r="F465" t="b">
        <v>1</v>
      </c>
      <c r="G465" t="b">
        <v>0</v>
      </c>
    </row>
    <row r="466" spans="1:7" x14ac:dyDescent="0.2">
      <c r="A466">
        <v>464</v>
      </c>
      <c r="B466" t="s">
        <v>2609</v>
      </c>
      <c r="C466" t="s">
        <v>3245</v>
      </c>
      <c r="D466" t="b">
        <v>0</v>
      </c>
      <c r="E466" t="b">
        <v>0</v>
      </c>
      <c r="F466" t="b">
        <v>1</v>
      </c>
      <c r="G466" t="b">
        <v>0</v>
      </c>
    </row>
    <row r="467" spans="1:7" x14ac:dyDescent="0.2">
      <c r="A467">
        <v>465</v>
      </c>
      <c r="B467" t="s">
        <v>2610</v>
      </c>
      <c r="C467" t="s">
        <v>3246</v>
      </c>
      <c r="D467" t="b">
        <v>0</v>
      </c>
      <c r="E467" t="b">
        <v>0</v>
      </c>
      <c r="F467" t="b">
        <v>1</v>
      </c>
      <c r="G467" t="b">
        <v>0</v>
      </c>
    </row>
    <row r="468" spans="1:7" x14ac:dyDescent="0.2">
      <c r="A468">
        <v>466</v>
      </c>
      <c r="B468" t="s">
        <v>1750</v>
      </c>
      <c r="C468" t="s">
        <v>3247</v>
      </c>
      <c r="D468" t="b">
        <v>0</v>
      </c>
      <c r="E468" t="b">
        <v>0</v>
      </c>
      <c r="F468" t="b">
        <v>1</v>
      </c>
      <c r="G468" t="b">
        <v>0</v>
      </c>
    </row>
    <row r="469" spans="1:7" x14ac:dyDescent="0.2">
      <c r="A469">
        <v>467</v>
      </c>
      <c r="B469" t="s">
        <v>2611</v>
      </c>
      <c r="C469" t="s">
        <v>3248</v>
      </c>
      <c r="D469" t="b">
        <v>0</v>
      </c>
      <c r="E469" t="b">
        <v>0</v>
      </c>
      <c r="F469" t="b">
        <v>1</v>
      </c>
      <c r="G469" t="b">
        <v>0</v>
      </c>
    </row>
    <row r="470" spans="1:7" x14ac:dyDescent="0.2">
      <c r="A470">
        <v>468</v>
      </c>
      <c r="B470" t="s">
        <v>2612</v>
      </c>
      <c r="C470" t="s">
        <v>2613</v>
      </c>
      <c r="D470" t="b">
        <v>0</v>
      </c>
      <c r="E470" t="b">
        <v>0</v>
      </c>
      <c r="F470" t="b">
        <v>1</v>
      </c>
      <c r="G470" t="b">
        <v>0</v>
      </c>
    </row>
    <row r="471" spans="1:7" x14ac:dyDescent="0.2">
      <c r="A471">
        <v>469</v>
      </c>
      <c r="B471" t="s">
        <v>2614</v>
      </c>
      <c r="C471" t="s">
        <v>2615</v>
      </c>
      <c r="D471" t="b">
        <v>0</v>
      </c>
      <c r="E471" t="b">
        <v>0</v>
      </c>
      <c r="F471" t="b">
        <v>1</v>
      </c>
      <c r="G471" t="b">
        <v>0</v>
      </c>
    </row>
    <row r="472" spans="1:7" x14ac:dyDescent="0.2">
      <c r="A472">
        <v>470</v>
      </c>
      <c r="B472" t="s">
        <v>2616</v>
      </c>
      <c r="C472" t="s">
        <v>2617</v>
      </c>
      <c r="D472" t="b">
        <v>0</v>
      </c>
      <c r="E472" t="b">
        <v>0</v>
      </c>
      <c r="F472" t="b">
        <v>1</v>
      </c>
      <c r="G472" t="b">
        <v>0</v>
      </c>
    </row>
    <row r="473" spans="1:7" x14ac:dyDescent="0.2">
      <c r="A473">
        <v>471</v>
      </c>
      <c r="B473" t="s">
        <v>2618</v>
      </c>
      <c r="C473" t="s">
        <v>2619</v>
      </c>
      <c r="D473" t="b">
        <v>0</v>
      </c>
      <c r="E473" t="b">
        <v>0</v>
      </c>
      <c r="F473" t="b">
        <v>1</v>
      </c>
      <c r="G473" t="b">
        <v>0</v>
      </c>
    </row>
    <row r="474" spans="1:7" x14ac:dyDescent="0.2">
      <c r="A474">
        <v>472</v>
      </c>
      <c r="B474" t="s">
        <v>2620</v>
      </c>
      <c r="C474" t="s">
        <v>3249</v>
      </c>
      <c r="D474" t="b">
        <v>0</v>
      </c>
      <c r="E474" t="b">
        <v>0</v>
      </c>
      <c r="F474" t="b">
        <v>1</v>
      </c>
      <c r="G474" t="b">
        <v>0</v>
      </c>
    </row>
    <row r="475" spans="1:7" x14ac:dyDescent="0.2">
      <c r="A475">
        <v>473</v>
      </c>
      <c r="B475" t="s">
        <v>1752</v>
      </c>
      <c r="C475" t="s">
        <v>3250</v>
      </c>
      <c r="D475" t="b">
        <v>0</v>
      </c>
      <c r="E475" t="b">
        <v>0</v>
      </c>
      <c r="F475" t="b">
        <v>1</v>
      </c>
      <c r="G475" t="b">
        <v>0</v>
      </c>
    </row>
    <row r="476" spans="1:7" x14ac:dyDescent="0.2">
      <c r="A476">
        <v>474</v>
      </c>
      <c r="B476" t="s">
        <v>2621</v>
      </c>
      <c r="C476" t="s">
        <v>2622</v>
      </c>
      <c r="D476" t="b">
        <v>0</v>
      </c>
      <c r="E476" t="b">
        <v>0</v>
      </c>
      <c r="F476" t="b">
        <v>1</v>
      </c>
      <c r="G476" t="b">
        <v>0</v>
      </c>
    </row>
    <row r="477" spans="1:7" x14ac:dyDescent="0.2">
      <c r="A477">
        <v>475</v>
      </c>
      <c r="B477" t="s">
        <v>2623</v>
      </c>
      <c r="C477" t="s">
        <v>3251</v>
      </c>
      <c r="D477" t="b">
        <v>0</v>
      </c>
      <c r="E477" t="b">
        <v>0</v>
      </c>
      <c r="F477" t="b">
        <v>1</v>
      </c>
      <c r="G477" t="b">
        <v>0</v>
      </c>
    </row>
    <row r="478" spans="1:7" x14ac:dyDescent="0.2">
      <c r="A478">
        <v>476</v>
      </c>
      <c r="B478" t="s">
        <v>2624</v>
      </c>
      <c r="C478" t="s">
        <v>2625</v>
      </c>
      <c r="D478" t="b">
        <v>0</v>
      </c>
      <c r="E478" t="b">
        <v>0</v>
      </c>
      <c r="F478" t="b">
        <v>1</v>
      </c>
      <c r="G478" t="b">
        <v>0</v>
      </c>
    </row>
    <row r="479" spans="1:7" x14ac:dyDescent="0.2">
      <c r="A479">
        <v>477</v>
      </c>
      <c r="B479" t="s">
        <v>2626</v>
      </c>
      <c r="C479" t="s">
        <v>3252</v>
      </c>
      <c r="D479" t="b">
        <v>0</v>
      </c>
      <c r="E479" t="b">
        <v>0</v>
      </c>
      <c r="F479" t="b">
        <v>1</v>
      </c>
      <c r="G479" t="b">
        <v>0</v>
      </c>
    </row>
    <row r="480" spans="1:7" x14ac:dyDescent="0.2">
      <c r="A480">
        <v>478</v>
      </c>
      <c r="B480" t="s">
        <v>1754</v>
      </c>
      <c r="C480" t="s">
        <v>3253</v>
      </c>
      <c r="D480" t="b">
        <v>0</v>
      </c>
      <c r="E480" t="b">
        <v>0</v>
      </c>
      <c r="F480" t="b">
        <v>1</v>
      </c>
      <c r="G480" t="b">
        <v>0</v>
      </c>
    </row>
    <row r="481" spans="1:7" x14ac:dyDescent="0.2">
      <c r="A481">
        <v>479</v>
      </c>
      <c r="B481" t="s">
        <v>1755</v>
      </c>
      <c r="C481" t="s">
        <v>3254</v>
      </c>
      <c r="D481" t="b">
        <v>0</v>
      </c>
      <c r="E481" t="b">
        <v>0</v>
      </c>
      <c r="F481" t="b">
        <v>1</v>
      </c>
      <c r="G481" t="b">
        <v>0</v>
      </c>
    </row>
    <row r="482" spans="1:7" x14ac:dyDescent="0.2">
      <c r="A482">
        <v>480</v>
      </c>
      <c r="B482" t="s">
        <v>2627</v>
      </c>
      <c r="C482" t="s">
        <v>3255</v>
      </c>
      <c r="D482" t="b">
        <v>0</v>
      </c>
      <c r="E482" t="b">
        <v>0</v>
      </c>
      <c r="F482" t="b">
        <v>1</v>
      </c>
      <c r="G482" t="b">
        <v>0</v>
      </c>
    </row>
    <row r="483" spans="1:7" x14ac:dyDescent="0.2">
      <c r="A483">
        <v>481</v>
      </c>
      <c r="B483" t="s">
        <v>2628</v>
      </c>
      <c r="C483" t="s">
        <v>2629</v>
      </c>
      <c r="D483" t="b">
        <v>0</v>
      </c>
      <c r="E483" t="b">
        <v>0</v>
      </c>
      <c r="F483" t="b">
        <v>1</v>
      </c>
      <c r="G483" t="b">
        <v>0</v>
      </c>
    </row>
    <row r="484" spans="1:7" x14ac:dyDescent="0.2">
      <c r="A484">
        <v>482</v>
      </c>
      <c r="B484" t="s">
        <v>2630</v>
      </c>
      <c r="C484" t="s">
        <v>3256</v>
      </c>
      <c r="D484" t="b">
        <v>0</v>
      </c>
      <c r="E484" t="b">
        <v>0</v>
      </c>
      <c r="F484" t="b">
        <v>1</v>
      </c>
      <c r="G484" t="b">
        <v>0</v>
      </c>
    </row>
    <row r="485" spans="1:7" x14ac:dyDescent="0.2">
      <c r="A485">
        <v>483</v>
      </c>
      <c r="B485" t="s">
        <v>2631</v>
      </c>
      <c r="C485" t="s">
        <v>2632</v>
      </c>
      <c r="D485" t="b">
        <v>0</v>
      </c>
      <c r="E485" t="b">
        <v>0</v>
      </c>
      <c r="F485" t="b">
        <v>1</v>
      </c>
      <c r="G485" t="b">
        <v>0</v>
      </c>
    </row>
    <row r="486" spans="1:7" x14ac:dyDescent="0.2">
      <c r="A486">
        <v>484</v>
      </c>
      <c r="B486" t="s">
        <v>2633</v>
      </c>
      <c r="C486" s="1" t="s">
        <v>3257</v>
      </c>
      <c r="D486" t="b">
        <v>0</v>
      </c>
      <c r="E486" t="b">
        <v>0</v>
      </c>
      <c r="F486" t="b">
        <v>1</v>
      </c>
      <c r="G486" t="b">
        <v>0</v>
      </c>
    </row>
    <row r="487" spans="1:7" x14ac:dyDescent="0.2">
      <c r="A487">
        <v>485</v>
      </c>
      <c r="B487" t="s">
        <v>2634</v>
      </c>
      <c r="C487" t="s">
        <v>2635</v>
      </c>
      <c r="D487" t="b">
        <v>0</v>
      </c>
      <c r="E487" t="b">
        <v>0</v>
      </c>
      <c r="F487" t="b">
        <v>1</v>
      </c>
      <c r="G487" t="b">
        <v>0</v>
      </c>
    </row>
    <row r="488" spans="1:7" x14ac:dyDescent="0.2">
      <c r="A488">
        <v>486</v>
      </c>
      <c r="B488" t="s">
        <v>2636</v>
      </c>
      <c r="C488" t="s">
        <v>2637</v>
      </c>
      <c r="D488" t="b">
        <v>0</v>
      </c>
      <c r="E488" t="b">
        <v>0</v>
      </c>
      <c r="F488" t="b">
        <v>1</v>
      </c>
      <c r="G488" t="b">
        <v>0</v>
      </c>
    </row>
    <row r="489" spans="1:7" x14ac:dyDescent="0.2">
      <c r="A489">
        <v>487</v>
      </c>
      <c r="B489" t="s">
        <v>2638</v>
      </c>
      <c r="C489" t="s">
        <v>3258</v>
      </c>
      <c r="D489" t="b">
        <v>0</v>
      </c>
      <c r="E489" t="b">
        <v>0</v>
      </c>
      <c r="F489" t="b">
        <v>1</v>
      </c>
      <c r="G489" t="b">
        <v>0</v>
      </c>
    </row>
    <row r="490" spans="1:7" x14ac:dyDescent="0.2">
      <c r="A490">
        <v>488</v>
      </c>
      <c r="B490" t="s">
        <v>2639</v>
      </c>
      <c r="C490" t="s">
        <v>3259</v>
      </c>
      <c r="D490" t="b">
        <v>0</v>
      </c>
      <c r="E490" t="b">
        <v>0</v>
      </c>
      <c r="F490" t="b">
        <v>1</v>
      </c>
      <c r="G490" t="b">
        <v>0</v>
      </c>
    </row>
    <row r="491" spans="1:7" x14ac:dyDescent="0.2">
      <c r="A491">
        <v>489</v>
      </c>
      <c r="B491" t="s">
        <v>2640</v>
      </c>
      <c r="C491" t="s">
        <v>3260</v>
      </c>
      <c r="D491" t="b">
        <v>0</v>
      </c>
      <c r="E491" t="b">
        <v>0</v>
      </c>
      <c r="F491" t="b">
        <v>1</v>
      </c>
      <c r="G491" t="b">
        <v>0</v>
      </c>
    </row>
    <row r="492" spans="1:7" x14ac:dyDescent="0.2">
      <c r="A492">
        <v>490</v>
      </c>
      <c r="B492" t="s">
        <v>2641</v>
      </c>
      <c r="C492" t="s">
        <v>3261</v>
      </c>
      <c r="D492" t="b">
        <v>0</v>
      </c>
      <c r="E492" t="b">
        <v>0</v>
      </c>
      <c r="F492" t="b">
        <v>1</v>
      </c>
      <c r="G492" t="b">
        <v>0</v>
      </c>
    </row>
    <row r="493" spans="1:7" x14ac:dyDescent="0.2">
      <c r="A493">
        <v>491</v>
      </c>
      <c r="B493" t="s">
        <v>2642</v>
      </c>
      <c r="C493" t="s">
        <v>2643</v>
      </c>
      <c r="D493" t="b">
        <v>0</v>
      </c>
      <c r="E493" t="b">
        <v>0</v>
      </c>
      <c r="F493" t="b">
        <v>1</v>
      </c>
      <c r="G493" t="b">
        <v>0</v>
      </c>
    </row>
    <row r="494" spans="1:7" x14ac:dyDescent="0.2">
      <c r="A494">
        <v>492</v>
      </c>
      <c r="B494" t="s">
        <v>2644</v>
      </c>
      <c r="C494" t="s">
        <v>2645</v>
      </c>
      <c r="D494" t="b">
        <v>0</v>
      </c>
      <c r="E494" t="b">
        <v>0</v>
      </c>
      <c r="F494" t="b">
        <v>1</v>
      </c>
      <c r="G494" t="b">
        <v>0</v>
      </c>
    </row>
    <row r="495" spans="1:7" x14ac:dyDescent="0.2">
      <c r="A495">
        <v>493</v>
      </c>
      <c r="B495" t="s">
        <v>2646</v>
      </c>
      <c r="C495" t="s">
        <v>160</v>
      </c>
      <c r="D495" t="b">
        <v>1</v>
      </c>
      <c r="E495" t="b">
        <v>0</v>
      </c>
      <c r="F495" t="b">
        <v>1</v>
      </c>
      <c r="G495" t="b">
        <v>0</v>
      </c>
    </row>
    <row r="496" spans="1:7" x14ac:dyDescent="0.2">
      <c r="A496">
        <v>494</v>
      </c>
      <c r="B496" t="s">
        <v>2647</v>
      </c>
      <c r="C496" t="s">
        <v>2648</v>
      </c>
      <c r="D496" t="b">
        <v>0</v>
      </c>
      <c r="E496" t="b">
        <v>0</v>
      </c>
      <c r="F496" t="b">
        <v>1</v>
      </c>
      <c r="G496" t="b">
        <v>0</v>
      </c>
    </row>
    <row r="497" spans="1:7" x14ac:dyDescent="0.2">
      <c r="A497">
        <v>495</v>
      </c>
      <c r="B497" t="s">
        <v>1765</v>
      </c>
      <c r="C497" t="s">
        <v>3262</v>
      </c>
      <c r="D497" t="b">
        <v>0</v>
      </c>
      <c r="E497" t="b">
        <v>0</v>
      </c>
      <c r="F497" t="b">
        <v>1</v>
      </c>
      <c r="G497" t="b">
        <v>0</v>
      </c>
    </row>
    <row r="498" spans="1:7" x14ac:dyDescent="0.2">
      <c r="A498">
        <v>496</v>
      </c>
      <c r="B498" t="s">
        <v>2649</v>
      </c>
      <c r="C498" t="s">
        <v>2650</v>
      </c>
      <c r="D498" t="b">
        <v>0</v>
      </c>
      <c r="E498" t="b">
        <v>0</v>
      </c>
      <c r="F498" t="b">
        <v>1</v>
      </c>
      <c r="G498" t="b">
        <v>0</v>
      </c>
    </row>
    <row r="499" spans="1:7" x14ac:dyDescent="0.2">
      <c r="A499">
        <v>497</v>
      </c>
      <c r="B499" t="s">
        <v>2651</v>
      </c>
      <c r="C499" t="s">
        <v>2652</v>
      </c>
      <c r="D499" t="b">
        <v>0</v>
      </c>
      <c r="E499" t="b">
        <v>0</v>
      </c>
      <c r="F499" t="b">
        <v>1</v>
      </c>
      <c r="G499" t="b">
        <v>0</v>
      </c>
    </row>
    <row r="500" spans="1:7" x14ac:dyDescent="0.2">
      <c r="A500">
        <v>498</v>
      </c>
      <c r="B500" t="s">
        <v>1767</v>
      </c>
      <c r="C500" t="s">
        <v>3263</v>
      </c>
      <c r="D500" t="b">
        <v>0</v>
      </c>
      <c r="E500" t="b">
        <v>0</v>
      </c>
      <c r="F500" t="b">
        <v>1</v>
      </c>
      <c r="G500" t="b">
        <v>0</v>
      </c>
    </row>
    <row r="501" spans="1:7" x14ac:dyDescent="0.2">
      <c r="A501">
        <v>499</v>
      </c>
      <c r="B501" t="s">
        <v>2653</v>
      </c>
      <c r="C501" t="s">
        <v>2654</v>
      </c>
      <c r="D501" t="b">
        <v>0</v>
      </c>
      <c r="E501" t="b">
        <v>0</v>
      </c>
      <c r="F501" t="b">
        <v>1</v>
      </c>
      <c r="G501" t="b">
        <v>0</v>
      </c>
    </row>
    <row r="502" spans="1:7" x14ac:dyDescent="0.2">
      <c r="A502">
        <v>500</v>
      </c>
      <c r="B502" t="s">
        <v>1768</v>
      </c>
      <c r="C502" t="s">
        <v>3264</v>
      </c>
      <c r="D502" t="b">
        <v>0</v>
      </c>
      <c r="E502" t="b">
        <v>0</v>
      </c>
      <c r="F502" t="b">
        <v>1</v>
      </c>
      <c r="G502" t="b">
        <v>0</v>
      </c>
    </row>
    <row r="503" spans="1:7" x14ac:dyDescent="0.2">
      <c r="A503">
        <v>501</v>
      </c>
      <c r="B503" t="s">
        <v>2655</v>
      </c>
      <c r="C503" t="s">
        <v>2656</v>
      </c>
      <c r="D503" t="b">
        <v>0</v>
      </c>
      <c r="E503" t="b">
        <v>0</v>
      </c>
      <c r="F503" t="b">
        <v>1</v>
      </c>
      <c r="G503" t="b">
        <v>0</v>
      </c>
    </row>
    <row r="504" spans="1:7" x14ac:dyDescent="0.2">
      <c r="A504">
        <v>502</v>
      </c>
      <c r="B504" t="s">
        <v>2657</v>
      </c>
      <c r="C504" t="s">
        <v>3261</v>
      </c>
      <c r="D504" t="b">
        <v>0</v>
      </c>
      <c r="E504" t="b">
        <v>0</v>
      </c>
      <c r="F504" t="b">
        <v>1</v>
      </c>
      <c r="G504" t="b">
        <v>0</v>
      </c>
    </row>
    <row r="505" spans="1:7" x14ac:dyDescent="0.2">
      <c r="A505">
        <v>503</v>
      </c>
      <c r="B505" t="s">
        <v>2658</v>
      </c>
      <c r="C505" t="s">
        <v>2659</v>
      </c>
      <c r="D505" t="b">
        <v>0</v>
      </c>
      <c r="E505" t="b">
        <v>0</v>
      </c>
      <c r="F505" t="b">
        <v>1</v>
      </c>
      <c r="G505" t="b">
        <v>0</v>
      </c>
    </row>
    <row r="506" spans="1:7" x14ac:dyDescent="0.2">
      <c r="A506">
        <v>504</v>
      </c>
      <c r="B506" t="s">
        <v>2660</v>
      </c>
      <c r="C506" t="s">
        <v>2661</v>
      </c>
      <c r="D506" t="b">
        <v>0</v>
      </c>
      <c r="E506" t="b">
        <v>0</v>
      </c>
      <c r="F506" t="b">
        <v>1</v>
      </c>
      <c r="G506" t="b">
        <v>0</v>
      </c>
    </row>
    <row r="507" spans="1:7" x14ac:dyDescent="0.2">
      <c r="A507">
        <v>505</v>
      </c>
      <c r="B507" t="s">
        <v>2662</v>
      </c>
      <c r="C507" t="s">
        <v>2663</v>
      </c>
      <c r="D507" t="b">
        <v>0</v>
      </c>
      <c r="E507" t="b">
        <v>0</v>
      </c>
      <c r="F507" t="b">
        <v>1</v>
      </c>
      <c r="G507" t="b">
        <v>0</v>
      </c>
    </row>
    <row r="508" spans="1:7" x14ac:dyDescent="0.2">
      <c r="A508">
        <v>506</v>
      </c>
      <c r="B508" t="s">
        <v>2664</v>
      </c>
      <c r="C508" t="s">
        <v>2665</v>
      </c>
      <c r="D508" t="b">
        <v>0</v>
      </c>
      <c r="E508" t="b">
        <v>0</v>
      </c>
      <c r="F508" t="b">
        <v>1</v>
      </c>
      <c r="G508" t="b">
        <v>0</v>
      </c>
    </row>
    <row r="509" spans="1:7" x14ac:dyDescent="0.2">
      <c r="A509">
        <v>507</v>
      </c>
      <c r="B509" t="s">
        <v>1771</v>
      </c>
      <c r="C509" t="s">
        <v>3265</v>
      </c>
      <c r="D509" t="b">
        <v>0</v>
      </c>
      <c r="E509" t="b">
        <v>0</v>
      </c>
      <c r="F509" t="b">
        <v>1</v>
      </c>
      <c r="G509" t="b">
        <v>0</v>
      </c>
    </row>
    <row r="510" spans="1:7" x14ac:dyDescent="0.2">
      <c r="A510">
        <v>508</v>
      </c>
      <c r="B510" t="s">
        <v>2666</v>
      </c>
      <c r="C510" t="s">
        <v>2667</v>
      </c>
      <c r="D510" t="b">
        <v>0</v>
      </c>
      <c r="E510" t="b">
        <v>0</v>
      </c>
      <c r="F510" t="b">
        <v>1</v>
      </c>
      <c r="G510" t="b">
        <v>0</v>
      </c>
    </row>
    <row r="511" spans="1:7" x14ac:dyDescent="0.2">
      <c r="A511">
        <v>509</v>
      </c>
      <c r="B511" t="s">
        <v>2668</v>
      </c>
      <c r="C511" t="s">
        <v>2669</v>
      </c>
      <c r="D511" t="b">
        <v>0</v>
      </c>
      <c r="E511" t="b">
        <v>0</v>
      </c>
      <c r="F511" t="b">
        <v>1</v>
      </c>
      <c r="G511" t="b">
        <v>0</v>
      </c>
    </row>
    <row r="512" spans="1:7" x14ac:dyDescent="0.2">
      <c r="A512">
        <v>510</v>
      </c>
      <c r="B512" t="s">
        <v>2670</v>
      </c>
      <c r="C512" t="s">
        <v>2671</v>
      </c>
      <c r="D512" t="b">
        <v>0</v>
      </c>
      <c r="E512" t="b">
        <v>0</v>
      </c>
      <c r="F512" t="b">
        <v>1</v>
      </c>
      <c r="G512" t="b">
        <v>0</v>
      </c>
    </row>
    <row r="513" spans="1:7" x14ac:dyDescent="0.2">
      <c r="A513">
        <v>511</v>
      </c>
      <c r="B513" t="s">
        <v>1772</v>
      </c>
      <c r="C513" t="s">
        <v>3266</v>
      </c>
      <c r="D513" t="b">
        <v>0</v>
      </c>
      <c r="E513" t="b">
        <v>0</v>
      </c>
      <c r="F513" t="b">
        <v>1</v>
      </c>
      <c r="G513" t="b">
        <v>0</v>
      </c>
    </row>
    <row r="514" spans="1:7" x14ac:dyDescent="0.2">
      <c r="A514">
        <v>512</v>
      </c>
      <c r="B514" t="s">
        <v>1773</v>
      </c>
      <c r="C514" t="s">
        <v>3267</v>
      </c>
      <c r="D514" t="b">
        <v>0</v>
      </c>
      <c r="E514" t="b">
        <v>0</v>
      </c>
      <c r="F514" t="b">
        <v>1</v>
      </c>
      <c r="G514" t="b">
        <v>0</v>
      </c>
    </row>
    <row r="515" spans="1:7" x14ac:dyDescent="0.2">
      <c r="A515">
        <v>513</v>
      </c>
      <c r="B515" t="s">
        <v>2672</v>
      </c>
      <c r="C515" t="s">
        <v>2673</v>
      </c>
      <c r="D515" t="b">
        <v>0</v>
      </c>
      <c r="E515" t="b">
        <v>0</v>
      </c>
      <c r="F515" t="b">
        <v>1</v>
      </c>
      <c r="G515" t="b">
        <v>0</v>
      </c>
    </row>
    <row r="516" spans="1:7" x14ac:dyDescent="0.2">
      <c r="A516">
        <v>514</v>
      </c>
      <c r="B516" t="s">
        <v>1774</v>
      </c>
      <c r="C516" t="s">
        <v>3268</v>
      </c>
      <c r="D516" t="b">
        <v>0</v>
      </c>
      <c r="E516" t="b">
        <v>0</v>
      </c>
      <c r="F516" t="b">
        <v>1</v>
      </c>
      <c r="G516" t="b">
        <v>0</v>
      </c>
    </row>
    <row r="517" spans="1:7" x14ac:dyDescent="0.2">
      <c r="A517">
        <v>515</v>
      </c>
      <c r="B517" t="s">
        <v>2674</v>
      </c>
      <c r="C517" t="s">
        <v>2675</v>
      </c>
      <c r="D517" t="b">
        <v>0</v>
      </c>
      <c r="E517" t="b">
        <v>0</v>
      </c>
      <c r="F517" t="b">
        <v>1</v>
      </c>
      <c r="G517" t="b">
        <v>0</v>
      </c>
    </row>
    <row r="518" spans="1:7" x14ac:dyDescent="0.2">
      <c r="A518">
        <v>516</v>
      </c>
      <c r="B518" t="s">
        <v>2676</v>
      </c>
      <c r="C518" s="1" t="s">
        <v>3269</v>
      </c>
      <c r="D518" t="b">
        <v>0</v>
      </c>
      <c r="E518" t="b">
        <v>0</v>
      </c>
      <c r="F518" t="b">
        <v>1</v>
      </c>
      <c r="G518" t="b">
        <v>0</v>
      </c>
    </row>
    <row r="519" spans="1:7" x14ac:dyDescent="0.2">
      <c r="A519">
        <v>517</v>
      </c>
      <c r="B519" t="s">
        <v>2677</v>
      </c>
      <c r="C519" t="s">
        <v>2678</v>
      </c>
      <c r="D519" t="b">
        <v>0</v>
      </c>
      <c r="E519" t="b">
        <v>0</v>
      </c>
      <c r="F519" t="b">
        <v>1</v>
      </c>
      <c r="G519" t="b">
        <v>0</v>
      </c>
    </row>
    <row r="520" spans="1:7" x14ac:dyDescent="0.2">
      <c r="A520">
        <v>518</v>
      </c>
      <c r="B520" t="s">
        <v>1776</v>
      </c>
      <c r="C520" t="s">
        <v>3270</v>
      </c>
      <c r="D520" t="b">
        <v>0</v>
      </c>
      <c r="E520" t="b">
        <v>0</v>
      </c>
      <c r="F520" t="b">
        <v>1</v>
      </c>
      <c r="G520" t="b">
        <v>0</v>
      </c>
    </row>
    <row r="521" spans="1:7" x14ac:dyDescent="0.2">
      <c r="A521">
        <v>519</v>
      </c>
      <c r="B521" t="s">
        <v>2679</v>
      </c>
      <c r="C521" t="s">
        <v>2680</v>
      </c>
      <c r="D521" t="b">
        <v>0</v>
      </c>
      <c r="E521" t="b">
        <v>0</v>
      </c>
      <c r="F521" t="b">
        <v>1</v>
      </c>
      <c r="G521" t="b">
        <v>0</v>
      </c>
    </row>
    <row r="522" spans="1:7" x14ac:dyDescent="0.2">
      <c r="A522">
        <v>520</v>
      </c>
      <c r="B522" t="s">
        <v>2681</v>
      </c>
      <c r="C522" t="s">
        <v>2682</v>
      </c>
      <c r="D522" t="b">
        <v>0</v>
      </c>
      <c r="E522" t="b">
        <v>0</v>
      </c>
      <c r="F522" t="b">
        <v>1</v>
      </c>
      <c r="G522" t="b">
        <v>0</v>
      </c>
    </row>
    <row r="523" spans="1:7" x14ac:dyDescent="0.2">
      <c r="A523">
        <v>521</v>
      </c>
      <c r="B523" t="s">
        <v>2683</v>
      </c>
      <c r="C523" t="s">
        <v>2684</v>
      </c>
      <c r="D523" t="b">
        <v>0</v>
      </c>
      <c r="E523" t="b">
        <v>0</v>
      </c>
      <c r="F523" t="b">
        <v>1</v>
      </c>
      <c r="G523" t="b">
        <v>0</v>
      </c>
    </row>
    <row r="524" spans="1:7" x14ac:dyDescent="0.2">
      <c r="A524">
        <v>522</v>
      </c>
      <c r="B524" t="s">
        <v>2685</v>
      </c>
      <c r="C524" t="s">
        <v>3271</v>
      </c>
      <c r="D524" t="b">
        <v>0</v>
      </c>
      <c r="E524" t="b">
        <v>0</v>
      </c>
      <c r="F524" t="b">
        <v>1</v>
      </c>
      <c r="G524" t="b">
        <v>0</v>
      </c>
    </row>
    <row r="525" spans="1:7" x14ac:dyDescent="0.2">
      <c r="A525">
        <v>523</v>
      </c>
      <c r="B525" t="s">
        <v>2686</v>
      </c>
      <c r="C525" t="s">
        <v>3272</v>
      </c>
      <c r="D525" t="b">
        <v>0</v>
      </c>
      <c r="E525" t="b">
        <v>0</v>
      </c>
      <c r="F525" t="b">
        <v>1</v>
      </c>
      <c r="G525" t="b">
        <v>0</v>
      </c>
    </row>
    <row r="526" spans="1:7" x14ac:dyDescent="0.2">
      <c r="A526">
        <v>524</v>
      </c>
      <c r="B526" t="s">
        <v>2687</v>
      </c>
      <c r="C526" t="s">
        <v>2688</v>
      </c>
      <c r="D526" t="b">
        <v>0</v>
      </c>
      <c r="E526" t="b">
        <v>0</v>
      </c>
      <c r="F526" t="b">
        <v>1</v>
      </c>
      <c r="G526" t="b">
        <v>0</v>
      </c>
    </row>
    <row r="527" spans="1:7" x14ac:dyDescent="0.2">
      <c r="A527">
        <v>525</v>
      </c>
      <c r="B527" t="s">
        <v>2689</v>
      </c>
      <c r="C527" t="s">
        <v>2690</v>
      </c>
      <c r="D527" t="b">
        <v>0</v>
      </c>
      <c r="E527" t="b">
        <v>0</v>
      </c>
      <c r="F527" t="b">
        <v>1</v>
      </c>
      <c r="G527" t="b">
        <v>0</v>
      </c>
    </row>
    <row r="528" spans="1:7" x14ac:dyDescent="0.2">
      <c r="A528">
        <v>526</v>
      </c>
      <c r="B528" t="s">
        <v>2691</v>
      </c>
      <c r="C528" t="s">
        <v>2692</v>
      </c>
      <c r="D528" t="b">
        <v>0</v>
      </c>
      <c r="E528" t="b">
        <v>0</v>
      </c>
      <c r="F528" t="b">
        <v>1</v>
      </c>
      <c r="G528" t="b">
        <v>0</v>
      </c>
    </row>
    <row r="529" spans="1:7" x14ac:dyDescent="0.2">
      <c r="A529">
        <v>527</v>
      </c>
      <c r="B529" t="s">
        <v>1778</v>
      </c>
      <c r="C529" t="s">
        <v>3273</v>
      </c>
      <c r="D529" t="b">
        <v>0</v>
      </c>
      <c r="E529" t="b">
        <v>0</v>
      </c>
      <c r="F529" t="b">
        <v>1</v>
      </c>
      <c r="G529" t="b">
        <v>0</v>
      </c>
    </row>
    <row r="530" spans="1:7" x14ac:dyDescent="0.2">
      <c r="A530">
        <v>528</v>
      </c>
      <c r="B530" t="s">
        <v>2693</v>
      </c>
      <c r="C530" t="s">
        <v>160</v>
      </c>
      <c r="D530" t="b">
        <v>1</v>
      </c>
      <c r="E530" t="b">
        <v>0</v>
      </c>
      <c r="F530" t="b">
        <v>1</v>
      </c>
      <c r="G530" t="b">
        <v>0</v>
      </c>
    </row>
    <row r="531" spans="1:7" x14ac:dyDescent="0.2">
      <c r="A531">
        <v>529</v>
      </c>
      <c r="B531" t="s">
        <v>1780</v>
      </c>
      <c r="C531" t="s">
        <v>3274</v>
      </c>
      <c r="D531" t="b">
        <v>0</v>
      </c>
      <c r="E531" t="b">
        <v>0</v>
      </c>
      <c r="F531" t="b">
        <v>1</v>
      </c>
      <c r="G531" t="b">
        <v>0</v>
      </c>
    </row>
    <row r="532" spans="1:7" x14ac:dyDescent="0.2">
      <c r="A532">
        <v>530</v>
      </c>
      <c r="B532" t="s">
        <v>2694</v>
      </c>
      <c r="C532" t="s">
        <v>3275</v>
      </c>
      <c r="D532" t="b">
        <v>0</v>
      </c>
      <c r="E532" t="b">
        <v>0</v>
      </c>
      <c r="F532" t="b">
        <v>1</v>
      </c>
      <c r="G532" t="b">
        <v>0</v>
      </c>
    </row>
    <row r="533" spans="1:7" x14ac:dyDescent="0.2">
      <c r="A533">
        <v>531</v>
      </c>
      <c r="B533" t="s">
        <v>2695</v>
      </c>
      <c r="C533" t="s">
        <v>2696</v>
      </c>
      <c r="D533" t="b">
        <v>0</v>
      </c>
      <c r="E533" t="b">
        <v>0</v>
      </c>
      <c r="F533" t="b">
        <v>1</v>
      </c>
      <c r="G533" t="b">
        <v>0</v>
      </c>
    </row>
    <row r="534" spans="1:7" x14ac:dyDescent="0.2">
      <c r="A534">
        <v>532</v>
      </c>
      <c r="B534" t="s">
        <v>2697</v>
      </c>
      <c r="C534" t="s">
        <v>3276</v>
      </c>
      <c r="D534" t="b">
        <v>0</v>
      </c>
      <c r="E534" t="b">
        <v>0</v>
      </c>
      <c r="F534" t="b">
        <v>1</v>
      </c>
      <c r="G534" t="b">
        <v>0</v>
      </c>
    </row>
    <row r="535" spans="1:7" x14ac:dyDescent="0.2">
      <c r="A535">
        <v>533</v>
      </c>
      <c r="B535" t="s">
        <v>2698</v>
      </c>
      <c r="C535" t="s">
        <v>3277</v>
      </c>
      <c r="D535" t="b">
        <v>0</v>
      </c>
      <c r="E535" t="b">
        <v>0</v>
      </c>
      <c r="F535" t="b">
        <v>1</v>
      </c>
      <c r="G535" t="b">
        <v>0</v>
      </c>
    </row>
    <row r="536" spans="1:7" x14ac:dyDescent="0.2">
      <c r="A536">
        <v>534</v>
      </c>
      <c r="B536" t="s">
        <v>1781</v>
      </c>
      <c r="C536" s="1" t="s">
        <v>3278</v>
      </c>
      <c r="D536" t="b">
        <v>0</v>
      </c>
      <c r="E536" t="b">
        <v>0</v>
      </c>
      <c r="F536" t="b">
        <v>1</v>
      </c>
      <c r="G536" t="b">
        <v>0</v>
      </c>
    </row>
    <row r="537" spans="1:7" x14ac:dyDescent="0.2">
      <c r="A537">
        <v>535</v>
      </c>
      <c r="B537" t="s">
        <v>2699</v>
      </c>
      <c r="C537" t="s">
        <v>3279</v>
      </c>
      <c r="D537" t="b">
        <v>0</v>
      </c>
      <c r="E537" t="b">
        <v>0</v>
      </c>
      <c r="F537" t="b">
        <v>1</v>
      </c>
      <c r="G537" t="b">
        <v>0</v>
      </c>
    </row>
    <row r="538" spans="1:7" x14ac:dyDescent="0.2">
      <c r="A538">
        <v>536</v>
      </c>
      <c r="B538" t="s">
        <v>2700</v>
      </c>
      <c r="C538" t="s">
        <v>3280</v>
      </c>
      <c r="D538" t="b">
        <v>0</v>
      </c>
      <c r="E538" t="b">
        <v>0</v>
      </c>
      <c r="F538" t="b">
        <v>1</v>
      </c>
      <c r="G538" t="b">
        <v>0</v>
      </c>
    </row>
    <row r="539" spans="1:7" x14ac:dyDescent="0.2">
      <c r="A539">
        <v>537</v>
      </c>
      <c r="B539" t="s">
        <v>2701</v>
      </c>
      <c r="C539" t="s">
        <v>2702</v>
      </c>
      <c r="D539" t="b">
        <v>0</v>
      </c>
      <c r="E539" t="b">
        <v>0</v>
      </c>
      <c r="F539" t="b">
        <v>1</v>
      </c>
      <c r="G539" t="b">
        <v>0</v>
      </c>
    </row>
    <row r="540" spans="1:7" x14ac:dyDescent="0.2">
      <c r="A540">
        <v>538</v>
      </c>
      <c r="B540" t="s">
        <v>2703</v>
      </c>
      <c r="C540" t="s">
        <v>2704</v>
      </c>
      <c r="D540" t="b">
        <v>0</v>
      </c>
      <c r="E540" t="b">
        <v>0</v>
      </c>
      <c r="F540" t="b">
        <v>1</v>
      </c>
      <c r="G540" t="b">
        <v>0</v>
      </c>
    </row>
    <row r="541" spans="1:7" x14ac:dyDescent="0.2">
      <c r="A541">
        <v>539</v>
      </c>
      <c r="B541" t="s">
        <v>2705</v>
      </c>
      <c r="C541" t="s">
        <v>2706</v>
      </c>
      <c r="D541" t="b">
        <v>0</v>
      </c>
      <c r="E541" t="b">
        <v>0</v>
      </c>
      <c r="F541" t="b">
        <v>1</v>
      </c>
      <c r="G541" t="b">
        <v>0</v>
      </c>
    </row>
    <row r="542" spans="1:7" x14ac:dyDescent="0.2">
      <c r="A542">
        <v>540</v>
      </c>
      <c r="B542" t="s">
        <v>2707</v>
      </c>
      <c r="C542" t="s">
        <v>2708</v>
      </c>
      <c r="D542" t="b">
        <v>0</v>
      </c>
      <c r="E542" t="b">
        <v>0</v>
      </c>
      <c r="F542" t="b">
        <v>1</v>
      </c>
      <c r="G542" t="b">
        <v>0</v>
      </c>
    </row>
    <row r="543" spans="1:7" x14ac:dyDescent="0.2">
      <c r="A543">
        <v>541</v>
      </c>
      <c r="B543" t="s">
        <v>2709</v>
      </c>
      <c r="C543" t="s">
        <v>2710</v>
      </c>
      <c r="D543" t="b">
        <v>0</v>
      </c>
      <c r="E543" t="b">
        <v>0</v>
      </c>
      <c r="F543" t="b">
        <v>1</v>
      </c>
      <c r="G543" t="b">
        <v>0</v>
      </c>
    </row>
    <row r="544" spans="1:7" x14ac:dyDescent="0.2">
      <c r="A544">
        <v>542</v>
      </c>
      <c r="B544" t="s">
        <v>2711</v>
      </c>
      <c r="C544" t="s">
        <v>2712</v>
      </c>
      <c r="D544" t="b">
        <v>0</v>
      </c>
      <c r="E544" t="b">
        <v>0</v>
      </c>
      <c r="F544" t="b">
        <v>1</v>
      </c>
      <c r="G544" t="b">
        <v>0</v>
      </c>
    </row>
    <row r="545" spans="1:7" x14ac:dyDescent="0.2">
      <c r="A545">
        <v>543</v>
      </c>
      <c r="B545" t="s">
        <v>2713</v>
      </c>
      <c r="C545" t="s">
        <v>2714</v>
      </c>
      <c r="D545" t="b">
        <v>0</v>
      </c>
      <c r="E545" t="b">
        <v>0</v>
      </c>
      <c r="F545" t="b">
        <v>1</v>
      </c>
      <c r="G545" t="b">
        <v>0</v>
      </c>
    </row>
    <row r="546" spans="1:7" x14ac:dyDescent="0.2">
      <c r="A546">
        <v>544</v>
      </c>
      <c r="B546" t="s">
        <v>2715</v>
      </c>
      <c r="C546" t="s">
        <v>3281</v>
      </c>
      <c r="D546" t="b">
        <v>0</v>
      </c>
      <c r="E546" t="b">
        <v>0</v>
      </c>
      <c r="F546" t="b">
        <v>1</v>
      </c>
      <c r="G546" t="b">
        <v>0</v>
      </c>
    </row>
    <row r="547" spans="1:7" x14ac:dyDescent="0.2">
      <c r="A547">
        <v>545</v>
      </c>
      <c r="B547" t="s">
        <v>2716</v>
      </c>
      <c r="C547" t="s">
        <v>2717</v>
      </c>
      <c r="D547" t="b">
        <v>0</v>
      </c>
      <c r="E547" t="b">
        <v>0</v>
      </c>
      <c r="F547" t="b">
        <v>1</v>
      </c>
      <c r="G547" t="b">
        <v>0</v>
      </c>
    </row>
    <row r="548" spans="1:7" x14ac:dyDescent="0.2">
      <c r="A548">
        <v>546</v>
      </c>
      <c r="B548" t="s">
        <v>2718</v>
      </c>
      <c r="C548" t="s">
        <v>2719</v>
      </c>
      <c r="D548" t="b">
        <v>0</v>
      </c>
      <c r="E548" t="b">
        <v>0</v>
      </c>
      <c r="F548" t="b">
        <v>1</v>
      </c>
      <c r="G548" t="b">
        <v>0</v>
      </c>
    </row>
    <row r="549" spans="1:7" x14ac:dyDescent="0.2">
      <c r="A549">
        <v>547</v>
      </c>
      <c r="B549" t="s">
        <v>1784</v>
      </c>
      <c r="C549" t="s">
        <v>3282</v>
      </c>
      <c r="D549" t="b">
        <v>0</v>
      </c>
      <c r="E549" t="b">
        <v>0</v>
      </c>
      <c r="F549" t="b">
        <v>1</v>
      </c>
      <c r="G549" t="b">
        <v>0</v>
      </c>
    </row>
    <row r="550" spans="1:7" x14ac:dyDescent="0.2">
      <c r="A550">
        <v>548</v>
      </c>
      <c r="B550" t="s">
        <v>2720</v>
      </c>
      <c r="C550" t="s">
        <v>2721</v>
      </c>
      <c r="D550" t="b">
        <v>0</v>
      </c>
      <c r="E550" t="b">
        <v>0</v>
      </c>
      <c r="F550" t="b">
        <v>1</v>
      </c>
      <c r="G550" t="b">
        <v>0</v>
      </c>
    </row>
    <row r="551" spans="1:7" x14ac:dyDescent="0.2">
      <c r="A551">
        <v>549</v>
      </c>
      <c r="B551" t="s">
        <v>2722</v>
      </c>
      <c r="C551" t="s">
        <v>3283</v>
      </c>
      <c r="D551" t="b">
        <v>0</v>
      </c>
      <c r="E551" t="b">
        <v>0</v>
      </c>
      <c r="F551" t="b">
        <v>1</v>
      </c>
      <c r="G551" t="b">
        <v>0</v>
      </c>
    </row>
    <row r="552" spans="1:7" x14ac:dyDescent="0.2">
      <c r="A552">
        <v>550</v>
      </c>
      <c r="B552" t="s">
        <v>1785</v>
      </c>
      <c r="C552" t="s">
        <v>3284</v>
      </c>
      <c r="D552" t="b">
        <v>0</v>
      </c>
      <c r="E552" t="b">
        <v>0</v>
      </c>
      <c r="F552" t="b">
        <v>1</v>
      </c>
      <c r="G552" t="b">
        <v>0</v>
      </c>
    </row>
    <row r="553" spans="1:7" x14ac:dyDescent="0.2">
      <c r="A553">
        <v>551</v>
      </c>
      <c r="B553" t="s">
        <v>2723</v>
      </c>
      <c r="C553" t="s">
        <v>160</v>
      </c>
      <c r="D553" t="b">
        <v>1</v>
      </c>
      <c r="E553" t="b">
        <v>0</v>
      </c>
      <c r="F553" t="b">
        <v>1</v>
      </c>
      <c r="G553" t="b">
        <v>0</v>
      </c>
    </row>
    <row r="554" spans="1:7" x14ac:dyDescent="0.2">
      <c r="A554">
        <v>552</v>
      </c>
      <c r="B554" t="s">
        <v>1786</v>
      </c>
      <c r="C554" t="s">
        <v>3285</v>
      </c>
      <c r="D554" t="b">
        <v>0</v>
      </c>
      <c r="E554" t="b">
        <v>0</v>
      </c>
      <c r="F554" t="b">
        <v>1</v>
      </c>
      <c r="G554" t="b">
        <v>0</v>
      </c>
    </row>
    <row r="555" spans="1:7" x14ac:dyDescent="0.2">
      <c r="A555">
        <v>553</v>
      </c>
      <c r="B555" t="s">
        <v>1787</v>
      </c>
      <c r="C555" t="s">
        <v>3286</v>
      </c>
      <c r="D555" t="b">
        <v>0</v>
      </c>
      <c r="E555" t="b">
        <v>0</v>
      </c>
      <c r="F555" t="b">
        <v>1</v>
      </c>
      <c r="G555" t="b">
        <v>0</v>
      </c>
    </row>
    <row r="556" spans="1:7" x14ac:dyDescent="0.2">
      <c r="A556">
        <v>554</v>
      </c>
      <c r="B556" t="s">
        <v>2724</v>
      </c>
      <c r="C556" t="s">
        <v>2725</v>
      </c>
      <c r="D556" t="b">
        <v>0</v>
      </c>
      <c r="E556" t="b">
        <v>0</v>
      </c>
      <c r="F556" t="b">
        <v>1</v>
      </c>
      <c r="G556" t="b">
        <v>0</v>
      </c>
    </row>
    <row r="557" spans="1:7" x14ac:dyDescent="0.2">
      <c r="A557">
        <v>555</v>
      </c>
      <c r="B557" t="s">
        <v>2726</v>
      </c>
      <c r="C557" t="s">
        <v>3287</v>
      </c>
      <c r="D557" t="b">
        <v>0</v>
      </c>
      <c r="E557" t="b">
        <v>0</v>
      </c>
      <c r="F557" t="b">
        <v>1</v>
      </c>
      <c r="G557" t="b">
        <v>0</v>
      </c>
    </row>
    <row r="558" spans="1:7" x14ac:dyDescent="0.2">
      <c r="A558">
        <v>556</v>
      </c>
      <c r="B558" t="s">
        <v>1788</v>
      </c>
      <c r="C558" t="s">
        <v>3288</v>
      </c>
      <c r="D558" t="b">
        <v>0</v>
      </c>
      <c r="E558" t="b">
        <v>0</v>
      </c>
      <c r="F558" t="b">
        <v>1</v>
      </c>
      <c r="G558" t="b">
        <v>0</v>
      </c>
    </row>
    <row r="559" spans="1:7" x14ac:dyDescent="0.2">
      <c r="A559">
        <v>557</v>
      </c>
      <c r="B559" t="s">
        <v>2727</v>
      </c>
      <c r="C559" t="s">
        <v>2728</v>
      </c>
      <c r="D559" t="b">
        <v>0</v>
      </c>
      <c r="E559" t="b">
        <v>0</v>
      </c>
      <c r="F559" t="b">
        <v>1</v>
      </c>
      <c r="G559" t="b">
        <v>0</v>
      </c>
    </row>
    <row r="560" spans="1:7" x14ac:dyDescent="0.2">
      <c r="A560">
        <v>558</v>
      </c>
      <c r="B560" t="s">
        <v>1792</v>
      </c>
      <c r="C560" t="s">
        <v>3289</v>
      </c>
      <c r="D560" t="b">
        <v>0</v>
      </c>
      <c r="E560" t="b">
        <v>0</v>
      </c>
      <c r="F560" t="b">
        <v>1</v>
      </c>
      <c r="G560" t="b">
        <v>0</v>
      </c>
    </row>
    <row r="561" spans="1:7" x14ac:dyDescent="0.2">
      <c r="A561">
        <v>559</v>
      </c>
      <c r="B561" t="s">
        <v>2729</v>
      </c>
      <c r="C561" t="s">
        <v>2730</v>
      </c>
      <c r="D561" t="b">
        <v>0</v>
      </c>
      <c r="E561" t="b">
        <v>0</v>
      </c>
      <c r="F561" t="b">
        <v>1</v>
      </c>
      <c r="G561" t="b">
        <v>0</v>
      </c>
    </row>
    <row r="562" spans="1:7" x14ac:dyDescent="0.2">
      <c r="A562">
        <v>560</v>
      </c>
      <c r="B562" t="s">
        <v>2731</v>
      </c>
      <c r="C562" t="s">
        <v>3290</v>
      </c>
      <c r="D562" t="b">
        <v>0</v>
      </c>
      <c r="E562" t="b">
        <v>0</v>
      </c>
      <c r="F562" t="b">
        <v>1</v>
      </c>
      <c r="G562" t="b">
        <v>0</v>
      </c>
    </row>
    <row r="563" spans="1:7" x14ac:dyDescent="0.2">
      <c r="A563">
        <v>561</v>
      </c>
      <c r="B563" t="s">
        <v>2732</v>
      </c>
      <c r="C563" t="s">
        <v>3291</v>
      </c>
      <c r="D563" t="b">
        <v>0</v>
      </c>
      <c r="E563" t="b">
        <v>0</v>
      </c>
      <c r="F563" t="b">
        <v>1</v>
      </c>
      <c r="G563" t="b">
        <v>0</v>
      </c>
    </row>
    <row r="564" spans="1:7" x14ac:dyDescent="0.2">
      <c r="A564">
        <v>562</v>
      </c>
      <c r="B564" t="s">
        <v>2733</v>
      </c>
      <c r="C564" t="s">
        <v>2734</v>
      </c>
      <c r="D564" t="b">
        <v>0</v>
      </c>
      <c r="E564" t="b">
        <v>0</v>
      </c>
      <c r="F564" t="b">
        <v>1</v>
      </c>
      <c r="G564" t="b">
        <v>0</v>
      </c>
    </row>
    <row r="565" spans="1:7" x14ac:dyDescent="0.2">
      <c r="A565">
        <v>563</v>
      </c>
      <c r="B565" t="s">
        <v>2735</v>
      </c>
      <c r="C565" t="s">
        <v>2736</v>
      </c>
      <c r="D565" t="b">
        <v>0</v>
      </c>
      <c r="E565" t="b">
        <v>0</v>
      </c>
      <c r="F565" t="b">
        <v>1</v>
      </c>
      <c r="G565" t="b">
        <v>0</v>
      </c>
    </row>
    <row r="566" spans="1:7" x14ac:dyDescent="0.2">
      <c r="A566">
        <v>564</v>
      </c>
      <c r="B566" t="s">
        <v>2737</v>
      </c>
      <c r="C566" t="s">
        <v>2738</v>
      </c>
      <c r="D566" t="b">
        <v>0</v>
      </c>
      <c r="E566" t="b">
        <v>0</v>
      </c>
      <c r="F566" t="b">
        <v>1</v>
      </c>
      <c r="G566" t="b">
        <v>0</v>
      </c>
    </row>
    <row r="567" spans="1:7" x14ac:dyDescent="0.2">
      <c r="A567">
        <v>565</v>
      </c>
      <c r="B567" t="s">
        <v>2739</v>
      </c>
      <c r="C567" t="s">
        <v>2740</v>
      </c>
      <c r="D567" t="b">
        <v>0</v>
      </c>
      <c r="E567" t="b">
        <v>0</v>
      </c>
      <c r="F567" t="b">
        <v>1</v>
      </c>
      <c r="G567" t="b">
        <v>0</v>
      </c>
    </row>
    <row r="568" spans="1:7" x14ac:dyDescent="0.2">
      <c r="A568">
        <v>566</v>
      </c>
      <c r="B568" t="s">
        <v>2741</v>
      </c>
      <c r="C568" t="s">
        <v>2742</v>
      </c>
      <c r="D568" t="b">
        <v>0</v>
      </c>
      <c r="E568" t="b">
        <v>0</v>
      </c>
      <c r="F568" t="b">
        <v>1</v>
      </c>
      <c r="G568" t="b">
        <v>0</v>
      </c>
    </row>
    <row r="569" spans="1:7" x14ac:dyDescent="0.2">
      <c r="A569">
        <v>567</v>
      </c>
      <c r="B569" t="s">
        <v>2743</v>
      </c>
      <c r="C569" t="s">
        <v>3292</v>
      </c>
      <c r="D569" t="b">
        <v>0</v>
      </c>
      <c r="E569" t="b">
        <v>0</v>
      </c>
      <c r="F569" t="b">
        <v>1</v>
      </c>
      <c r="G569" t="b">
        <v>0</v>
      </c>
    </row>
    <row r="570" spans="1:7" x14ac:dyDescent="0.2">
      <c r="A570">
        <v>568</v>
      </c>
      <c r="B570" t="s">
        <v>2744</v>
      </c>
      <c r="C570" t="s">
        <v>2745</v>
      </c>
      <c r="D570" t="b">
        <v>0</v>
      </c>
      <c r="E570" t="b">
        <v>0</v>
      </c>
      <c r="F570" t="b">
        <v>1</v>
      </c>
      <c r="G570" t="b">
        <v>0</v>
      </c>
    </row>
    <row r="571" spans="1:7" x14ac:dyDescent="0.2">
      <c r="A571">
        <v>569</v>
      </c>
      <c r="B571" t="s">
        <v>2746</v>
      </c>
      <c r="C571" t="s">
        <v>2747</v>
      </c>
      <c r="D571" t="b">
        <v>0</v>
      </c>
      <c r="E571" t="b">
        <v>0</v>
      </c>
      <c r="F571" t="b">
        <v>1</v>
      </c>
      <c r="G571" t="b">
        <v>0</v>
      </c>
    </row>
    <row r="572" spans="1:7" x14ac:dyDescent="0.2">
      <c r="A572">
        <v>570</v>
      </c>
      <c r="B572" t="s">
        <v>2748</v>
      </c>
      <c r="C572" t="s">
        <v>2749</v>
      </c>
      <c r="D572" t="b">
        <v>0</v>
      </c>
      <c r="E572" t="b">
        <v>0</v>
      </c>
      <c r="F572" t="b">
        <v>1</v>
      </c>
      <c r="G572" t="b">
        <v>0</v>
      </c>
    </row>
    <row r="573" spans="1:7" x14ac:dyDescent="0.2">
      <c r="A573">
        <v>571</v>
      </c>
      <c r="B573" t="s">
        <v>2750</v>
      </c>
      <c r="C573" t="s">
        <v>2751</v>
      </c>
      <c r="D573" t="b">
        <v>0</v>
      </c>
      <c r="E573" t="b">
        <v>0</v>
      </c>
      <c r="F573" t="b">
        <v>1</v>
      </c>
      <c r="G573" t="b">
        <v>0</v>
      </c>
    </row>
    <row r="574" spans="1:7" x14ac:dyDescent="0.2">
      <c r="A574">
        <v>572</v>
      </c>
      <c r="B574" t="s">
        <v>2752</v>
      </c>
      <c r="C574" t="s">
        <v>2753</v>
      </c>
      <c r="D574" t="b">
        <v>0</v>
      </c>
      <c r="E574" t="b">
        <v>0</v>
      </c>
      <c r="F574" t="b">
        <v>1</v>
      </c>
      <c r="G574" t="b">
        <v>0</v>
      </c>
    </row>
    <row r="575" spans="1:7" x14ac:dyDescent="0.2">
      <c r="A575">
        <v>573</v>
      </c>
      <c r="B575" t="s">
        <v>2754</v>
      </c>
      <c r="C575" t="s">
        <v>2755</v>
      </c>
      <c r="D575" t="b">
        <v>0</v>
      </c>
      <c r="E575" t="b">
        <v>0</v>
      </c>
      <c r="F575" t="b">
        <v>1</v>
      </c>
      <c r="G575" t="b">
        <v>0</v>
      </c>
    </row>
    <row r="576" spans="1:7" x14ac:dyDescent="0.2">
      <c r="A576">
        <v>574</v>
      </c>
      <c r="B576" t="s">
        <v>1796</v>
      </c>
      <c r="C576" t="s">
        <v>3293</v>
      </c>
      <c r="D576" t="b">
        <v>0</v>
      </c>
      <c r="E576" t="b">
        <v>0</v>
      </c>
      <c r="F576" t="b">
        <v>1</v>
      </c>
      <c r="G576" t="b">
        <v>0</v>
      </c>
    </row>
    <row r="577" spans="1:7" x14ac:dyDescent="0.2">
      <c r="A577">
        <v>575</v>
      </c>
      <c r="B577" t="s">
        <v>2756</v>
      </c>
      <c r="C577" t="s">
        <v>3294</v>
      </c>
      <c r="D577" t="b">
        <v>0</v>
      </c>
      <c r="E577" t="b">
        <v>0</v>
      </c>
      <c r="F577" t="b">
        <v>1</v>
      </c>
      <c r="G577" t="b">
        <v>0</v>
      </c>
    </row>
    <row r="578" spans="1:7" x14ac:dyDescent="0.2">
      <c r="A578">
        <v>576</v>
      </c>
      <c r="B578" t="s">
        <v>2757</v>
      </c>
      <c r="C578" t="s">
        <v>3295</v>
      </c>
      <c r="D578" t="b">
        <v>0</v>
      </c>
      <c r="E578" t="b">
        <v>0</v>
      </c>
      <c r="F578" t="b">
        <v>1</v>
      </c>
      <c r="G578" t="b">
        <v>0</v>
      </c>
    </row>
    <row r="579" spans="1:7" x14ac:dyDescent="0.2">
      <c r="A579">
        <v>577</v>
      </c>
      <c r="B579" t="s">
        <v>2758</v>
      </c>
      <c r="C579" t="s">
        <v>3296</v>
      </c>
      <c r="D579" t="b">
        <v>0</v>
      </c>
      <c r="E579" t="b">
        <v>0</v>
      </c>
      <c r="F579" t="b">
        <v>1</v>
      </c>
      <c r="G579" t="b">
        <v>0</v>
      </c>
    </row>
    <row r="580" spans="1:7" x14ac:dyDescent="0.2">
      <c r="A580">
        <v>578</v>
      </c>
      <c r="B580" t="s">
        <v>1797</v>
      </c>
      <c r="C580" t="s">
        <v>3297</v>
      </c>
      <c r="D580" t="b">
        <v>0</v>
      </c>
      <c r="E580" t="b">
        <v>0</v>
      </c>
      <c r="F580" t="b">
        <v>1</v>
      </c>
      <c r="G580" t="b">
        <v>0</v>
      </c>
    </row>
    <row r="581" spans="1:7" x14ac:dyDescent="0.2">
      <c r="A581">
        <v>579</v>
      </c>
      <c r="B581" t="s">
        <v>2759</v>
      </c>
      <c r="C581" s="1" t="s">
        <v>2760</v>
      </c>
      <c r="D581" t="b">
        <v>0</v>
      </c>
      <c r="E581" t="b">
        <v>0</v>
      </c>
      <c r="F581" t="b">
        <v>1</v>
      </c>
      <c r="G581" t="b">
        <v>0</v>
      </c>
    </row>
    <row r="582" spans="1:7" x14ac:dyDescent="0.2">
      <c r="A582">
        <v>580</v>
      </c>
      <c r="B582" t="s">
        <v>2761</v>
      </c>
      <c r="C582" t="s">
        <v>2762</v>
      </c>
      <c r="D582" t="b">
        <v>0</v>
      </c>
      <c r="E582" t="b">
        <v>0</v>
      </c>
      <c r="F582" t="b">
        <v>1</v>
      </c>
      <c r="G582" t="b">
        <v>0</v>
      </c>
    </row>
    <row r="583" spans="1:7" x14ac:dyDescent="0.2">
      <c r="A583">
        <v>581</v>
      </c>
      <c r="B583" t="s">
        <v>2763</v>
      </c>
      <c r="C583" t="s">
        <v>3298</v>
      </c>
      <c r="D583" t="b">
        <v>0</v>
      </c>
      <c r="E583" t="b">
        <v>0</v>
      </c>
      <c r="F583" t="b">
        <v>1</v>
      </c>
      <c r="G583" t="b">
        <v>0</v>
      </c>
    </row>
    <row r="584" spans="1:7" x14ac:dyDescent="0.2">
      <c r="A584">
        <v>582</v>
      </c>
      <c r="B584" t="s">
        <v>2764</v>
      </c>
      <c r="C584" t="s">
        <v>2765</v>
      </c>
      <c r="D584" t="b">
        <v>0</v>
      </c>
      <c r="E584" t="b">
        <v>0</v>
      </c>
      <c r="F584" t="b">
        <v>1</v>
      </c>
      <c r="G584" t="b">
        <v>0</v>
      </c>
    </row>
    <row r="585" spans="1:7" x14ac:dyDescent="0.2">
      <c r="A585">
        <v>583</v>
      </c>
      <c r="B585" t="s">
        <v>1798</v>
      </c>
      <c r="C585" t="s">
        <v>3299</v>
      </c>
      <c r="D585" t="b">
        <v>0</v>
      </c>
      <c r="E585" t="b">
        <v>0</v>
      </c>
      <c r="F585" t="b">
        <v>1</v>
      </c>
      <c r="G585" t="b">
        <v>0</v>
      </c>
    </row>
    <row r="586" spans="1:7" x14ac:dyDescent="0.2">
      <c r="A586">
        <v>584</v>
      </c>
      <c r="B586" t="s">
        <v>2766</v>
      </c>
      <c r="C586" t="s">
        <v>3300</v>
      </c>
      <c r="D586" t="b">
        <v>0</v>
      </c>
      <c r="E586" t="b">
        <v>0</v>
      </c>
      <c r="F586" t="b">
        <v>1</v>
      </c>
      <c r="G586" t="b">
        <v>0</v>
      </c>
    </row>
    <row r="587" spans="1:7" x14ac:dyDescent="0.2">
      <c r="A587">
        <v>585</v>
      </c>
      <c r="B587" t="s">
        <v>2767</v>
      </c>
      <c r="C587" t="s">
        <v>3301</v>
      </c>
      <c r="D587" t="b">
        <v>0</v>
      </c>
      <c r="E587" t="b">
        <v>0</v>
      </c>
      <c r="F587" t="b">
        <v>1</v>
      </c>
      <c r="G587" t="b">
        <v>0</v>
      </c>
    </row>
    <row r="588" spans="1:7" x14ac:dyDescent="0.2">
      <c r="A588">
        <v>586</v>
      </c>
      <c r="B588" t="s">
        <v>2768</v>
      </c>
      <c r="C588" t="s">
        <v>2769</v>
      </c>
      <c r="D588" t="b">
        <v>0</v>
      </c>
      <c r="E588" t="b">
        <v>0</v>
      </c>
      <c r="F588" t="b">
        <v>1</v>
      </c>
      <c r="G588" t="b">
        <v>0</v>
      </c>
    </row>
    <row r="589" spans="1:7" x14ac:dyDescent="0.2">
      <c r="A589">
        <v>587</v>
      </c>
      <c r="B589" t="s">
        <v>1801</v>
      </c>
      <c r="C589" s="1" t="s">
        <v>3302</v>
      </c>
      <c r="D589" t="b">
        <v>0</v>
      </c>
      <c r="E589" t="b">
        <v>0</v>
      </c>
      <c r="F589" t="b">
        <v>1</v>
      </c>
      <c r="G589" t="b">
        <v>0</v>
      </c>
    </row>
    <row r="590" spans="1:7" x14ac:dyDescent="0.2">
      <c r="A590">
        <v>588</v>
      </c>
      <c r="B590" t="s">
        <v>2770</v>
      </c>
      <c r="C590" t="s">
        <v>3303</v>
      </c>
      <c r="D590" t="b">
        <v>0</v>
      </c>
      <c r="E590" t="b">
        <v>0</v>
      </c>
      <c r="F590" t="b">
        <v>1</v>
      </c>
      <c r="G590" t="b">
        <v>0</v>
      </c>
    </row>
    <row r="591" spans="1:7" x14ac:dyDescent="0.2">
      <c r="A591">
        <v>589</v>
      </c>
      <c r="B591" t="s">
        <v>2771</v>
      </c>
      <c r="C591" t="s">
        <v>2772</v>
      </c>
      <c r="D591" t="b">
        <v>0</v>
      </c>
      <c r="E591" t="b">
        <v>0</v>
      </c>
      <c r="F591" t="b">
        <v>1</v>
      </c>
      <c r="G591" t="b">
        <v>0</v>
      </c>
    </row>
    <row r="592" spans="1:7" x14ac:dyDescent="0.2">
      <c r="A592">
        <v>590</v>
      </c>
      <c r="B592" t="s">
        <v>2773</v>
      </c>
      <c r="C592" t="s">
        <v>3304</v>
      </c>
      <c r="D592" t="b">
        <v>0</v>
      </c>
      <c r="E592" t="b">
        <v>0</v>
      </c>
      <c r="F592" t="b">
        <v>1</v>
      </c>
      <c r="G592" t="b">
        <v>0</v>
      </c>
    </row>
    <row r="593" spans="1:7" x14ac:dyDescent="0.2">
      <c r="A593">
        <v>591</v>
      </c>
      <c r="B593" t="s">
        <v>2774</v>
      </c>
      <c r="C593" t="s">
        <v>2775</v>
      </c>
      <c r="D593" t="b">
        <v>0</v>
      </c>
      <c r="E593" t="b">
        <v>0</v>
      </c>
      <c r="F593" t="b">
        <v>1</v>
      </c>
      <c r="G593" t="b">
        <v>0</v>
      </c>
    </row>
    <row r="594" spans="1:7" x14ac:dyDescent="0.2">
      <c r="A594">
        <v>592</v>
      </c>
      <c r="B594" t="s">
        <v>2776</v>
      </c>
      <c r="C594" t="s">
        <v>2777</v>
      </c>
      <c r="D594" t="b">
        <v>0</v>
      </c>
      <c r="E594" t="b">
        <v>0</v>
      </c>
      <c r="F594" t="b">
        <v>1</v>
      </c>
      <c r="G594" t="b">
        <v>0</v>
      </c>
    </row>
    <row r="595" spans="1:7" x14ac:dyDescent="0.2">
      <c r="A595">
        <v>593</v>
      </c>
      <c r="B595" t="s">
        <v>2778</v>
      </c>
      <c r="C595" t="s">
        <v>3305</v>
      </c>
      <c r="D595" t="b">
        <v>0</v>
      </c>
      <c r="E595" t="b">
        <v>0</v>
      </c>
      <c r="F595" t="b">
        <v>1</v>
      </c>
      <c r="G595" t="b">
        <v>0</v>
      </c>
    </row>
    <row r="596" spans="1:7" x14ac:dyDescent="0.2">
      <c r="A596">
        <v>594</v>
      </c>
      <c r="B596" t="s">
        <v>2779</v>
      </c>
      <c r="C596" t="s">
        <v>2780</v>
      </c>
      <c r="D596" t="b">
        <v>0</v>
      </c>
      <c r="E596" t="b">
        <v>0</v>
      </c>
      <c r="F596" t="b">
        <v>1</v>
      </c>
      <c r="G596" t="b">
        <v>0</v>
      </c>
    </row>
    <row r="597" spans="1:7" x14ac:dyDescent="0.2">
      <c r="A597">
        <v>595</v>
      </c>
      <c r="B597" t="s">
        <v>2781</v>
      </c>
      <c r="C597" t="s">
        <v>2782</v>
      </c>
      <c r="D597" t="b">
        <v>0</v>
      </c>
      <c r="E597" t="b">
        <v>0</v>
      </c>
      <c r="F597" t="b">
        <v>1</v>
      </c>
      <c r="G597" t="b">
        <v>0</v>
      </c>
    </row>
    <row r="598" spans="1:7" x14ac:dyDescent="0.2">
      <c r="A598">
        <v>596</v>
      </c>
      <c r="B598" t="s">
        <v>2783</v>
      </c>
      <c r="C598" t="s">
        <v>3306</v>
      </c>
      <c r="D598" t="b">
        <v>0</v>
      </c>
      <c r="E598" t="b">
        <v>0</v>
      </c>
      <c r="F598" t="b">
        <v>1</v>
      </c>
      <c r="G598" t="b">
        <v>0</v>
      </c>
    </row>
    <row r="599" spans="1:7" x14ac:dyDescent="0.2">
      <c r="A599">
        <v>597</v>
      </c>
      <c r="B599" t="s">
        <v>1804</v>
      </c>
      <c r="C599" t="s">
        <v>3307</v>
      </c>
      <c r="D599" t="b">
        <v>0</v>
      </c>
      <c r="E599" t="b">
        <v>0</v>
      </c>
      <c r="F599" t="b">
        <v>1</v>
      </c>
      <c r="G599" t="b">
        <v>0</v>
      </c>
    </row>
    <row r="600" spans="1:7" x14ac:dyDescent="0.2">
      <c r="A600">
        <v>598</v>
      </c>
      <c r="B600" t="s">
        <v>2784</v>
      </c>
      <c r="C600" t="s">
        <v>2785</v>
      </c>
      <c r="D600" t="b">
        <v>0</v>
      </c>
      <c r="E600" t="b">
        <v>0</v>
      </c>
      <c r="F600" t="b">
        <v>1</v>
      </c>
      <c r="G600" t="b">
        <v>0</v>
      </c>
    </row>
    <row r="601" spans="1:7" x14ac:dyDescent="0.2">
      <c r="A601">
        <v>599</v>
      </c>
      <c r="B601" t="s">
        <v>2786</v>
      </c>
      <c r="C601" t="s">
        <v>2787</v>
      </c>
      <c r="D601" t="b">
        <v>0</v>
      </c>
      <c r="E601" t="b">
        <v>0</v>
      </c>
      <c r="F601" t="b">
        <v>1</v>
      </c>
      <c r="G601" t="b">
        <v>0</v>
      </c>
    </row>
    <row r="602" spans="1:7" x14ac:dyDescent="0.2">
      <c r="A602">
        <v>600</v>
      </c>
      <c r="B602" t="s">
        <v>2788</v>
      </c>
      <c r="C602" t="s">
        <v>3308</v>
      </c>
      <c r="D602" t="b">
        <v>0</v>
      </c>
      <c r="E602" t="b">
        <v>0</v>
      </c>
      <c r="F602" t="b">
        <v>1</v>
      </c>
      <c r="G602" t="b">
        <v>0</v>
      </c>
    </row>
    <row r="603" spans="1:7" x14ac:dyDescent="0.2">
      <c r="A603">
        <v>601</v>
      </c>
      <c r="B603" t="s">
        <v>1805</v>
      </c>
      <c r="C603" t="s">
        <v>3309</v>
      </c>
      <c r="D603" t="b">
        <v>0</v>
      </c>
      <c r="E603" t="b">
        <v>0</v>
      </c>
      <c r="F603" t="b">
        <v>1</v>
      </c>
      <c r="G603" t="b">
        <v>0</v>
      </c>
    </row>
    <row r="604" spans="1:7" x14ac:dyDescent="0.2">
      <c r="A604">
        <v>602</v>
      </c>
      <c r="B604" t="s">
        <v>2789</v>
      </c>
      <c r="C604" t="s">
        <v>2790</v>
      </c>
      <c r="D604" t="b">
        <v>0</v>
      </c>
      <c r="E604" t="b">
        <v>0</v>
      </c>
      <c r="F604" t="b">
        <v>1</v>
      </c>
      <c r="G604" t="b">
        <v>0</v>
      </c>
    </row>
    <row r="605" spans="1:7" x14ac:dyDescent="0.2">
      <c r="A605">
        <v>603</v>
      </c>
      <c r="B605" t="s">
        <v>2791</v>
      </c>
      <c r="C605" t="s">
        <v>2792</v>
      </c>
      <c r="D605" t="b">
        <v>0</v>
      </c>
      <c r="E605" t="b">
        <v>0</v>
      </c>
      <c r="F605" t="b">
        <v>1</v>
      </c>
      <c r="G605" t="b">
        <v>0</v>
      </c>
    </row>
    <row r="606" spans="1:7" x14ac:dyDescent="0.2">
      <c r="A606">
        <v>604</v>
      </c>
      <c r="B606" t="s">
        <v>2793</v>
      </c>
      <c r="C606" t="s">
        <v>3310</v>
      </c>
      <c r="D606" t="b">
        <v>0</v>
      </c>
      <c r="E606" t="b">
        <v>0</v>
      </c>
      <c r="F606" t="b">
        <v>1</v>
      </c>
      <c r="G606" t="b">
        <v>0</v>
      </c>
    </row>
    <row r="607" spans="1:7" x14ac:dyDescent="0.2">
      <c r="A607">
        <v>605</v>
      </c>
      <c r="B607" t="s">
        <v>2794</v>
      </c>
      <c r="C607" t="s">
        <v>2795</v>
      </c>
      <c r="D607" t="b">
        <v>0</v>
      </c>
      <c r="E607" t="b">
        <v>0</v>
      </c>
      <c r="F607" t="b">
        <v>1</v>
      </c>
      <c r="G607" t="b">
        <v>0</v>
      </c>
    </row>
    <row r="608" spans="1:7" x14ac:dyDescent="0.2">
      <c r="A608">
        <v>606</v>
      </c>
      <c r="B608" t="s">
        <v>2796</v>
      </c>
      <c r="C608" t="s">
        <v>2797</v>
      </c>
      <c r="D608" t="b">
        <v>0</v>
      </c>
      <c r="E608" t="b">
        <v>0</v>
      </c>
      <c r="F608" t="b">
        <v>1</v>
      </c>
      <c r="G608" t="b">
        <v>0</v>
      </c>
    </row>
    <row r="609" spans="1:7" x14ac:dyDescent="0.2">
      <c r="A609">
        <v>607</v>
      </c>
      <c r="B609" t="s">
        <v>2798</v>
      </c>
      <c r="C609" t="s">
        <v>2799</v>
      </c>
      <c r="D609" t="b">
        <v>0</v>
      </c>
      <c r="E609" t="b">
        <v>0</v>
      </c>
      <c r="F609" t="b">
        <v>1</v>
      </c>
      <c r="G609" t="b">
        <v>0</v>
      </c>
    </row>
    <row r="610" spans="1:7" x14ac:dyDescent="0.2">
      <c r="A610">
        <v>608</v>
      </c>
      <c r="B610" t="s">
        <v>1807</v>
      </c>
      <c r="C610" t="s">
        <v>3311</v>
      </c>
      <c r="D610" t="b">
        <v>0</v>
      </c>
      <c r="E610" t="b">
        <v>0</v>
      </c>
      <c r="F610" t="b">
        <v>1</v>
      </c>
      <c r="G610" t="b">
        <v>0</v>
      </c>
    </row>
    <row r="611" spans="1:7" x14ac:dyDescent="0.2">
      <c r="A611">
        <v>609</v>
      </c>
      <c r="B611" t="s">
        <v>2800</v>
      </c>
      <c r="C611" t="s">
        <v>3312</v>
      </c>
      <c r="D611" t="b">
        <v>0</v>
      </c>
      <c r="E611" t="b">
        <v>0</v>
      </c>
      <c r="F611" t="b">
        <v>1</v>
      </c>
      <c r="G611" t="b">
        <v>0</v>
      </c>
    </row>
    <row r="612" spans="1:7" x14ac:dyDescent="0.2">
      <c r="A612">
        <v>610</v>
      </c>
      <c r="B612" t="s">
        <v>2801</v>
      </c>
      <c r="C612" t="s">
        <v>3313</v>
      </c>
      <c r="D612" t="b">
        <v>0</v>
      </c>
      <c r="E612" t="b">
        <v>0</v>
      </c>
      <c r="F612" t="b">
        <v>1</v>
      </c>
      <c r="G612" t="b">
        <v>0</v>
      </c>
    </row>
    <row r="613" spans="1:7" x14ac:dyDescent="0.2">
      <c r="A613">
        <v>611</v>
      </c>
      <c r="B613" t="s">
        <v>1810</v>
      </c>
      <c r="C613" t="s">
        <v>3314</v>
      </c>
      <c r="D613" t="b">
        <v>0</v>
      </c>
      <c r="E613" t="b">
        <v>0</v>
      </c>
      <c r="F613" t="b">
        <v>1</v>
      </c>
      <c r="G613" t="b">
        <v>0</v>
      </c>
    </row>
    <row r="614" spans="1:7" x14ac:dyDescent="0.2">
      <c r="A614">
        <v>612</v>
      </c>
      <c r="B614" t="s">
        <v>1812</v>
      </c>
      <c r="C614" t="s">
        <v>3315</v>
      </c>
      <c r="D614" t="b">
        <v>0</v>
      </c>
      <c r="E614" t="b">
        <v>0</v>
      </c>
      <c r="F614" t="b">
        <v>1</v>
      </c>
      <c r="G614" t="b">
        <v>0</v>
      </c>
    </row>
    <row r="615" spans="1:7" x14ac:dyDescent="0.2">
      <c r="A615">
        <v>613</v>
      </c>
      <c r="B615" t="s">
        <v>1813</v>
      </c>
      <c r="C615" t="s">
        <v>3052</v>
      </c>
      <c r="D615" t="b">
        <v>0</v>
      </c>
      <c r="E615" t="b">
        <v>0</v>
      </c>
      <c r="F615" t="b">
        <v>1</v>
      </c>
      <c r="G615" t="b">
        <v>0</v>
      </c>
    </row>
    <row r="616" spans="1:7" x14ac:dyDescent="0.2">
      <c r="A616">
        <v>614</v>
      </c>
      <c r="B616" t="s">
        <v>1814</v>
      </c>
      <c r="C616" s="1" t="s">
        <v>3316</v>
      </c>
      <c r="D616" t="b">
        <v>0</v>
      </c>
      <c r="E616" t="b">
        <v>0</v>
      </c>
      <c r="F616" t="b">
        <v>1</v>
      </c>
      <c r="G616" t="b">
        <v>0</v>
      </c>
    </row>
    <row r="617" spans="1:7" x14ac:dyDescent="0.2">
      <c r="A617">
        <v>615</v>
      </c>
      <c r="B617" t="s">
        <v>2802</v>
      </c>
      <c r="C617" t="s">
        <v>2803</v>
      </c>
      <c r="D617" t="b">
        <v>0</v>
      </c>
      <c r="E617" t="b">
        <v>0</v>
      </c>
      <c r="F617" t="b">
        <v>1</v>
      </c>
      <c r="G617" t="b">
        <v>0</v>
      </c>
    </row>
    <row r="618" spans="1:7" x14ac:dyDescent="0.2">
      <c r="A618">
        <v>616</v>
      </c>
      <c r="B618" t="s">
        <v>2804</v>
      </c>
      <c r="C618" s="1" t="s">
        <v>2805</v>
      </c>
      <c r="D618" t="b">
        <v>0</v>
      </c>
      <c r="E618" t="b">
        <v>0</v>
      </c>
      <c r="F618" t="b">
        <v>1</v>
      </c>
      <c r="G618" t="b">
        <v>0</v>
      </c>
    </row>
    <row r="619" spans="1:7" x14ac:dyDescent="0.2">
      <c r="A619">
        <v>617</v>
      </c>
      <c r="B619" t="s">
        <v>2806</v>
      </c>
      <c r="C619" t="s">
        <v>3317</v>
      </c>
      <c r="D619" t="b">
        <v>0</v>
      </c>
      <c r="E619" t="b">
        <v>0</v>
      </c>
      <c r="F619" t="b">
        <v>1</v>
      </c>
      <c r="G619" t="b">
        <v>0</v>
      </c>
    </row>
    <row r="620" spans="1:7" x14ac:dyDescent="0.2">
      <c r="A620">
        <v>618</v>
      </c>
      <c r="B620" t="s">
        <v>2807</v>
      </c>
      <c r="C620" t="s">
        <v>2808</v>
      </c>
      <c r="D620" t="b">
        <v>0</v>
      </c>
      <c r="E620" t="b">
        <v>0</v>
      </c>
      <c r="F620" t="b">
        <v>1</v>
      </c>
      <c r="G620" t="b">
        <v>0</v>
      </c>
    </row>
    <row r="621" spans="1:7" x14ac:dyDescent="0.2">
      <c r="A621">
        <v>619</v>
      </c>
      <c r="B621" t="s">
        <v>2809</v>
      </c>
      <c r="C621" t="s">
        <v>3318</v>
      </c>
      <c r="D621" t="b">
        <v>0</v>
      </c>
      <c r="E621" t="b">
        <v>0</v>
      </c>
      <c r="F621" t="b">
        <v>1</v>
      </c>
      <c r="G621" t="b">
        <v>0</v>
      </c>
    </row>
    <row r="622" spans="1:7" x14ac:dyDescent="0.2">
      <c r="A622">
        <v>620</v>
      </c>
      <c r="B622" t="s">
        <v>2810</v>
      </c>
      <c r="C622" s="1" t="s">
        <v>2811</v>
      </c>
      <c r="D622" t="b">
        <v>0</v>
      </c>
      <c r="E622" t="b">
        <v>0</v>
      </c>
      <c r="F622" t="b">
        <v>1</v>
      </c>
      <c r="G622" t="b">
        <v>0</v>
      </c>
    </row>
    <row r="623" spans="1:7" x14ac:dyDescent="0.2">
      <c r="A623">
        <v>621</v>
      </c>
      <c r="B623" t="s">
        <v>2812</v>
      </c>
      <c r="C623" t="s">
        <v>2813</v>
      </c>
      <c r="D623" t="b">
        <v>0</v>
      </c>
      <c r="E623" t="b">
        <v>0</v>
      </c>
      <c r="F623" t="b">
        <v>1</v>
      </c>
      <c r="G623" t="b">
        <v>0</v>
      </c>
    </row>
    <row r="624" spans="1:7" x14ac:dyDescent="0.2">
      <c r="A624">
        <v>622</v>
      </c>
      <c r="B624" t="s">
        <v>2814</v>
      </c>
      <c r="C624" t="s">
        <v>3319</v>
      </c>
      <c r="D624" t="b">
        <v>0</v>
      </c>
      <c r="E624" t="b">
        <v>0</v>
      </c>
      <c r="F624" t="b">
        <v>1</v>
      </c>
      <c r="G624" t="b">
        <v>0</v>
      </c>
    </row>
    <row r="625" spans="1:7" x14ac:dyDescent="0.2">
      <c r="A625">
        <v>623</v>
      </c>
      <c r="B625" t="s">
        <v>2815</v>
      </c>
      <c r="C625" t="s">
        <v>3320</v>
      </c>
      <c r="D625" t="b">
        <v>0</v>
      </c>
      <c r="E625" t="b">
        <v>0</v>
      </c>
      <c r="F625" t="b">
        <v>1</v>
      </c>
      <c r="G625" t="b">
        <v>0</v>
      </c>
    </row>
    <row r="626" spans="1:7" x14ac:dyDescent="0.2">
      <c r="A626">
        <v>624</v>
      </c>
      <c r="B626" t="s">
        <v>2816</v>
      </c>
      <c r="C626" t="s">
        <v>3321</v>
      </c>
      <c r="D626" t="b">
        <v>0</v>
      </c>
      <c r="E626" t="b">
        <v>0</v>
      </c>
      <c r="F626" t="b">
        <v>1</v>
      </c>
      <c r="G626" t="b">
        <v>0</v>
      </c>
    </row>
    <row r="627" spans="1:7" x14ac:dyDescent="0.2">
      <c r="A627">
        <v>625</v>
      </c>
      <c r="B627" t="s">
        <v>2817</v>
      </c>
      <c r="C627" t="s">
        <v>2818</v>
      </c>
      <c r="D627" t="b">
        <v>0</v>
      </c>
      <c r="E627" t="b">
        <v>0</v>
      </c>
      <c r="F627" t="b">
        <v>1</v>
      </c>
      <c r="G627" t="b">
        <v>0</v>
      </c>
    </row>
    <row r="628" spans="1:7" x14ac:dyDescent="0.2">
      <c r="A628">
        <v>626</v>
      </c>
      <c r="B628" t="s">
        <v>2819</v>
      </c>
      <c r="C628" t="s">
        <v>2820</v>
      </c>
      <c r="D628" t="b">
        <v>0</v>
      </c>
      <c r="E628" t="b">
        <v>0</v>
      </c>
      <c r="F628" t="b">
        <v>1</v>
      </c>
      <c r="G628" t="b">
        <v>0</v>
      </c>
    </row>
    <row r="629" spans="1:7" x14ac:dyDescent="0.2">
      <c r="A629">
        <v>627</v>
      </c>
      <c r="B629" t="s">
        <v>2821</v>
      </c>
      <c r="C629" t="s">
        <v>3322</v>
      </c>
      <c r="D629" t="b">
        <v>0</v>
      </c>
      <c r="E629" t="b">
        <v>0</v>
      </c>
      <c r="F629" t="b">
        <v>1</v>
      </c>
      <c r="G629" t="b">
        <v>0</v>
      </c>
    </row>
    <row r="630" spans="1:7" x14ac:dyDescent="0.2">
      <c r="A630">
        <v>628</v>
      </c>
      <c r="B630" t="s">
        <v>2822</v>
      </c>
      <c r="C630" t="s">
        <v>2823</v>
      </c>
      <c r="D630" t="b">
        <v>0</v>
      </c>
      <c r="E630" t="b">
        <v>0</v>
      </c>
      <c r="F630" t="b">
        <v>1</v>
      </c>
      <c r="G630" t="b">
        <v>0</v>
      </c>
    </row>
    <row r="631" spans="1:7" x14ac:dyDescent="0.2">
      <c r="A631">
        <v>629</v>
      </c>
      <c r="B631" t="s">
        <v>2824</v>
      </c>
      <c r="C631" t="s">
        <v>2825</v>
      </c>
      <c r="D631" t="b">
        <v>0</v>
      </c>
      <c r="E631" t="b">
        <v>0</v>
      </c>
      <c r="F631" t="b">
        <v>1</v>
      </c>
      <c r="G631" t="b">
        <v>0</v>
      </c>
    </row>
    <row r="632" spans="1:7" x14ac:dyDescent="0.2">
      <c r="A632">
        <v>630</v>
      </c>
      <c r="B632" t="s">
        <v>2826</v>
      </c>
      <c r="C632" t="s">
        <v>3323</v>
      </c>
      <c r="D632" t="b">
        <v>0</v>
      </c>
      <c r="E632" t="b">
        <v>0</v>
      </c>
      <c r="F632" t="b">
        <v>1</v>
      </c>
      <c r="G632" t="b">
        <v>0</v>
      </c>
    </row>
    <row r="633" spans="1:7" x14ac:dyDescent="0.2">
      <c r="A633">
        <v>631</v>
      </c>
      <c r="B633" t="s">
        <v>2827</v>
      </c>
      <c r="C633" t="s">
        <v>2828</v>
      </c>
      <c r="D633" t="b">
        <v>0</v>
      </c>
      <c r="E633" t="b">
        <v>0</v>
      </c>
      <c r="F633" t="b">
        <v>1</v>
      </c>
      <c r="G633" t="b">
        <v>0</v>
      </c>
    </row>
    <row r="634" spans="1:7" x14ac:dyDescent="0.2">
      <c r="A634">
        <v>632</v>
      </c>
      <c r="B634" t="s">
        <v>2829</v>
      </c>
      <c r="C634" t="s">
        <v>3324</v>
      </c>
      <c r="D634" t="b">
        <v>0</v>
      </c>
      <c r="E634" t="b">
        <v>0</v>
      </c>
      <c r="F634" t="b">
        <v>1</v>
      </c>
      <c r="G634" t="b">
        <v>0</v>
      </c>
    </row>
    <row r="635" spans="1:7" x14ac:dyDescent="0.2">
      <c r="A635">
        <v>633</v>
      </c>
      <c r="B635" t="s">
        <v>1817</v>
      </c>
      <c r="C635" t="s">
        <v>3325</v>
      </c>
      <c r="D635" t="b">
        <v>0</v>
      </c>
      <c r="E635" t="b">
        <v>0</v>
      </c>
      <c r="F635" t="b">
        <v>1</v>
      </c>
      <c r="G635" t="b">
        <v>0</v>
      </c>
    </row>
    <row r="636" spans="1:7" x14ac:dyDescent="0.2">
      <c r="A636">
        <v>634</v>
      </c>
      <c r="B636" t="s">
        <v>2830</v>
      </c>
      <c r="C636" t="s">
        <v>3326</v>
      </c>
      <c r="D636" t="b">
        <v>0</v>
      </c>
      <c r="E636" t="b">
        <v>0</v>
      </c>
      <c r="F636" t="b">
        <v>1</v>
      </c>
      <c r="G636" t="b">
        <v>0</v>
      </c>
    </row>
    <row r="637" spans="1:7" x14ac:dyDescent="0.2">
      <c r="A637">
        <v>635</v>
      </c>
      <c r="B637" t="s">
        <v>2831</v>
      </c>
      <c r="C637" t="s">
        <v>2832</v>
      </c>
      <c r="D637" t="b">
        <v>0</v>
      </c>
      <c r="E637" t="b">
        <v>0</v>
      </c>
      <c r="F637" t="b">
        <v>1</v>
      </c>
      <c r="G637" t="b">
        <v>0</v>
      </c>
    </row>
    <row r="638" spans="1:7" x14ac:dyDescent="0.2">
      <c r="A638">
        <v>636</v>
      </c>
      <c r="B638" t="s">
        <v>2833</v>
      </c>
      <c r="C638" t="s">
        <v>2834</v>
      </c>
      <c r="D638" t="b">
        <v>0</v>
      </c>
      <c r="E638" t="b">
        <v>0</v>
      </c>
      <c r="F638" t="b">
        <v>1</v>
      </c>
      <c r="G638" t="b">
        <v>0</v>
      </c>
    </row>
    <row r="639" spans="1:7" x14ac:dyDescent="0.2">
      <c r="A639">
        <v>637</v>
      </c>
      <c r="B639" t="s">
        <v>2835</v>
      </c>
      <c r="C639" t="s">
        <v>2836</v>
      </c>
      <c r="D639" t="b">
        <v>0</v>
      </c>
      <c r="E639" t="b">
        <v>0</v>
      </c>
      <c r="F639" t="b">
        <v>1</v>
      </c>
      <c r="G639" t="b">
        <v>0</v>
      </c>
    </row>
    <row r="640" spans="1:7" x14ac:dyDescent="0.2">
      <c r="A640">
        <v>638</v>
      </c>
      <c r="B640" t="s">
        <v>1819</v>
      </c>
      <c r="C640" t="s">
        <v>3327</v>
      </c>
      <c r="D640" t="b">
        <v>0</v>
      </c>
      <c r="E640" t="b">
        <v>0</v>
      </c>
      <c r="F640" t="b">
        <v>1</v>
      </c>
      <c r="G640" t="b">
        <v>0</v>
      </c>
    </row>
    <row r="641" spans="1:7" x14ac:dyDescent="0.2">
      <c r="A641">
        <v>639</v>
      </c>
      <c r="B641" t="s">
        <v>2837</v>
      </c>
      <c r="C641" t="s">
        <v>2838</v>
      </c>
      <c r="D641" t="b">
        <v>0</v>
      </c>
      <c r="E641" t="b">
        <v>0</v>
      </c>
      <c r="F641" t="b">
        <v>1</v>
      </c>
      <c r="G641" t="b">
        <v>0</v>
      </c>
    </row>
    <row r="642" spans="1:7" x14ac:dyDescent="0.2">
      <c r="A642">
        <v>640</v>
      </c>
      <c r="B642" t="s">
        <v>2839</v>
      </c>
      <c r="C642" t="s">
        <v>3328</v>
      </c>
      <c r="D642" t="b">
        <v>0</v>
      </c>
      <c r="E642" t="b">
        <v>0</v>
      </c>
      <c r="F642" t="b">
        <v>1</v>
      </c>
      <c r="G642" t="b">
        <v>0</v>
      </c>
    </row>
    <row r="643" spans="1:7" x14ac:dyDescent="0.2">
      <c r="A643">
        <v>641</v>
      </c>
      <c r="B643" t="s">
        <v>1820</v>
      </c>
      <c r="C643" t="s">
        <v>3329</v>
      </c>
      <c r="D643" t="b">
        <v>0</v>
      </c>
      <c r="E643" t="b">
        <v>0</v>
      </c>
      <c r="F643" t="b">
        <v>1</v>
      </c>
      <c r="G643" t="b">
        <v>0</v>
      </c>
    </row>
    <row r="644" spans="1:7" x14ac:dyDescent="0.2">
      <c r="A644">
        <v>642</v>
      </c>
      <c r="B644" t="s">
        <v>2840</v>
      </c>
      <c r="C644" t="s">
        <v>2841</v>
      </c>
      <c r="D644" t="b">
        <v>0</v>
      </c>
      <c r="E644" t="b">
        <v>0</v>
      </c>
      <c r="F644" t="b">
        <v>1</v>
      </c>
      <c r="G644" t="b">
        <v>0</v>
      </c>
    </row>
    <row r="645" spans="1:7" x14ac:dyDescent="0.2">
      <c r="A645">
        <v>643</v>
      </c>
      <c r="B645" t="s">
        <v>2842</v>
      </c>
      <c r="C645" t="s">
        <v>2843</v>
      </c>
      <c r="D645" t="b">
        <v>0</v>
      </c>
      <c r="E645" t="b">
        <v>0</v>
      </c>
      <c r="F645" t="b">
        <v>1</v>
      </c>
      <c r="G645" t="b">
        <v>0</v>
      </c>
    </row>
    <row r="646" spans="1:7" x14ac:dyDescent="0.2">
      <c r="A646">
        <v>644</v>
      </c>
      <c r="B646" t="s">
        <v>2844</v>
      </c>
      <c r="C646" t="s">
        <v>3330</v>
      </c>
      <c r="D646" t="b">
        <v>0</v>
      </c>
      <c r="E646" t="b">
        <v>0</v>
      </c>
      <c r="F646" t="b">
        <v>1</v>
      </c>
      <c r="G646" t="b">
        <v>0</v>
      </c>
    </row>
    <row r="647" spans="1:7" x14ac:dyDescent="0.2">
      <c r="A647">
        <v>645</v>
      </c>
      <c r="B647" t="s">
        <v>2845</v>
      </c>
      <c r="C647" t="s">
        <v>3331</v>
      </c>
      <c r="D647" t="b">
        <v>0</v>
      </c>
      <c r="E647" t="b">
        <v>0</v>
      </c>
      <c r="F647" t="b">
        <v>1</v>
      </c>
      <c r="G647" t="b">
        <v>0</v>
      </c>
    </row>
    <row r="648" spans="1:7" x14ac:dyDescent="0.2">
      <c r="A648">
        <v>646</v>
      </c>
      <c r="B648" t="s">
        <v>2846</v>
      </c>
      <c r="C648" t="s">
        <v>2847</v>
      </c>
      <c r="D648" t="b">
        <v>0</v>
      </c>
      <c r="E648" t="b">
        <v>0</v>
      </c>
      <c r="F648" t="b">
        <v>1</v>
      </c>
      <c r="G648" t="b">
        <v>0</v>
      </c>
    </row>
    <row r="649" spans="1:7" x14ac:dyDescent="0.2">
      <c r="A649">
        <v>647</v>
      </c>
      <c r="B649" t="s">
        <v>2848</v>
      </c>
      <c r="C649" t="s">
        <v>3332</v>
      </c>
      <c r="D649" t="b">
        <v>0</v>
      </c>
      <c r="E649" t="b">
        <v>0</v>
      </c>
      <c r="F649" t="b">
        <v>1</v>
      </c>
      <c r="G649" t="b">
        <v>0</v>
      </c>
    </row>
    <row r="650" spans="1:7" x14ac:dyDescent="0.2">
      <c r="A650">
        <v>648</v>
      </c>
      <c r="B650" t="s">
        <v>2849</v>
      </c>
      <c r="C650" t="s">
        <v>2850</v>
      </c>
      <c r="D650" t="b">
        <v>0</v>
      </c>
      <c r="E650" t="b">
        <v>0</v>
      </c>
      <c r="F650" t="b">
        <v>1</v>
      </c>
      <c r="G650" t="b">
        <v>0</v>
      </c>
    </row>
    <row r="651" spans="1:7" x14ac:dyDescent="0.2">
      <c r="A651">
        <v>649</v>
      </c>
      <c r="B651" t="s">
        <v>1822</v>
      </c>
      <c r="C651" t="s">
        <v>3333</v>
      </c>
      <c r="D651" t="b">
        <v>0</v>
      </c>
      <c r="E651" t="b">
        <v>0</v>
      </c>
      <c r="F651" t="b">
        <v>1</v>
      </c>
      <c r="G651" t="b">
        <v>0</v>
      </c>
    </row>
    <row r="652" spans="1:7" x14ac:dyDescent="0.2">
      <c r="A652">
        <v>650</v>
      </c>
      <c r="B652" t="s">
        <v>2851</v>
      </c>
      <c r="C652" t="s">
        <v>2852</v>
      </c>
      <c r="D652" t="b">
        <v>0</v>
      </c>
      <c r="E652" t="b">
        <v>0</v>
      </c>
      <c r="F652" t="b">
        <v>1</v>
      </c>
      <c r="G652" t="b">
        <v>0</v>
      </c>
    </row>
    <row r="653" spans="1:7" x14ac:dyDescent="0.2">
      <c r="A653">
        <v>651</v>
      </c>
      <c r="B653" t="s">
        <v>2853</v>
      </c>
      <c r="C653" t="s">
        <v>2854</v>
      </c>
      <c r="D653" t="b">
        <v>0</v>
      </c>
      <c r="E653" t="b">
        <v>0</v>
      </c>
      <c r="F653" t="b">
        <v>1</v>
      </c>
      <c r="G653" t="b">
        <v>0</v>
      </c>
    </row>
    <row r="654" spans="1:7" x14ac:dyDescent="0.2">
      <c r="A654">
        <v>652</v>
      </c>
      <c r="B654" t="s">
        <v>2855</v>
      </c>
      <c r="C654" t="s">
        <v>3334</v>
      </c>
      <c r="D654" t="b">
        <v>0</v>
      </c>
      <c r="E654" t="b">
        <v>0</v>
      </c>
      <c r="F654" t="b">
        <v>1</v>
      </c>
      <c r="G654" t="b">
        <v>0</v>
      </c>
    </row>
    <row r="655" spans="1:7" x14ac:dyDescent="0.2">
      <c r="A655">
        <v>653</v>
      </c>
      <c r="B655" t="s">
        <v>1824</v>
      </c>
      <c r="C655" t="s">
        <v>3335</v>
      </c>
      <c r="D655" t="b">
        <v>0</v>
      </c>
      <c r="E655" t="b">
        <v>0</v>
      </c>
      <c r="F655" t="b">
        <v>1</v>
      </c>
      <c r="G655" t="b">
        <v>0</v>
      </c>
    </row>
    <row r="656" spans="1:7" x14ac:dyDescent="0.2">
      <c r="A656">
        <v>654</v>
      </c>
      <c r="B656" t="s">
        <v>1825</v>
      </c>
      <c r="C656" t="s">
        <v>3336</v>
      </c>
      <c r="D656" t="b">
        <v>0</v>
      </c>
      <c r="E656" t="b">
        <v>0</v>
      </c>
      <c r="F656" t="b">
        <v>1</v>
      </c>
      <c r="G656" t="b">
        <v>0</v>
      </c>
    </row>
    <row r="657" spans="1:7" x14ac:dyDescent="0.2">
      <c r="A657">
        <v>655</v>
      </c>
      <c r="B657" t="s">
        <v>2856</v>
      </c>
      <c r="C657" t="s">
        <v>3337</v>
      </c>
      <c r="D657" t="b">
        <v>0</v>
      </c>
      <c r="E657" t="b">
        <v>0</v>
      </c>
      <c r="F657" t="b">
        <v>1</v>
      </c>
      <c r="G657" t="b">
        <v>0</v>
      </c>
    </row>
    <row r="658" spans="1:7" x14ac:dyDescent="0.2">
      <c r="A658">
        <v>656</v>
      </c>
      <c r="B658" t="s">
        <v>2857</v>
      </c>
      <c r="C658" t="s">
        <v>2858</v>
      </c>
      <c r="D658" t="b">
        <v>0</v>
      </c>
      <c r="E658" t="b">
        <v>0</v>
      </c>
      <c r="F658" t="b">
        <v>1</v>
      </c>
      <c r="G658" t="b">
        <v>0</v>
      </c>
    </row>
    <row r="659" spans="1:7" x14ac:dyDescent="0.2">
      <c r="A659">
        <v>657</v>
      </c>
      <c r="B659" t="s">
        <v>2859</v>
      </c>
      <c r="C659" t="s">
        <v>3338</v>
      </c>
      <c r="D659" t="b">
        <v>0</v>
      </c>
      <c r="E659" t="b">
        <v>0</v>
      </c>
      <c r="F659" t="b">
        <v>1</v>
      </c>
      <c r="G659" t="b">
        <v>0</v>
      </c>
    </row>
    <row r="660" spans="1:7" x14ac:dyDescent="0.2">
      <c r="A660">
        <v>658</v>
      </c>
      <c r="B660" t="s">
        <v>2860</v>
      </c>
      <c r="C660" t="s">
        <v>2861</v>
      </c>
      <c r="D660" t="b">
        <v>0</v>
      </c>
      <c r="E660" t="b">
        <v>0</v>
      </c>
      <c r="F660" t="b">
        <v>1</v>
      </c>
      <c r="G660" t="b">
        <v>0</v>
      </c>
    </row>
    <row r="661" spans="1:7" x14ac:dyDescent="0.2">
      <c r="A661">
        <v>659</v>
      </c>
      <c r="B661" t="s">
        <v>1826</v>
      </c>
      <c r="C661" t="s">
        <v>9407</v>
      </c>
      <c r="D661" t="b">
        <v>0</v>
      </c>
      <c r="E661" t="b">
        <v>0</v>
      </c>
      <c r="F661" t="b">
        <v>1</v>
      </c>
      <c r="G661" t="b">
        <v>0</v>
      </c>
    </row>
    <row r="662" spans="1:7" x14ac:dyDescent="0.2">
      <c r="A662">
        <v>660</v>
      </c>
      <c r="B662" t="s">
        <v>1827</v>
      </c>
      <c r="C662" t="s">
        <v>3339</v>
      </c>
      <c r="D662" t="b">
        <v>0</v>
      </c>
      <c r="E662" t="b">
        <v>0</v>
      </c>
      <c r="F662" t="b">
        <v>1</v>
      </c>
      <c r="G662" t="b">
        <v>0</v>
      </c>
    </row>
    <row r="663" spans="1:7" x14ac:dyDescent="0.2">
      <c r="A663">
        <v>661</v>
      </c>
      <c r="B663" t="s">
        <v>2862</v>
      </c>
      <c r="C663" t="s">
        <v>3340</v>
      </c>
      <c r="D663" t="b">
        <v>0</v>
      </c>
      <c r="E663" t="b">
        <v>0</v>
      </c>
      <c r="F663" t="b">
        <v>1</v>
      </c>
      <c r="G663" t="b">
        <v>0</v>
      </c>
    </row>
    <row r="664" spans="1:7" x14ac:dyDescent="0.2">
      <c r="A664">
        <v>662</v>
      </c>
      <c r="B664" t="s">
        <v>1830</v>
      </c>
      <c r="C664" t="s">
        <v>3341</v>
      </c>
      <c r="D664" t="b">
        <v>0</v>
      </c>
      <c r="E664" t="b">
        <v>0</v>
      </c>
      <c r="F664" t="b">
        <v>1</v>
      </c>
      <c r="G664" t="b">
        <v>0</v>
      </c>
    </row>
    <row r="665" spans="1:7" x14ac:dyDescent="0.2">
      <c r="A665">
        <v>663</v>
      </c>
      <c r="B665" t="s">
        <v>2863</v>
      </c>
      <c r="C665" t="s">
        <v>2864</v>
      </c>
      <c r="D665" t="b">
        <v>0</v>
      </c>
      <c r="E665" t="b">
        <v>0</v>
      </c>
      <c r="F665" t="b">
        <v>1</v>
      </c>
      <c r="G665" t="b">
        <v>0</v>
      </c>
    </row>
    <row r="666" spans="1:7" x14ac:dyDescent="0.2">
      <c r="A666">
        <v>664</v>
      </c>
      <c r="B666" t="s">
        <v>2865</v>
      </c>
      <c r="C666" t="s">
        <v>2866</v>
      </c>
      <c r="D666" t="b">
        <v>0</v>
      </c>
      <c r="E666" t="b">
        <v>0</v>
      </c>
      <c r="F666" t="b">
        <v>1</v>
      </c>
      <c r="G666" t="b">
        <v>0</v>
      </c>
    </row>
    <row r="667" spans="1:7" x14ac:dyDescent="0.2">
      <c r="A667">
        <v>665</v>
      </c>
      <c r="B667" t="s">
        <v>2867</v>
      </c>
      <c r="C667" t="s">
        <v>3342</v>
      </c>
      <c r="D667" t="b">
        <v>0</v>
      </c>
      <c r="E667" t="b">
        <v>0</v>
      </c>
      <c r="F667" t="b">
        <v>1</v>
      </c>
      <c r="G667" t="b">
        <v>0</v>
      </c>
    </row>
    <row r="668" spans="1:7" x14ac:dyDescent="0.2">
      <c r="A668">
        <v>666</v>
      </c>
      <c r="B668" t="s">
        <v>2868</v>
      </c>
      <c r="C668" t="s">
        <v>2869</v>
      </c>
      <c r="D668" t="b">
        <v>0</v>
      </c>
      <c r="E668" t="b">
        <v>0</v>
      </c>
      <c r="F668" t="b">
        <v>1</v>
      </c>
      <c r="G668" t="b">
        <v>0</v>
      </c>
    </row>
    <row r="669" spans="1:7" x14ac:dyDescent="0.2">
      <c r="A669">
        <v>667</v>
      </c>
      <c r="B669" t="s">
        <v>2870</v>
      </c>
      <c r="C669" t="s">
        <v>3343</v>
      </c>
      <c r="D669" t="b">
        <v>0</v>
      </c>
      <c r="E669" t="b">
        <v>0</v>
      </c>
      <c r="F669" t="b">
        <v>1</v>
      </c>
      <c r="G669" t="b">
        <v>0</v>
      </c>
    </row>
    <row r="670" spans="1:7" x14ac:dyDescent="0.2">
      <c r="A670">
        <v>668</v>
      </c>
      <c r="B670" t="s">
        <v>1832</v>
      </c>
      <c r="C670" t="s">
        <v>3344</v>
      </c>
      <c r="D670" t="b">
        <v>0</v>
      </c>
      <c r="E670" t="b">
        <v>0</v>
      </c>
      <c r="F670" t="b">
        <v>1</v>
      </c>
      <c r="G670" t="b">
        <v>0</v>
      </c>
    </row>
    <row r="671" spans="1:7" x14ac:dyDescent="0.2">
      <c r="A671">
        <v>669</v>
      </c>
      <c r="B671" t="s">
        <v>2871</v>
      </c>
      <c r="C671" t="s">
        <v>2872</v>
      </c>
      <c r="D671" t="b">
        <v>0</v>
      </c>
      <c r="E671" t="b">
        <v>0</v>
      </c>
      <c r="F671" t="b">
        <v>1</v>
      </c>
      <c r="G671" t="b">
        <v>0</v>
      </c>
    </row>
    <row r="672" spans="1:7" x14ac:dyDescent="0.2">
      <c r="A672">
        <v>670</v>
      </c>
      <c r="B672" t="s">
        <v>1833</v>
      </c>
      <c r="C672" t="s">
        <v>3345</v>
      </c>
      <c r="D672" t="b">
        <v>0</v>
      </c>
      <c r="E672" t="b">
        <v>0</v>
      </c>
      <c r="F672" t="b">
        <v>1</v>
      </c>
      <c r="G672" t="b">
        <v>0</v>
      </c>
    </row>
    <row r="673" spans="1:7" x14ac:dyDescent="0.2">
      <c r="A673">
        <v>671</v>
      </c>
      <c r="B673" t="s">
        <v>1834</v>
      </c>
      <c r="C673" t="s">
        <v>3346</v>
      </c>
      <c r="D673" t="b">
        <v>0</v>
      </c>
      <c r="E673" t="b">
        <v>0</v>
      </c>
      <c r="F673" t="b">
        <v>1</v>
      </c>
      <c r="G673" t="b">
        <v>0</v>
      </c>
    </row>
    <row r="674" spans="1:7" x14ac:dyDescent="0.2">
      <c r="A674">
        <v>672</v>
      </c>
      <c r="B674" t="s">
        <v>2873</v>
      </c>
      <c r="C674" t="s">
        <v>3347</v>
      </c>
      <c r="D674" t="b">
        <v>0</v>
      </c>
      <c r="E674" t="b">
        <v>0</v>
      </c>
      <c r="F674" t="b">
        <v>1</v>
      </c>
      <c r="G674" t="b">
        <v>0</v>
      </c>
    </row>
    <row r="675" spans="1:7" x14ac:dyDescent="0.2">
      <c r="A675">
        <v>673</v>
      </c>
      <c r="B675" t="s">
        <v>2874</v>
      </c>
      <c r="C675" t="s">
        <v>3348</v>
      </c>
      <c r="D675" t="b">
        <v>0</v>
      </c>
      <c r="E675" t="b">
        <v>0</v>
      </c>
      <c r="F675" t="b">
        <v>1</v>
      </c>
      <c r="G675" t="b">
        <v>0</v>
      </c>
    </row>
    <row r="676" spans="1:7" x14ac:dyDescent="0.2">
      <c r="A676">
        <v>674</v>
      </c>
      <c r="B676" t="s">
        <v>2875</v>
      </c>
      <c r="C676" t="s">
        <v>2876</v>
      </c>
      <c r="D676" t="b">
        <v>0</v>
      </c>
      <c r="E676" t="b">
        <v>0</v>
      </c>
      <c r="F676" t="b">
        <v>1</v>
      </c>
      <c r="G676" t="b">
        <v>0</v>
      </c>
    </row>
    <row r="677" spans="1:7" x14ac:dyDescent="0.2">
      <c r="A677">
        <v>675</v>
      </c>
      <c r="B677" t="s">
        <v>1837</v>
      </c>
      <c r="C677" t="s">
        <v>3349</v>
      </c>
      <c r="D677" t="b">
        <v>0</v>
      </c>
      <c r="E677" t="b">
        <v>0</v>
      </c>
      <c r="F677" t="b">
        <v>1</v>
      </c>
      <c r="G677" t="b">
        <v>0</v>
      </c>
    </row>
    <row r="678" spans="1:7" x14ac:dyDescent="0.2">
      <c r="A678">
        <v>676</v>
      </c>
      <c r="B678" t="s">
        <v>2877</v>
      </c>
      <c r="C678" t="s">
        <v>2878</v>
      </c>
      <c r="D678" t="b">
        <v>0</v>
      </c>
      <c r="E678" t="b">
        <v>0</v>
      </c>
      <c r="F678" t="b">
        <v>1</v>
      </c>
      <c r="G678" t="b">
        <v>0</v>
      </c>
    </row>
    <row r="679" spans="1:7" x14ac:dyDescent="0.2">
      <c r="A679">
        <v>677</v>
      </c>
      <c r="B679" t="s">
        <v>1839</v>
      </c>
      <c r="C679" t="s">
        <v>3350</v>
      </c>
      <c r="D679" t="b">
        <v>0</v>
      </c>
      <c r="E679" t="b">
        <v>0</v>
      </c>
      <c r="F679" t="b">
        <v>1</v>
      </c>
      <c r="G679" t="b">
        <v>0</v>
      </c>
    </row>
    <row r="680" spans="1:7" x14ac:dyDescent="0.2">
      <c r="A680">
        <v>678</v>
      </c>
      <c r="B680" t="s">
        <v>2879</v>
      </c>
      <c r="C680" t="s">
        <v>2880</v>
      </c>
      <c r="D680" t="b">
        <v>0</v>
      </c>
      <c r="E680" t="b">
        <v>0</v>
      </c>
      <c r="F680" t="b">
        <v>1</v>
      </c>
      <c r="G680" t="b">
        <v>0</v>
      </c>
    </row>
    <row r="681" spans="1:7" x14ac:dyDescent="0.2">
      <c r="A681">
        <v>679</v>
      </c>
      <c r="B681" t="s">
        <v>2881</v>
      </c>
      <c r="C681" t="s">
        <v>3229</v>
      </c>
      <c r="D681" t="b">
        <v>0</v>
      </c>
      <c r="E681" t="b">
        <v>0</v>
      </c>
      <c r="F681" t="b">
        <v>1</v>
      </c>
      <c r="G681" t="b">
        <v>0</v>
      </c>
    </row>
    <row r="682" spans="1:7" x14ac:dyDescent="0.2">
      <c r="A682">
        <v>680</v>
      </c>
      <c r="B682" t="s">
        <v>2882</v>
      </c>
      <c r="C682" t="s">
        <v>2883</v>
      </c>
      <c r="D682" t="b">
        <v>0</v>
      </c>
      <c r="E682" t="b">
        <v>0</v>
      </c>
      <c r="F682" t="b">
        <v>1</v>
      </c>
      <c r="G682" t="b">
        <v>0</v>
      </c>
    </row>
    <row r="683" spans="1:7" x14ac:dyDescent="0.2">
      <c r="A683">
        <v>681</v>
      </c>
      <c r="B683" t="s">
        <v>2884</v>
      </c>
      <c r="C683" t="s">
        <v>2885</v>
      </c>
      <c r="D683" t="b">
        <v>0</v>
      </c>
      <c r="E683" t="b">
        <v>0</v>
      </c>
      <c r="F683" t="b">
        <v>1</v>
      </c>
      <c r="G683" t="b">
        <v>0</v>
      </c>
    </row>
    <row r="684" spans="1:7" x14ac:dyDescent="0.2">
      <c r="A684">
        <v>682</v>
      </c>
      <c r="B684" t="s">
        <v>1840</v>
      </c>
      <c r="C684" t="s">
        <v>3351</v>
      </c>
      <c r="D684" t="b">
        <v>0</v>
      </c>
      <c r="E684" t="b">
        <v>0</v>
      </c>
      <c r="F684" t="b">
        <v>1</v>
      </c>
      <c r="G684" t="b">
        <v>0</v>
      </c>
    </row>
    <row r="685" spans="1:7" x14ac:dyDescent="0.2">
      <c r="A685">
        <v>683</v>
      </c>
      <c r="B685" t="s">
        <v>2886</v>
      </c>
      <c r="C685" t="s">
        <v>3352</v>
      </c>
      <c r="D685" t="b">
        <v>0</v>
      </c>
      <c r="E685" t="b">
        <v>0</v>
      </c>
      <c r="F685" t="b">
        <v>1</v>
      </c>
      <c r="G685" t="b">
        <v>0</v>
      </c>
    </row>
    <row r="686" spans="1:7" x14ac:dyDescent="0.2">
      <c r="A686">
        <v>684</v>
      </c>
      <c r="B686" t="s">
        <v>2887</v>
      </c>
      <c r="C686" t="s">
        <v>2888</v>
      </c>
      <c r="D686" t="b">
        <v>0</v>
      </c>
      <c r="E686" t="b">
        <v>0</v>
      </c>
      <c r="F686" t="b">
        <v>1</v>
      </c>
      <c r="G686" t="b">
        <v>0</v>
      </c>
    </row>
    <row r="687" spans="1:7" x14ac:dyDescent="0.2">
      <c r="A687">
        <v>685</v>
      </c>
      <c r="B687" t="s">
        <v>2889</v>
      </c>
      <c r="C687" t="s">
        <v>3353</v>
      </c>
      <c r="D687" t="b">
        <v>0</v>
      </c>
      <c r="E687" t="b">
        <v>0</v>
      </c>
      <c r="F687" t="b">
        <v>1</v>
      </c>
      <c r="G687" t="b">
        <v>0</v>
      </c>
    </row>
    <row r="688" spans="1:7" x14ac:dyDescent="0.2">
      <c r="A688">
        <v>686</v>
      </c>
      <c r="B688" t="s">
        <v>2890</v>
      </c>
      <c r="C688" t="s">
        <v>2891</v>
      </c>
      <c r="D688" t="b">
        <v>0</v>
      </c>
      <c r="E688" t="b">
        <v>0</v>
      </c>
      <c r="F688" t="b">
        <v>1</v>
      </c>
      <c r="G688" t="b">
        <v>0</v>
      </c>
    </row>
    <row r="689" spans="1:7" x14ac:dyDescent="0.2">
      <c r="A689">
        <v>687</v>
      </c>
      <c r="B689" t="s">
        <v>2892</v>
      </c>
      <c r="C689" t="s">
        <v>2893</v>
      </c>
      <c r="D689" t="b">
        <v>0</v>
      </c>
      <c r="E689" t="b">
        <v>0</v>
      </c>
      <c r="F689" t="b">
        <v>1</v>
      </c>
      <c r="G689" t="b">
        <v>0</v>
      </c>
    </row>
    <row r="690" spans="1:7" x14ac:dyDescent="0.2">
      <c r="A690">
        <v>688</v>
      </c>
      <c r="B690" t="s">
        <v>2894</v>
      </c>
      <c r="C690" t="s">
        <v>3354</v>
      </c>
      <c r="D690" t="b">
        <v>0</v>
      </c>
      <c r="E690" t="b">
        <v>0</v>
      </c>
      <c r="F690" t="b">
        <v>1</v>
      </c>
      <c r="G690" t="b">
        <v>0</v>
      </c>
    </row>
    <row r="691" spans="1:7" x14ac:dyDescent="0.2">
      <c r="A691">
        <v>689</v>
      </c>
      <c r="B691" t="s">
        <v>1843</v>
      </c>
      <c r="C691" t="s">
        <v>3355</v>
      </c>
      <c r="D691" t="b">
        <v>0</v>
      </c>
      <c r="E691" t="b">
        <v>0</v>
      </c>
      <c r="F691" t="b">
        <v>1</v>
      </c>
      <c r="G691" t="b">
        <v>0</v>
      </c>
    </row>
    <row r="692" spans="1:7" x14ac:dyDescent="0.2">
      <c r="A692">
        <v>690</v>
      </c>
      <c r="B692" t="s">
        <v>2895</v>
      </c>
      <c r="C692" t="s">
        <v>3356</v>
      </c>
      <c r="D692" t="b">
        <v>0</v>
      </c>
      <c r="E692" t="b">
        <v>0</v>
      </c>
      <c r="F692" t="b">
        <v>1</v>
      </c>
      <c r="G692" t="b">
        <v>0</v>
      </c>
    </row>
    <row r="693" spans="1:7" x14ac:dyDescent="0.2">
      <c r="A693">
        <v>691</v>
      </c>
      <c r="B693" t="s">
        <v>2896</v>
      </c>
      <c r="C693" s="1" t="s">
        <v>2897</v>
      </c>
      <c r="D693" t="b">
        <v>0</v>
      </c>
      <c r="E693" t="b">
        <v>0</v>
      </c>
      <c r="F693" t="b">
        <v>1</v>
      </c>
      <c r="G693" t="b">
        <v>0</v>
      </c>
    </row>
    <row r="694" spans="1:7" x14ac:dyDescent="0.2">
      <c r="A694">
        <v>692</v>
      </c>
      <c r="B694" t="s">
        <v>2898</v>
      </c>
      <c r="C694" t="s">
        <v>2899</v>
      </c>
      <c r="D694" t="b">
        <v>0</v>
      </c>
      <c r="E694" t="b">
        <v>0</v>
      </c>
      <c r="F694" t="b">
        <v>1</v>
      </c>
      <c r="G694" t="b">
        <v>0</v>
      </c>
    </row>
    <row r="695" spans="1:7" x14ac:dyDescent="0.2">
      <c r="A695">
        <v>693</v>
      </c>
      <c r="B695" t="s">
        <v>1844</v>
      </c>
      <c r="C695" t="s">
        <v>3357</v>
      </c>
      <c r="D695" t="b">
        <v>0</v>
      </c>
      <c r="E695" t="b">
        <v>0</v>
      </c>
      <c r="F695" t="b">
        <v>1</v>
      </c>
      <c r="G695" t="b">
        <v>0</v>
      </c>
    </row>
    <row r="696" spans="1:7" x14ac:dyDescent="0.2">
      <c r="A696">
        <v>694</v>
      </c>
      <c r="B696" t="s">
        <v>2900</v>
      </c>
      <c r="C696" t="s">
        <v>2901</v>
      </c>
      <c r="D696" t="b">
        <v>0</v>
      </c>
      <c r="E696" t="b">
        <v>0</v>
      </c>
      <c r="F696" t="b">
        <v>1</v>
      </c>
      <c r="G696" t="b">
        <v>0</v>
      </c>
    </row>
    <row r="697" spans="1:7" x14ac:dyDescent="0.2">
      <c r="A697">
        <v>695</v>
      </c>
      <c r="B697" t="s">
        <v>2902</v>
      </c>
      <c r="C697" t="s">
        <v>2903</v>
      </c>
      <c r="D697" t="b">
        <v>0</v>
      </c>
      <c r="E697" t="b">
        <v>0</v>
      </c>
      <c r="F697" t="b">
        <v>1</v>
      </c>
      <c r="G697" t="b">
        <v>0</v>
      </c>
    </row>
    <row r="698" spans="1:7" x14ac:dyDescent="0.2">
      <c r="A698">
        <v>696</v>
      </c>
      <c r="B698" t="s">
        <v>2904</v>
      </c>
      <c r="C698" t="s">
        <v>3358</v>
      </c>
      <c r="D698" t="b">
        <v>0</v>
      </c>
      <c r="E698" t="b">
        <v>0</v>
      </c>
      <c r="F698" t="b">
        <v>1</v>
      </c>
      <c r="G698" t="b">
        <v>0</v>
      </c>
    </row>
    <row r="699" spans="1:7" x14ac:dyDescent="0.2">
      <c r="A699">
        <v>697</v>
      </c>
      <c r="B699" t="s">
        <v>2905</v>
      </c>
      <c r="C699" t="s">
        <v>2906</v>
      </c>
      <c r="D699" t="b">
        <v>0</v>
      </c>
      <c r="E699" t="b">
        <v>0</v>
      </c>
      <c r="F699" t="b">
        <v>0</v>
      </c>
      <c r="G699" t="b">
        <v>1</v>
      </c>
    </row>
    <row r="700" spans="1:7" x14ac:dyDescent="0.2">
      <c r="A700">
        <v>698</v>
      </c>
      <c r="B700" t="s">
        <v>2907</v>
      </c>
      <c r="C700" t="s">
        <v>2908</v>
      </c>
      <c r="D700" t="b">
        <v>0</v>
      </c>
      <c r="E700" t="b">
        <v>0</v>
      </c>
      <c r="F700" t="b">
        <v>0</v>
      </c>
      <c r="G700" t="b">
        <v>1</v>
      </c>
    </row>
    <row r="701" spans="1:7" x14ac:dyDescent="0.2">
      <c r="A701">
        <v>699</v>
      </c>
      <c r="B701" t="s">
        <v>237</v>
      </c>
      <c r="C701" t="s">
        <v>238</v>
      </c>
      <c r="D701" t="b">
        <v>0</v>
      </c>
      <c r="E701" t="b">
        <v>0</v>
      </c>
      <c r="F701" t="b">
        <v>0</v>
      </c>
      <c r="G701" t="b">
        <v>1</v>
      </c>
    </row>
    <row r="702" spans="1:7" x14ac:dyDescent="0.2">
      <c r="A702">
        <v>700</v>
      </c>
      <c r="B702" t="s">
        <v>763</v>
      </c>
      <c r="C702" t="s">
        <v>764</v>
      </c>
      <c r="D702" t="b">
        <v>0</v>
      </c>
      <c r="E702" t="b">
        <v>0</v>
      </c>
      <c r="F702" t="b">
        <v>0</v>
      </c>
      <c r="G702" t="b">
        <v>1</v>
      </c>
    </row>
    <row r="703" spans="1:7" x14ac:dyDescent="0.2">
      <c r="A703">
        <v>701</v>
      </c>
      <c r="B703" t="s">
        <v>710</v>
      </c>
      <c r="C703" t="s">
        <v>711</v>
      </c>
      <c r="D703" t="b">
        <v>0</v>
      </c>
      <c r="E703" t="b">
        <v>0</v>
      </c>
      <c r="F703" t="b">
        <v>0</v>
      </c>
      <c r="G703" t="b">
        <v>1</v>
      </c>
    </row>
    <row r="704" spans="1:7" x14ac:dyDescent="0.2">
      <c r="A704">
        <v>702</v>
      </c>
      <c r="B704" t="s">
        <v>2909</v>
      </c>
      <c r="C704" t="s">
        <v>2910</v>
      </c>
      <c r="D704" t="b">
        <v>0</v>
      </c>
      <c r="E704" t="b">
        <v>0</v>
      </c>
      <c r="F704" t="b">
        <v>0</v>
      </c>
      <c r="G704" t="b">
        <v>1</v>
      </c>
    </row>
    <row r="705" spans="1:7" x14ac:dyDescent="0.2">
      <c r="A705">
        <v>703</v>
      </c>
      <c r="B705" t="s">
        <v>1855</v>
      </c>
      <c r="C705" t="s">
        <v>3359</v>
      </c>
      <c r="D705" t="b">
        <v>0</v>
      </c>
      <c r="E705" t="b">
        <v>0</v>
      </c>
      <c r="F705" t="b">
        <v>0</v>
      </c>
      <c r="G705" t="b">
        <v>1</v>
      </c>
    </row>
    <row r="706" spans="1:7" x14ac:dyDescent="0.2">
      <c r="A706">
        <v>704</v>
      </c>
      <c r="B706" t="s">
        <v>2911</v>
      </c>
      <c r="C706" t="s">
        <v>2912</v>
      </c>
      <c r="D706" t="b">
        <v>0</v>
      </c>
      <c r="E706" t="b">
        <v>0</v>
      </c>
      <c r="F706" t="b">
        <v>0</v>
      </c>
      <c r="G706" t="b">
        <v>1</v>
      </c>
    </row>
    <row r="707" spans="1:7" x14ac:dyDescent="0.2">
      <c r="A707">
        <v>705</v>
      </c>
      <c r="B707" t="s">
        <v>1487</v>
      </c>
      <c r="C707" t="s">
        <v>1488</v>
      </c>
      <c r="D707" t="b">
        <v>0</v>
      </c>
      <c r="E707" t="b">
        <v>0</v>
      </c>
      <c r="F707" t="b">
        <v>0</v>
      </c>
      <c r="G707" t="b">
        <v>1</v>
      </c>
    </row>
    <row r="708" spans="1:7" x14ac:dyDescent="0.2">
      <c r="A708">
        <v>706</v>
      </c>
      <c r="B708" t="s">
        <v>751</v>
      </c>
      <c r="C708" t="s">
        <v>752</v>
      </c>
      <c r="D708" t="b">
        <v>0</v>
      </c>
      <c r="E708" t="b">
        <v>0</v>
      </c>
      <c r="F708" t="b">
        <v>0</v>
      </c>
      <c r="G708" t="b">
        <v>1</v>
      </c>
    </row>
    <row r="709" spans="1:7" x14ac:dyDescent="0.2">
      <c r="A709">
        <v>707</v>
      </c>
      <c r="B709" t="s">
        <v>2913</v>
      </c>
      <c r="C709" t="s">
        <v>2914</v>
      </c>
      <c r="D709" t="b">
        <v>0</v>
      </c>
      <c r="E709" t="b">
        <v>0</v>
      </c>
      <c r="F709" t="b">
        <v>0</v>
      </c>
      <c r="G709" t="b">
        <v>1</v>
      </c>
    </row>
    <row r="710" spans="1:7" x14ac:dyDescent="0.2">
      <c r="A710">
        <v>708</v>
      </c>
      <c r="B710" t="s">
        <v>2915</v>
      </c>
      <c r="C710" s="1" t="s">
        <v>2916</v>
      </c>
      <c r="D710" t="b">
        <v>0</v>
      </c>
      <c r="E710" t="b">
        <v>0</v>
      </c>
      <c r="F710" t="b">
        <v>0</v>
      </c>
      <c r="G710" t="b">
        <v>1</v>
      </c>
    </row>
    <row r="711" spans="1:7" x14ac:dyDescent="0.2">
      <c r="A711">
        <v>709</v>
      </c>
      <c r="B711" t="s">
        <v>2917</v>
      </c>
      <c r="C711" s="1" t="s">
        <v>2918</v>
      </c>
      <c r="D711" t="b">
        <v>0</v>
      </c>
      <c r="E711" t="b">
        <v>0</v>
      </c>
      <c r="F711" t="b">
        <v>0</v>
      </c>
      <c r="G711" t="b">
        <v>1</v>
      </c>
    </row>
    <row r="712" spans="1:7" x14ac:dyDescent="0.2">
      <c r="A712">
        <v>710</v>
      </c>
      <c r="B712" t="s">
        <v>2919</v>
      </c>
      <c r="C712" t="s">
        <v>2920</v>
      </c>
      <c r="D712" t="b">
        <v>0</v>
      </c>
      <c r="E712" t="b">
        <v>0</v>
      </c>
      <c r="F712" t="b">
        <v>0</v>
      </c>
      <c r="G712" t="b">
        <v>1</v>
      </c>
    </row>
    <row r="713" spans="1:7" x14ac:dyDescent="0.2">
      <c r="A713">
        <v>711</v>
      </c>
      <c r="B713" t="s">
        <v>2921</v>
      </c>
      <c r="C713" t="s">
        <v>2922</v>
      </c>
      <c r="D713" t="b">
        <v>0</v>
      </c>
      <c r="E713" t="b">
        <v>0</v>
      </c>
      <c r="F713" t="b">
        <v>0</v>
      </c>
      <c r="G713" t="b">
        <v>1</v>
      </c>
    </row>
    <row r="714" spans="1:7" x14ac:dyDescent="0.2">
      <c r="A714">
        <v>712</v>
      </c>
      <c r="B714" t="s">
        <v>169</v>
      </c>
      <c r="C714" t="s">
        <v>170</v>
      </c>
      <c r="D714" t="b">
        <v>0</v>
      </c>
      <c r="E714" t="b">
        <v>0</v>
      </c>
      <c r="F714" t="b">
        <v>0</v>
      </c>
      <c r="G714" t="b">
        <v>1</v>
      </c>
    </row>
    <row r="715" spans="1:7" x14ac:dyDescent="0.2">
      <c r="A715">
        <v>713</v>
      </c>
      <c r="B715" t="s">
        <v>2923</v>
      </c>
      <c r="C715" t="s">
        <v>2924</v>
      </c>
      <c r="D715" t="b">
        <v>0</v>
      </c>
      <c r="E715" t="b">
        <v>0</v>
      </c>
      <c r="F715" t="b">
        <v>0</v>
      </c>
      <c r="G715" t="b">
        <v>1</v>
      </c>
    </row>
    <row r="716" spans="1:7" x14ac:dyDescent="0.2">
      <c r="A716">
        <v>714</v>
      </c>
      <c r="B716" t="s">
        <v>2925</v>
      </c>
      <c r="C716" t="s">
        <v>2926</v>
      </c>
      <c r="D716" t="b">
        <v>0</v>
      </c>
      <c r="E716" t="b">
        <v>0</v>
      </c>
      <c r="F716" t="b">
        <v>0</v>
      </c>
      <c r="G716" t="b">
        <v>1</v>
      </c>
    </row>
    <row r="717" spans="1:7" x14ac:dyDescent="0.2">
      <c r="A717">
        <v>715</v>
      </c>
      <c r="B717" t="s">
        <v>2927</v>
      </c>
      <c r="C717" t="s">
        <v>2928</v>
      </c>
      <c r="D717" t="b">
        <v>0</v>
      </c>
      <c r="E717" t="b">
        <v>0</v>
      </c>
      <c r="F717" t="b">
        <v>0</v>
      </c>
      <c r="G717" t="b">
        <v>1</v>
      </c>
    </row>
    <row r="718" spans="1:7" x14ac:dyDescent="0.2">
      <c r="A718">
        <v>716</v>
      </c>
      <c r="B718" t="s">
        <v>2929</v>
      </c>
      <c r="C718" t="s">
        <v>2930</v>
      </c>
      <c r="D718" t="b">
        <v>0</v>
      </c>
      <c r="E718" t="b">
        <v>0</v>
      </c>
      <c r="F718" t="b">
        <v>0</v>
      </c>
      <c r="G718" t="b">
        <v>1</v>
      </c>
    </row>
    <row r="719" spans="1:7" x14ac:dyDescent="0.2">
      <c r="A719">
        <v>717</v>
      </c>
      <c r="B719" t="s">
        <v>563</v>
      </c>
      <c r="C719" t="s">
        <v>564</v>
      </c>
      <c r="D719" t="b">
        <v>0</v>
      </c>
      <c r="E719" t="b">
        <v>0</v>
      </c>
      <c r="F719" t="b">
        <v>0</v>
      </c>
      <c r="G719" t="b">
        <v>1</v>
      </c>
    </row>
    <row r="720" spans="1:7" x14ac:dyDescent="0.2">
      <c r="A720">
        <v>718</v>
      </c>
      <c r="B720" t="s">
        <v>503</v>
      </c>
      <c r="C720" t="s">
        <v>504</v>
      </c>
      <c r="D720" t="b">
        <v>0</v>
      </c>
      <c r="E720" t="b">
        <v>0</v>
      </c>
      <c r="F720" t="b">
        <v>0</v>
      </c>
      <c r="G720" t="b">
        <v>1</v>
      </c>
    </row>
    <row r="721" spans="1:7" x14ac:dyDescent="0.2">
      <c r="A721">
        <v>719</v>
      </c>
      <c r="B721" t="s">
        <v>2931</v>
      </c>
      <c r="C721" t="s">
        <v>2932</v>
      </c>
      <c r="D721" t="b">
        <v>0</v>
      </c>
      <c r="E721" t="b">
        <v>0</v>
      </c>
      <c r="F721" t="b">
        <v>0</v>
      </c>
      <c r="G721" t="b">
        <v>1</v>
      </c>
    </row>
    <row r="722" spans="1:7" x14ac:dyDescent="0.2">
      <c r="A722">
        <v>720</v>
      </c>
      <c r="B722" t="s">
        <v>2933</v>
      </c>
      <c r="C722" t="s">
        <v>2934</v>
      </c>
      <c r="D722" t="b">
        <v>0</v>
      </c>
      <c r="E722" t="b">
        <v>0</v>
      </c>
      <c r="F722" t="b">
        <v>0</v>
      </c>
      <c r="G722" t="b">
        <v>1</v>
      </c>
    </row>
    <row r="723" spans="1:7" x14ac:dyDescent="0.2">
      <c r="A723">
        <v>721</v>
      </c>
      <c r="B723" t="s">
        <v>2935</v>
      </c>
      <c r="C723" t="s">
        <v>2936</v>
      </c>
      <c r="D723" t="b">
        <v>0</v>
      </c>
      <c r="E723" t="b">
        <v>0</v>
      </c>
      <c r="F723" t="b">
        <v>0</v>
      </c>
      <c r="G723" t="b">
        <v>1</v>
      </c>
    </row>
    <row r="724" spans="1:7" x14ac:dyDescent="0.2">
      <c r="A724">
        <v>722</v>
      </c>
      <c r="B724" t="s">
        <v>1859</v>
      </c>
      <c r="C724" t="s">
        <v>3360</v>
      </c>
      <c r="D724" t="b">
        <v>0</v>
      </c>
      <c r="E724" t="b">
        <v>0</v>
      </c>
      <c r="F724" t="b">
        <v>0</v>
      </c>
      <c r="G724" t="b">
        <v>1</v>
      </c>
    </row>
    <row r="725" spans="1:7" x14ac:dyDescent="0.2">
      <c r="A725">
        <v>723</v>
      </c>
      <c r="B725" t="s">
        <v>2937</v>
      </c>
      <c r="C725" s="1" t="s">
        <v>2938</v>
      </c>
      <c r="D725" t="b">
        <v>0</v>
      </c>
      <c r="E725" t="b">
        <v>0</v>
      </c>
      <c r="F725" t="b">
        <v>0</v>
      </c>
      <c r="G725" t="b">
        <v>1</v>
      </c>
    </row>
    <row r="726" spans="1:7" x14ac:dyDescent="0.2">
      <c r="A726">
        <v>724</v>
      </c>
      <c r="B726" t="s">
        <v>2939</v>
      </c>
      <c r="C726" t="s">
        <v>2940</v>
      </c>
      <c r="D726" t="b">
        <v>0</v>
      </c>
      <c r="E726" t="b">
        <v>0</v>
      </c>
      <c r="F726" t="b">
        <v>0</v>
      </c>
      <c r="G726" t="b">
        <v>1</v>
      </c>
    </row>
    <row r="727" spans="1:7" x14ac:dyDescent="0.2">
      <c r="A727">
        <v>725</v>
      </c>
      <c r="B727" t="s">
        <v>2941</v>
      </c>
      <c r="C727" t="s">
        <v>2942</v>
      </c>
      <c r="D727" t="b">
        <v>0</v>
      </c>
      <c r="E727" t="b">
        <v>0</v>
      </c>
      <c r="F727" t="b">
        <v>0</v>
      </c>
      <c r="G727" t="b">
        <v>1</v>
      </c>
    </row>
    <row r="728" spans="1:7" x14ac:dyDescent="0.2">
      <c r="A728">
        <v>726</v>
      </c>
      <c r="B728" t="s">
        <v>2943</v>
      </c>
      <c r="C728" t="s">
        <v>2944</v>
      </c>
      <c r="D728" t="b">
        <v>0</v>
      </c>
      <c r="E728" t="b">
        <v>0</v>
      </c>
      <c r="F728" t="b">
        <v>0</v>
      </c>
      <c r="G728" t="b">
        <v>1</v>
      </c>
    </row>
    <row r="729" spans="1:7" x14ac:dyDescent="0.2">
      <c r="A729">
        <v>727</v>
      </c>
      <c r="B729" t="s">
        <v>2945</v>
      </c>
      <c r="C729" t="s">
        <v>9408</v>
      </c>
      <c r="D729" t="b">
        <v>0</v>
      </c>
      <c r="E729" t="b">
        <v>0</v>
      </c>
      <c r="F729" t="b">
        <v>0</v>
      </c>
      <c r="G729" t="b">
        <v>1</v>
      </c>
    </row>
    <row r="730" spans="1:7" x14ac:dyDescent="0.2">
      <c r="A730">
        <v>728</v>
      </c>
      <c r="B730" t="s">
        <v>2946</v>
      </c>
      <c r="C730" t="s">
        <v>2947</v>
      </c>
      <c r="D730" t="b">
        <v>0</v>
      </c>
      <c r="E730" t="b">
        <v>0</v>
      </c>
      <c r="F730" t="b">
        <v>0</v>
      </c>
      <c r="G730" t="b">
        <v>1</v>
      </c>
    </row>
    <row r="731" spans="1:7" x14ac:dyDescent="0.2">
      <c r="A731">
        <v>729</v>
      </c>
      <c r="B731" t="s">
        <v>2948</v>
      </c>
      <c r="C731" t="s">
        <v>2949</v>
      </c>
      <c r="D731" t="b">
        <v>0</v>
      </c>
      <c r="E731" t="b">
        <v>0</v>
      </c>
      <c r="F731" t="b">
        <v>0</v>
      </c>
      <c r="G731" t="b">
        <v>1</v>
      </c>
    </row>
    <row r="732" spans="1:7" x14ac:dyDescent="0.2">
      <c r="A732">
        <v>730</v>
      </c>
      <c r="B732" t="s">
        <v>2950</v>
      </c>
      <c r="C732" t="s">
        <v>9409</v>
      </c>
      <c r="D732" t="b">
        <v>0</v>
      </c>
      <c r="E732" t="b">
        <v>0</v>
      </c>
      <c r="F732" t="b">
        <v>0</v>
      </c>
      <c r="G732" t="b">
        <v>1</v>
      </c>
    </row>
    <row r="733" spans="1:7" x14ac:dyDescent="0.2">
      <c r="A733">
        <v>731</v>
      </c>
      <c r="B733" t="s">
        <v>2951</v>
      </c>
      <c r="C733" t="s">
        <v>2952</v>
      </c>
      <c r="D733" t="b">
        <v>0</v>
      </c>
      <c r="E733" t="b">
        <v>0</v>
      </c>
      <c r="F733" t="b">
        <v>0</v>
      </c>
      <c r="G733" t="b">
        <v>1</v>
      </c>
    </row>
    <row r="734" spans="1:7" x14ac:dyDescent="0.2">
      <c r="A734">
        <v>732</v>
      </c>
      <c r="B734" t="s">
        <v>2953</v>
      </c>
      <c r="C734" t="s">
        <v>2954</v>
      </c>
      <c r="D734" t="b">
        <v>0</v>
      </c>
      <c r="E734" t="b">
        <v>0</v>
      </c>
      <c r="F734" t="b">
        <v>0</v>
      </c>
      <c r="G734" t="b">
        <v>1</v>
      </c>
    </row>
    <row r="735" spans="1:7" x14ac:dyDescent="0.2">
      <c r="A735">
        <v>733</v>
      </c>
      <c r="B735" t="s">
        <v>2955</v>
      </c>
      <c r="C735" t="s">
        <v>2956</v>
      </c>
      <c r="D735" t="b">
        <v>0</v>
      </c>
      <c r="E735" t="b">
        <v>0</v>
      </c>
      <c r="F735" t="b">
        <v>0</v>
      </c>
      <c r="G735" t="b">
        <v>1</v>
      </c>
    </row>
    <row r="736" spans="1:7" x14ac:dyDescent="0.2">
      <c r="A736">
        <v>734</v>
      </c>
      <c r="B736" t="s">
        <v>2957</v>
      </c>
      <c r="C736" t="s">
        <v>2958</v>
      </c>
      <c r="D736" t="b">
        <v>0</v>
      </c>
      <c r="E736" t="b">
        <v>0</v>
      </c>
      <c r="F736" t="b">
        <v>0</v>
      </c>
      <c r="G736" t="b">
        <v>1</v>
      </c>
    </row>
    <row r="737" spans="1:7" x14ac:dyDescent="0.2">
      <c r="A737">
        <v>735</v>
      </c>
      <c r="B737" t="s">
        <v>2959</v>
      </c>
      <c r="C737" t="s">
        <v>2960</v>
      </c>
      <c r="D737" t="b">
        <v>0</v>
      </c>
      <c r="E737" t="b">
        <v>0</v>
      </c>
      <c r="F737" t="b">
        <v>0</v>
      </c>
      <c r="G737" t="b">
        <v>1</v>
      </c>
    </row>
    <row r="738" spans="1:7" x14ac:dyDescent="0.2">
      <c r="A738">
        <v>736</v>
      </c>
      <c r="B738" t="s">
        <v>2961</v>
      </c>
      <c r="C738" s="1" t="s">
        <v>2962</v>
      </c>
      <c r="D738" t="b">
        <v>0</v>
      </c>
      <c r="E738" t="b">
        <v>0</v>
      </c>
      <c r="F738" t="b">
        <v>0</v>
      </c>
      <c r="G738" t="b">
        <v>1</v>
      </c>
    </row>
    <row r="739" spans="1:7" x14ac:dyDescent="0.2">
      <c r="A739">
        <v>737</v>
      </c>
      <c r="B739" t="s">
        <v>2963</v>
      </c>
      <c r="C739" s="1" t="s">
        <v>2964</v>
      </c>
      <c r="D739" t="b">
        <v>0</v>
      </c>
      <c r="E739" t="b">
        <v>0</v>
      </c>
      <c r="F739" t="b">
        <v>0</v>
      </c>
      <c r="G739" t="b">
        <v>1</v>
      </c>
    </row>
    <row r="740" spans="1:7" x14ac:dyDescent="0.2">
      <c r="A740">
        <v>738</v>
      </c>
      <c r="B740" t="s">
        <v>2965</v>
      </c>
      <c r="C740" s="1" t="s">
        <v>2966</v>
      </c>
      <c r="D740" t="b">
        <v>0</v>
      </c>
      <c r="E740" t="b">
        <v>0</v>
      </c>
      <c r="F740" t="b">
        <v>0</v>
      </c>
      <c r="G740" t="b">
        <v>1</v>
      </c>
    </row>
    <row r="741" spans="1:7" x14ac:dyDescent="0.2">
      <c r="A741">
        <v>739</v>
      </c>
      <c r="B741" t="s">
        <v>2967</v>
      </c>
      <c r="C741" s="1" t="s">
        <v>2968</v>
      </c>
      <c r="D741" t="b">
        <v>0</v>
      </c>
      <c r="E741" t="b">
        <v>0</v>
      </c>
      <c r="F741" t="b">
        <v>0</v>
      </c>
      <c r="G741" t="b">
        <v>1</v>
      </c>
    </row>
    <row r="742" spans="1:7" x14ac:dyDescent="0.2">
      <c r="A742">
        <v>740</v>
      </c>
      <c r="B742" t="s">
        <v>2969</v>
      </c>
      <c r="C742" t="s">
        <v>2970</v>
      </c>
      <c r="D742" t="b">
        <v>0</v>
      </c>
      <c r="E742" t="b">
        <v>0</v>
      </c>
      <c r="F742" t="b">
        <v>0</v>
      </c>
      <c r="G742" t="b">
        <v>1</v>
      </c>
    </row>
    <row r="743" spans="1:7" x14ac:dyDescent="0.2">
      <c r="A743">
        <v>741</v>
      </c>
      <c r="B743" t="s">
        <v>2971</v>
      </c>
      <c r="C743" t="s">
        <v>2972</v>
      </c>
      <c r="D743" t="b">
        <v>0</v>
      </c>
      <c r="E743" t="b">
        <v>0</v>
      </c>
      <c r="F743" t="b">
        <v>0</v>
      </c>
      <c r="G743" t="b">
        <v>1</v>
      </c>
    </row>
    <row r="744" spans="1:7" x14ac:dyDescent="0.2">
      <c r="A744">
        <v>742</v>
      </c>
      <c r="B744" t="s">
        <v>2973</v>
      </c>
      <c r="C744" t="s">
        <v>2974</v>
      </c>
      <c r="D744" t="b">
        <v>0</v>
      </c>
      <c r="E744" t="b">
        <v>0</v>
      </c>
      <c r="F744" t="b">
        <v>0</v>
      </c>
      <c r="G744" t="b">
        <v>1</v>
      </c>
    </row>
    <row r="745" spans="1:7" x14ac:dyDescent="0.2">
      <c r="A745">
        <v>743</v>
      </c>
      <c r="B745" t="s">
        <v>2975</v>
      </c>
      <c r="C745" s="1" t="s">
        <v>2976</v>
      </c>
      <c r="D745" t="b">
        <v>0</v>
      </c>
      <c r="E745" t="b">
        <v>0</v>
      </c>
      <c r="F745" t="b">
        <v>0</v>
      </c>
      <c r="G745" t="b">
        <v>1</v>
      </c>
    </row>
    <row r="746" spans="1:7" x14ac:dyDescent="0.2">
      <c r="A746">
        <v>744</v>
      </c>
      <c r="B746" t="s">
        <v>2977</v>
      </c>
      <c r="C746" t="s">
        <v>2978</v>
      </c>
      <c r="D746" t="b">
        <v>0</v>
      </c>
      <c r="E746" t="b">
        <v>0</v>
      </c>
      <c r="F746" t="b">
        <v>0</v>
      </c>
      <c r="G746" t="b">
        <v>1</v>
      </c>
    </row>
    <row r="747" spans="1:7" x14ac:dyDescent="0.2">
      <c r="A747">
        <v>745</v>
      </c>
      <c r="B747" t="s">
        <v>1868</v>
      </c>
      <c r="C747" t="s">
        <v>1598</v>
      </c>
      <c r="D747" t="b">
        <v>0</v>
      </c>
      <c r="E747" t="b">
        <v>0</v>
      </c>
      <c r="F747" t="b">
        <v>0</v>
      </c>
      <c r="G747" t="b">
        <v>1</v>
      </c>
    </row>
    <row r="748" spans="1:7" x14ac:dyDescent="0.2">
      <c r="A748">
        <v>746</v>
      </c>
      <c r="B748" t="s">
        <v>2979</v>
      </c>
      <c r="C748" t="s">
        <v>2980</v>
      </c>
      <c r="D748" t="b">
        <v>0</v>
      </c>
      <c r="E748" t="b">
        <v>0</v>
      </c>
      <c r="F748" t="b">
        <v>0</v>
      </c>
      <c r="G748" t="b">
        <v>1</v>
      </c>
    </row>
    <row r="749" spans="1:7" x14ac:dyDescent="0.2">
      <c r="A749">
        <v>747</v>
      </c>
      <c r="B749" t="s">
        <v>2981</v>
      </c>
      <c r="C749" t="s">
        <v>2982</v>
      </c>
      <c r="D749" t="b">
        <v>0</v>
      </c>
      <c r="E749" t="b">
        <v>0</v>
      </c>
      <c r="F749" t="b">
        <v>0</v>
      </c>
      <c r="G749" t="b">
        <v>1</v>
      </c>
    </row>
    <row r="750" spans="1:7" x14ac:dyDescent="0.2">
      <c r="A750">
        <v>748</v>
      </c>
      <c r="B750" t="s">
        <v>2983</v>
      </c>
      <c r="C750" t="s">
        <v>2984</v>
      </c>
      <c r="D750" t="b">
        <v>0</v>
      </c>
      <c r="E750" t="b">
        <v>0</v>
      </c>
      <c r="F750" t="b">
        <v>0</v>
      </c>
      <c r="G750" t="b">
        <v>1</v>
      </c>
    </row>
    <row r="751" spans="1:7" x14ac:dyDescent="0.2">
      <c r="A751">
        <v>749</v>
      </c>
      <c r="B751" t="s">
        <v>1442</v>
      </c>
      <c r="C751" t="s">
        <v>1298</v>
      </c>
      <c r="D751" t="b">
        <v>0</v>
      </c>
      <c r="E751" t="b">
        <v>0</v>
      </c>
      <c r="F751" t="b">
        <v>0</v>
      </c>
      <c r="G751" t="b">
        <v>1</v>
      </c>
    </row>
    <row r="752" spans="1:7" x14ac:dyDescent="0.2">
      <c r="A752">
        <v>750</v>
      </c>
      <c r="B752" t="s">
        <v>2985</v>
      </c>
      <c r="C752" t="s">
        <v>2986</v>
      </c>
      <c r="D752" t="b">
        <v>0</v>
      </c>
      <c r="E752" t="b">
        <v>0</v>
      </c>
      <c r="F752" t="b">
        <v>0</v>
      </c>
      <c r="G752" t="b">
        <v>1</v>
      </c>
    </row>
    <row r="753" spans="1:7" x14ac:dyDescent="0.2">
      <c r="A753">
        <v>751</v>
      </c>
      <c r="B753" t="s">
        <v>2987</v>
      </c>
      <c r="C753" t="s">
        <v>2988</v>
      </c>
      <c r="D753" t="b">
        <v>0</v>
      </c>
      <c r="E753" t="b">
        <v>0</v>
      </c>
      <c r="F753" t="b">
        <v>0</v>
      </c>
      <c r="G753" t="b">
        <v>1</v>
      </c>
    </row>
    <row r="754" spans="1:7" x14ac:dyDescent="0.2">
      <c r="A754">
        <v>752</v>
      </c>
      <c r="B754" t="s">
        <v>2989</v>
      </c>
      <c r="C754" t="s">
        <v>2990</v>
      </c>
      <c r="D754" t="b">
        <v>0</v>
      </c>
      <c r="E754" t="b">
        <v>0</v>
      </c>
      <c r="F754" t="b">
        <v>0</v>
      </c>
      <c r="G754" t="b">
        <v>1</v>
      </c>
    </row>
    <row r="755" spans="1:7" x14ac:dyDescent="0.2">
      <c r="A755">
        <v>753</v>
      </c>
      <c r="B755" t="s">
        <v>1424</v>
      </c>
      <c r="C755" t="s">
        <v>1425</v>
      </c>
      <c r="D755" t="b">
        <v>0</v>
      </c>
      <c r="E755" t="b">
        <v>0</v>
      </c>
      <c r="F755" t="b">
        <v>0</v>
      </c>
      <c r="G755" t="b">
        <v>1</v>
      </c>
    </row>
    <row r="756" spans="1:7" x14ac:dyDescent="0.2">
      <c r="A756">
        <v>754</v>
      </c>
      <c r="B756" t="s">
        <v>2991</v>
      </c>
      <c r="C756" t="s">
        <v>2992</v>
      </c>
      <c r="D756" t="b">
        <v>0</v>
      </c>
      <c r="E756" t="b">
        <v>0</v>
      </c>
      <c r="F756" t="b">
        <v>0</v>
      </c>
      <c r="G756" t="b">
        <v>1</v>
      </c>
    </row>
    <row r="757" spans="1:7" x14ac:dyDescent="0.2">
      <c r="A757">
        <v>755</v>
      </c>
      <c r="B757" t="s">
        <v>2993</v>
      </c>
      <c r="C757" t="s">
        <v>2994</v>
      </c>
      <c r="D757" t="b">
        <v>0</v>
      </c>
      <c r="E757" t="b">
        <v>0</v>
      </c>
      <c r="F757" t="b">
        <v>0</v>
      </c>
      <c r="G757" t="b">
        <v>1</v>
      </c>
    </row>
    <row r="758" spans="1:7" x14ac:dyDescent="0.2">
      <c r="A758">
        <v>756</v>
      </c>
      <c r="B758" t="s">
        <v>3364</v>
      </c>
      <c r="C758" t="s">
        <v>160</v>
      </c>
      <c r="D758" t="b">
        <v>1</v>
      </c>
      <c r="E758" t="b">
        <v>0</v>
      </c>
      <c r="F758" t="b">
        <v>0</v>
      </c>
      <c r="G758" t="b">
        <v>1</v>
      </c>
    </row>
    <row r="759" spans="1:7" x14ac:dyDescent="0.2">
      <c r="A759">
        <v>757</v>
      </c>
      <c r="B759" t="s">
        <v>1597</v>
      </c>
      <c r="C759" t="s">
        <v>1598</v>
      </c>
      <c r="D759" t="b">
        <v>0</v>
      </c>
      <c r="E759" t="b">
        <v>0</v>
      </c>
      <c r="F759" t="b">
        <v>0</v>
      </c>
      <c r="G759" t="b">
        <v>1</v>
      </c>
    </row>
    <row r="760" spans="1:7" x14ac:dyDescent="0.2">
      <c r="A760">
        <v>758</v>
      </c>
      <c r="B760" t="s">
        <v>3365</v>
      </c>
      <c r="C760" t="s">
        <v>3366</v>
      </c>
      <c r="D760" t="b">
        <v>0</v>
      </c>
      <c r="E760" t="b">
        <v>0</v>
      </c>
      <c r="F760" t="b">
        <v>0</v>
      </c>
      <c r="G760" t="b">
        <v>1</v>
      </c>
    </row>
    <row r="761" spans="1:7" x14ac:dyDescent="0.2">
      <c r="A761">
        <v>759</v>
      </c>
      <c r="B761" t="s">
        <v>3367</v>
      </c>
      <c r="C761" t="s">
        <v>3368</v>
      </c>
      <c r="D761" t="b">
        <v>0</v>
      </c>
      <c r="E761" t="b">
        <v>0</v>
      </c>
      <c r="F761" t="b">
        <v>0</v>
      </c>
      <c r="G761" t="b">
        <v>1</v>
      </c>
    </row>
    <row r="762" spans="1:7" x14ac:dyDescent="0.2">
      <c r="A762">
        <v>760</v>
      </c>
      <c r="B762" t="s">
        <v>3369</v>
      </c>
      <c r="C762" t="s">
        <v>3370</v>
      </c>
      <c r="D762" t="b">
        <v>0</v>
      </c>
      <c r="E762" t="b">
        <v>0</v>
      </c>
      <c r="F762" t="b">
        <v>0</v>
      </c>
      <c r="G762" t="b">
        <v>1</v>
      </c>
    </row>
    <row r="763" spans="1:7" x14ac:dyDescent="0.2">
      <c r="A763">
        <v>761</v>
      </c>
      <c r="B763" t="s">
        <v>1549</v>
      </c>
      <c r="C763" t="s">
        <v>1550</v>
      </c>
      <c r="D763" t="b">
        <v>0</v>
      </c>
      <c r="E763" t="b">
        <v>0</v>
      </c>
      <c r="F763" t="b">
        <v>0</v>
      </c>
      <c r="G763" t="b">
        <v>1</v>
      </c>
    </row>
    <row r="764" spans="1:7" x14ac:dyDescent="0.2">
      <c r="A764">
        <v>762</v>
      </c>
      <c r="B764" t="s">
        <v>3371</v>
      </c>
      <c r="C764" t="s">
        <v>3372</v>
      </c>
      <c r="D764" t="b">
        <v>0</v>
      </c>
      <c r="E764" t="b">
        <v>0</v>
      </c>
      <c r="F764" t="b">
        <v>0</v>
      </c>
      <c r="G764" t="b">
        <v>1</v>
      </c>
    </row>
    <row r="765" spans="1:7" x14ac:dyDescent="0.2">
      <c r="A765">
        <v>763</v>
      </c>
      <c r="B765" t="s">
        <v>3373</v>
      </c>
      <c r="C765" t="s">
        <v>3374</v>
      </c>
      <c r="D765" t="b">
        <v>0</v>
      </c>
      <c r="E765" t="b">
        <v>0</v>
      </c>
      <c r="F765" t="b">
        <v>0</v>
      </c>
      <c r="G765" t="b">
        <v>1</v>
      </c>
    </row>
    <row r="766" spans="1:7" x14ac:dyDescent="0.2">
      <c r="A766">
        <v>764</v>
      </c>
      <c r="B766" t="s">
        <v>233</v>
      </c>
      <c r="C766" t="s">
        <v>234</v>
      </c>
      <c r="D766" t="b">
        <v>0</v>
      </c>
      <c r="E766" t="b">
        <v>0</v>
      </c>
      <c r="F766" t="b">
        <v>0</v>
      </c>
      <c r="G766" t="b">
        <v>1</v>
      </c>
    </row>
    <row r="767" spans="1:7" x14ac:dyDescent="0.2">
      <c r="A767">
        <v>765</v>
      </c>
      <c r="B767" t="s">
        <v>1871</v>
      </c>
      <c r="C767" t="s">
        <v>3375</v>
      </c>
      <c r="D767" t="b">
        <v>0</v>
      </c>
      <c r="E767" t="b">
        <v>0</v>
      </c>
      <c r="F767" t="b">
        <v>0</v>
      </c>
      <c r="G767" t="b">
        <v>1</v>
      </c>
    </row>
    <row r="768" spans="1:7" x14ac:dyDescent="0.2">
      <c r="A768">
        <v>766</v>
      </c>
      <c r="B768" t="s">
        <v>1314</v>
      </c>
      <c r="C768" t="s">
        <v>1315</v>
      </c>
      <c r="D768" t="b">
        <v>0</v>
      </c>
      <c r="E768" t="b">
        <v>0</v>
      </c>
      <c r="F768" t="b">
        <v>0</v>
      </c>
      <c r="G768" t="b">
        <v>1</v>
      </c>
    </row>
    <row r="769" spans="1:7" x14ac:dyDescent="0.2">
      <c r="A769">
        <v>767</v>
      </c>
      <c r="B769" t="s">
        <v>3376</v>
      </c>
      <c r="C769" t="s">
        <v>3377</v>
      </c>
      <c r="D769" t="b">
        <v>0</v>
      </c>
      <c r="E769" t="b">
        <v>0</v>
      </c>
      <c r="F769" t="b">
        <v>0</v>
      </c>
      <c r="G769" t="b">
        <v>1</v>
      </c>
    </row>
    <row r="770" spans="1:7" x14ac:dyDescent="0.2">
      <c r="A770">
        <v>768</v>
      </c>
      <c r="B770" t="s">
        <v>3378</v>
      </c>
      <c r="C770" t="s">
        <v>3379</v>
      </c>
      <c r="D770" t="b">
        <v>0</v>
      </c>
      <c r="E770" t="b">
        <v>0</v>
      </c>
      <c r="F770" t="b">
        <v>0</v>
      </c>
      <c r="G770" t="b">
        <v>1</v>
      </c>
    </row>
    <row r="771" spans="1:7" x14ac:dyDescent="0.2">
      <c r="A771">
        <v>769</v>
      </c>
      <c r="B771" t="s">
        <v>3380</v>
      </c>
      <c r="C771" t="s">
        <v>3381</v>
      </c>
      <c r="D771" t="b">
        <v>0</v>
      </c>
      <c r="E771" t="b">
        <v>0</v>
      </c>
      <c r="F771" t="b">
        <v>0</v>
      </c>
      <c r="G771" t="b">
        <v>1</v>
      </c>
    </row>
    <row r="772" spans="1:7" x14ac:dyDescent="0.2">
      <c r="A772">
        <v>770</v>
      </c>
      <c r="B772" t="s">
        <v>3382</v>
      </c>
      <c r="C772" t="s">
        <v>3383</v>
      </c>
      <c r="D772" t="b">
        <v>0</v>
      </c>
      <c r="E772" t="b">
        <v>0</v>
      </c>
      <c r="F772" t="b">
        <v>0</v>
      </c>
      <c r="G772" t="b">
        <v>1</v>
      </c>
    </row>
    <row r="773" spans="1:7" x14ac:dyDescent="0.2">
      <c r="A773">
        <v>771</v>
      </c>
      <c r="B773" t="s">
        <v>3384</v>
      </c>
      <c r="C773" t="s">
        <v>3385</v>
      </c>
      <c r="D773" t="b">
        <v>0</v>
      </c>
      <c r="E773" t="b">
        <v>0</v>
      </c>
      <c r="F773" t="b">
        <v>0</v>
      </c>
      <c r="G773" t="b">
        <v>1</v>
      </c>
    </row>
    <row r="774" spans="1:7" x14ac:dyDescent="0.2">
      <c r="A774">
        <v>772</v>
      </c>
      <c r="B774" t="s">
        <v>1426</v>
      </c>
      <c r="C774" t="s">
        <v>1427</v>
      </c>
      <c r="D774" t="b">
        <v>0</v>
      </c>
      <c r="E774" t="b">
        <v>0</v>
      </c>
      <c r="F774" t="b">
        <v>0</v>
      </c>
      <c r="G774" t="b">
        <v>1</v>
      </c>
    </row>
    <row r="775" spans="1:7" x14ac:dyDescent="0.2">
      <c r="A775">
        <v>773</v>
      </c>
      <c r="B775" t="s">
        <v>3386</v>
      </c>
      <c r="C775" t="s">
        <v>3387</v>
      </c>
      <c r="D775" t="b">
        <v>0</v>
      </c>
      <c r="E775" t="b">
        <v>0</v>
      </c>
      <c r="F775" t="b">
        <v>0</v>
      </c>
      <c r="G775" t="b">
        <v>1</v>
      </c>
    </row>
    <row r="776" spans="1:7" x14ac:dyDescent="0.2">
      <c r="A776">
        <v>774</v>
      </c>
      <c r="B776" t="s">
        <v>3388</v>
      </c>
      <c r="C776" t="s">
        <v>3389</v>
      </c>
      <c r="D776" t="b">
        <v>0</v>
      </c>
      <c r="E776" t="b">
        <v>0</v>
      </c>
      <c r="F776" t="b">
        <v>0</v>
      </c>
      <c r="G776" t="b">
        <v>1</v>
      </c>
    </row>
    <row r="777" spans="1:7" x14ac:dyDescent="0.2">
      <c r="A777">
        <v>775</v>
      </c>
      <c r="B777" t="s">
        <v>3390</v>
      </c>
      <c r="C777" t="s">
        <v>3391</v>
      </c>
      <c r="D777" t="b">
        <v>0</v>
      </c>
      <c r="E777" t="b">
        <v>0</v>
      </c>
      <c r="F777" t="b">
        <v>0</v>
      </c>
      <c r="G777" t="b">
        <v>1</v>
      </c>
    </row>
    <row r="778" spans="1:7" x14ac:dyDescent="0.2">
      <c r="A778">
        <v>776</v>
      </c>
      <c r="B778" t="s">
        <v>3392</v>
      </c>
      <c r="C778" t="s">
        <v>3393</v>
      </c>
      <c r="D778" t="b">
        <v>0</v>
      </c>
      <c r="E778" t="b">
        <v>0</v>
      </c>
      <c r="F778" t="b">
        <v>0</v>
      </c>
      <c r="G778" t="b">
        <v>1</v>
      </c>
    </row>
    <row r="779" spans="1:7" x14ac:dyDescent="0.2">
      <c r="A779">
        <v>777</v>
      </c>
      <c r="B779" t="s">
        <v>1872</v>
      </c>
      <c r="C779" t="s">
        <v>3394</v>
      </c>
      <c r="D779" t="b">
        <v>0</v>
      </c>
      <c r="E779" t="b">
        <v>0</v>
      </c>
      <c r="F779" t="b">
        <v>0</v>
      </c>
      <c r="G779" t="b">
        <v>1</v>
      </c>
    </row>
    <row r="780" spans="1:7" x14ac:dyDescent="0.2">
      <c r="A780">
        <v>778</v>
      </c>
      <c r="B780" t="s">
        <v>3395</v>
      </c>
      <c r="C780" t="s">
        <v>3396</v>
      </c>
      <c r="D780" t="b">
        <v>0</v>
      </c>
      <c r="E780" t="b">
        <v>0</v>
      </c>
      <c r="F780" t="b">
        <v>0</v>
      </c>
      <c r="G780" t="b">
        <v>1</v>
      </c>
    </row>
    <row r="781" spans="1:7" x14ac:dyDescent="0.2">
      <c r="A781">
        <v>779</v>
      </c>
      <c r="B781" t="s">
        <v>1873</v>
      </c>
      <c r="C781" t="s">
        <v>3397</v>
      </c>
      <c r="D781" t="b">
        <v>0</v>
      </c>
      <c r="E781" t="b">
        <v>0</v>
      </c>
      <c r="F781" t="b">
        <v>0</v>
      </c>
      <c r="G781" t="b">
        <v>1</v>
      </c>
    </row>
    <row r="782" spans="1:7" x14ac:dyDescent="0.2">
      <c r="A782">
        <v>780</v>
      </c>
      <c r="B782" t="s">
        <v>3398</v>
      </c>
      <c r="C782" t="s">
        <v>3399</v>
      </c>
      <c r="D782" t="b">
        <v>0</v>
      </c>
      <c r="E782" t="b">
        <v>0</v>
      </c>
      <c r="F782" t="b">
        <v>0</v>
      </c>
      <c r="G782" t="b">
        <v>1</v>
      </c>
    </row>
    <row r="783" spans="1:7" x14ac:dyDescent="0.2">
      <c r="A783">
        <v>781</v>
      </c>
      <c r="B783" t="s">
        <v>3400</v>
      </c>
      <c r="C783" t="s">
        <v>3401</v>
      </c>
      <c r="D783" t="b">
        <v>0</v>
      </c>
      <c r="E783" t="b">
        <v>0</v>
      </c>
      <c r="F783" t="b">
        <v>0</v>
      </c>
      <c r="G783" t="b">
        <v>1</v>
      </c>
    </row>
    <row r="784" spans="1:7" x14ac:dyDescent="0.2">
      <c r="A784">
        <v>782</v>
      </c>
      <c r="B784" t="s">
        <v>730</v>
      </c>
      <c r="C784" t="s">
        <v>9410</v>
      </c>
      <c r="D784" t="b">
        <v>0</v>
      </c>
      <c r="E784" t="b">
        <v>0</v>
      </c>
      <c r="F784" t="b">
        <v>0</v>
      </c>
      <c r="G784" t="b">
        <v>1</v>
      </c>
    </row>
    <row r="785" spans="1:7" x14ac:dyDescent="0.2">
      <c r="A785">
        <v>783</v>
      </c>
      <c r="B785" t="s">
        <v>508</v>
      </c>
      <c r="C785" t="s">
        <v>509</v>
      </c>
      <c r="D785" t="b">
        <v>0</v>
      </c>
      <c r="E785" t="b">
        <v>0</v>
      </c>
      <c r="F785" t="b">
        <v>0</v>
      </c>
      <c r="G785" t="b">
        <v>1</v>
      </c>
    </row>
    <row r="786" spans="1:7" x14ac:dyDescent="0.2">
      <c r="A786">
        <v>784</v>
      </c>
      <c r="B786" t="s">
        <v>3402</v>
      </c>
      <c r="C786" t="s">
        <v>3403</v>
      </c>
      <c r="D786" t="b">
        <v>0</v>
      </c>
      <c r="E786" t="b">
        <v>0</v>
      </c>
      <c r="F786" t="b">
        <v>0</v>
      </c>
      <c r="G786" t="b">
        <v>1</v>
      </c>
    </row>
    <row r="787" spans="1:7" x14ac:dyDescent="0.2">
      <c r="A787">
        <v>785</v>
      </c>
      <c r="B787" t="s">
        <v>3404</v>
      </c>
      <c r="C787" t="s">
        <v>3405</v>
      </c>
      <c r="D787" t="b">
        <v>0</v>
      </c>
      <c r="E787" t="b">
        <v>0</v>
      </c>
      <c r="F787" t="b">
        <v>0</v>
      </c>
      <c r="G787" t="b">
        <v>1</v>
      </c>
    </row>
    <row r="788" spans="1:7" x14ac:dyDescent="0.2">
      <c r="A788">
        <v>786</v>
      </c>
      <c r="B788" t="s">
        <v>369</v>
      </c>
      <c r="C788" t="s">
        <v>370</v>
      </c>
      <c r="D788" t="b">
        <v>0</v>
      </c>
      <c r="E788" t="b">
        <v>0</v>
      </c>
      <c r="F788" t="b">
        <v>0</v>
      </c>
      <c r="G788" t="b">
        <v>1</v>
      </c>
    </row>
    <row r="789" spans="1:7" x14ac:dyDescent="0.2">
      <c r="A789">
        <v>787</v>
      </c>
      <c r="B789" t="s">
        <v>3406</v>
      </c>
      <c r="C789" t="s">
        <v>3407</v>
      </c>
      <c r="D789" t="b">
        <v>0</v>
      </c>
      <c r="E789" t="b">
        <v>0</v>
      </c>
      <c r="F789" t="b">
        <v>0</v>
      </c>
      <c r="G789" t="b">
        <v>1</v>
      </c>
    </row>
    <row r="790" spans="1:7" x14ac:dyDescent="0.2">
      <c r="A790">
        <v>788</v>
      </c>
      <c r="B790" t="s">
        <v>1370</v>
      </c>
      <c r="C790" t="s">
        <v>1371</v>
      </c>
      <c r="D790" t="b">
        <v>0</v>
      </c>
      <c r="E790" t="b">
        <v>0</v>
      </c>
      <c r="F790" t="b">
        <v>0</v>
      </c>
      <c r="G790" t="b">
        <v>1</v>
      </c>
    </row>
    <row r="791" spans="1:7" x14ac:dyDescent="0.2">
      <c r="A791">
        <v>789</v>
      </c>
      <c r="B791" t="s">
        <v>3408</v>
      </c>
      <c r="C791" t="s">
        <v>3409</v>
      </c>
      <c r="D791" t="b">
        <v>0</v>
      </c>
      <c r="E791" t="b">
        <v>0</v>
      </c>
      <c r="F791" t="b">
        <v>0</v>
      </c>
      <c r="G791" t="b">
        <v>1</v>
      </c>
    </row>
    <row r="792" spans="1:7" x14ac:dyDescent="0.2">
      <c r="A792">
        <v>790</v>
      </c>
      <c r="B792" t="s">
        <v>3410</v>
      </c>
      <c r="C792" t="s">
        <v>9411</v>
      </c>
      <c r="D792" t="b">
        <v>0</v>
      </c>
      <c r="E792" t="b">
        <v>0</v>
      </c>
      <c r="F792" t="b">
        <v>0</v>
      </c>
      <c r="G792" t="b">
        <v>1</v>
      </c>
    </row>
    <row r="793" spans="1:7" x14ac:dyDescent="0.2">
      <c r="A793">
        <v>791</v>
      </c>
      <c r="B793" t="s">
        <v>1368</v>
      </c>
      <c r="C793" t="s">
        <v>1369</v>
      </c>
      <c r="D793" t="b">
        <v>0</v>
      </c>
      <c r="E793" t="b">
        <v>0</v>
      </c>
      <c r="F793" t="b">
        <v>0</v>
      </c>
      <c r="G793" t="b">
        <v>1</v>
      </c>
    </row>
    <row r="794" spans="1:7" x14ac:dyDescent="0.2">
      <c r="A794">
        <v>792</v>
      </c>
      <c r="B794" t="s">
        <v>1874</v>
      </c>
      <c r="C794" t="s">
        <v>3411</v>
      </c>
      <c r="D794" t="b">
        <v>0</v>
      </c>
      <c r="E794" t="b">
        <v>0</v>
      </c>
      <c r="F794" t="b">
        <v>0</v>
      </c>
      <c r="G794" t="b">
        <v>1</v>
      </c>
    </row>
    <row r="795" spans="1:7" x14ac:dyDescent="0.2">
      <c r="A795">
        <v>793</v>
      </c>
      <c r="B795" t="s">
        <v>3412</v>
      </c>
      <c r="C795" t="s">
        <v>3413</v>
      </c>
      <c r="D795" t="b">
        <v>0</v>
      </c>
      <c r="E795" t="b">
        <v>0</v>
      </c>
      <c r="F795" t="b">
        <v>0</v>
      </c>
      <c r="G795" t="b">
        <v>1</v>
      </c>
    </row>
    <row r="796" spans="1:7" x14ac:dyDescent="0.2">
      <c r="A796">
        <v>794</v>
      </c>
      <c r="B796" t="s">
        <v>3414</v>
      </c>
      <c r="C796" t="s">
        <v>3415</v>
      </c>
      <c r="D796" t="b">
        <v>0</v>
      </c>
      <c r="E796" t="b">
        <v>0</v>
      </c>
      <c r="F796" t="b">
        <v>0</v>
      </c>
      <c r="G796" t="b">
        <v>1</v>
      </c>
    </row>
    <row r="797" spans="1:7" x14ac:dyDescent="0.2">
      <c r="A797">
        <v>795</v>
      </c>
      <c r="B797" t="s">
        <v>3416</v>
      </c>
      <c r="C797" s="1" t="s">
        <v>3417</v>
      </c>
      <c r="D797" t="b">
        <v>0</v>
      </c>
      <c r="E797" t="b">
        <v>0</v>
      </c>
      <c r="F797" t="b">
        <v>0</v>
      </c>
      <c r="G797" t="b">
        <v>1</v>
      </c>
    </row>
    <row r="798" spans="1:7" x14ac:dyDescent="0.2">
      <c r="A798">
        <v>796</v>
      </c>
      <c r="B798" t="s">
        <v>3418</v>
      </c>
      <c r="C798" t="s">
        <v>3419</v>
      </c>
      <c r="D798" t="b">
        <v>0</v>
      </c>
      <c r="E798" t="b">
        <v>0</v>
      </c>
      <c r="F798" t="b">
        <v>0</v>
      </c>
      <c r="G798" t="b">
        <v>1</v>
      </c>
    </row>
    <row r="799" spans="1:7" x14ac:dyDescent="0.2">
      <c r="A799">
        <v>797</v>
      </c>
      <c r="B799" t="s">
        <v>672</v>
      </c>
      <c r="C799" t="s">
        <v>673</v>
      </c>
      <c r="D799" t="b">
        <v>0</v>
      </c>
      <c r="E799" t="b">
        <v>0</v>
      </c>
      <c r="F799" t="b">
        <v>0</v>
      </c>
      <c r="G799" t="b">
        <v>1</v>
      </c>
    </row>
    <row r="800" spans="1:7" x14ac:dyDescent="0.2">
      <c r="A800">
        <v>798</v>
      </c>
      <c r="B800" t="s">
        <v>3420</v>
      </c>
      <c r="C800" t="s">
        <v>3421</v>
      </c>
      <c r="D800" t="b">
        <v>0</v>
      </c>
      <c r="E800" t="b">
        <v>0</v>
      </c>
      <c r="F800" t="b">
        <v>0</v>
      </c>
      <c r="G800" t="b">
        <v>1</v>
      </c>
    </row>
    <row r="801" spans="1:7" x14ac:dyDescent="0.2">
      <c r="A801">
        <v>799</v>
      </c>
      <c r="B801" t="s">
        <v>3422</v>
      </c>
      <c r="C801" t="s">
        <v>3423</v>
      </c>
      <c r="D801" t="b">
        <v>0</v>
      </c>
      <c r="E801" t="b">
        <v>0</v>
      </c>
      <c r="F801" t="b">
        <v>0</v>
      </c>
      <c r="G801" t="b">
        <v>1</v>
      </c>
    </row>
    <row r="802" spans="1:7" x14ac:dyDescent="0.2">
      <c r="A802">
        <v>800</v>
      </c>
      <c r="B802" t="s">
        <v>199</v>
      </c>
      <c r="C802" t="s">
        <v>200</v>
      </c>
      <c r="D802" t="b">
        <v>0</v>
      </c>
      <c r="E802" t="b">
        <v>0</v>
      </c>
      <c r="F802" t="b">
        <v>0</v>
      </c>
      <c r="G802" t="b">
        <v>1</v>
      </c>
    </row>
    <row r="803" spans="1:7" x14ac:dyDescent="0.2">
      <c r="A803">
        <v>801</v>
      </c>
      <c r="B803" t="s">
        <v>559</v>
      </c>
      <c r="C803" t="s">
        <v>560</v>
      </c>
      <c r="D803" t="b">
        <v>0</v>
      </c>
      <c r="E803" t="b">
        <v>0</v>
      </c>
      <c r="F803" t="b">
        <v>0</v>
      </c>
      <c r="G803" t="b">
        <v>1</v>
      </c>
    </row>
    <row r="804" spans="1:7" x14ac:dyDescent="0.2">
      <c r="A804">
        <v>802</v>
      </c>
      <c r="B804" t="s">
        <v>1297</v>
      </c>
      <c r="C804" t="s">
        <v>1298</v>
      </c>
      <c r="D804" t="b">
        <v>0</v>
      </c>
      <c r="E804" t="b">
        <v>0</v>
      </c>
      <c r="F804" t="b">
        <v>0</v>
      </c>
      <c r="G804" t="b">
        <v>1</v>
      </c>
    </row>
    <row r="805" spans="1:7" x14ac:dyDescent="0.2">
      <c r="A805">
        <v>803</v>
      </c>
      <c r="B805" t="s">
        <v>1151</v>
      </c>
      <c r="C805" t="s">
        <v>1152</v>
      </c>
      <c r="D805" t="b">
        <v>0</v>
      </c>
      <c r="E805" t="b">
        <v>0</v>
      </c>
      <c r="F805" t="b">
        <v>0</v>
      </c>
      <c r="G805" t="b">
        <v>1</v>
      </c>
    </row>
    <row r="806" spans="1:7" x14ac:dyDescent="0.2">
      <c r="A806">
        <v>804</v>
      </c>
      <c r="B806" t="s">
        <v>3424</v>
      </c>
      <c r="C806" t="s">
        <v>3425</v>
      </c>
      <c r="D806" t="b">
        <v>0</v>
      </c>
      <c r="E806" t="b">
        <v>0</v>
      </c>
      <c r="F806" t="b">
        <v>0</v>
      </c>
      <c r="G806" t="b">
        <v>1</v>
      </c>
    </row>
    <row r="807" spans="1:7" x14ac:dyDescent="0.2">
      <c r="A807">
        <v>805</v>
      </c>
      <c r="B807" t="s">
        <v>3426</v>
      </c>
      <c r="C807" t="s">
        <v>3427</v>
      </c>
      <c r="D807" t="b">
        <v>0</v>
      </c>
      <c r="E807" t="b">
        <v>0</v>
      </c>
      <c r="F807" t="b">
        <v>0</v>
      </c>
      <c r="G807" t="b">
        <v>1</v>
      </c>
    </row>
    <row r="808" spans="1:7" x14ac:dyDescent="0.2">
      <c r="A808">
        <v>806</v>
      </c>
      <c r="B808" t="s">
        <v>1876</v>
      </c>
      <c r="C808" t="s">
        <v>3428</v>
      </c>
      <c r="D808" t="b">
        <v>0</v>
      </c>
      <c r="E808" t="b">
        <v>0</v>
      </c>
      <c r="F808" t="b">
        <v>0</v>
      </c>
      <c r="G808" t="b">
        <v>1</v>
      </c>
    </row>
    <row r="809" spans="1:7" x14ac:dyDescent="0.2">
      <c r="A809">
        <v>807</v>
      </c>
      <c r="B809" t="s">
        <v>3429</v>
      </c>
      <c r="C809" t="s">
        <v>3430</v>
      </c>
      <c r="D809" t="b">
        <v>0</v>
      </c>
      <c r="E809" t="b">
        <v>0</v>
      </c>
      <c r="F809" t="b">
        <v>0</v>
      </c>
      <c r="G809" t="b">
        <v>1</v>
      </c>
    </row>
    <row r="810" spans="1:7" x14ac:dyDescent="0.2">
      <c r="A810">
        <v>808</v>
      </c>
      <c r="B810" t="s">
        <v>3431</v>
      </c>
      <c r="C810" t="s">
        <v>3432</v>
      </c>
      <c r="D810" t="b">
        <v>0</v>
      </c>
      <c r="E810" t="b">
        <v>0</v>
      </c>
      <c r="F810" t="b">
        <v>0</v>
      </c>
      <c r="G810" t="b">
        <v>1</v>
      </c>
    </row>
    <row r="811" spans="1:7" x14ac:dyDescent="0.2">
      <c r="A811">
        <v>809</v>
      </c>
      <c r="B811" t="s">
        <v>1547</v>
      </c>
      <c r="C811" t="s">
        <v>1548</v>
      </c>
      <c r="D811" t="b">
        <v>0</v>
      </c>
      <c r="E811" t="b">
        <v>0</v>
      </c>
      <c r="F811" t="b">
        <v>0</v>
      </c>
      <c r="G811" t="b">
        <v>1</v>
      </c>
    </row>
    <row r="812" spans="1:7" x14ac:dyDescent="0.2">
      <c r="A812">
        <v>810</v>
      </c>
      <c r="B812" t="s">
        <v>3433</v>
      </c>
      <c r="C812" t="s">
        <v>3434</v>
      </c>
      <c r="D812" t="b">
        <v>0</v>
      </c>
      <c r="E812" t="b">
        <v>0</v>
      </c>
      <c r="F812" t="b">
        <v>0</v>
      </c>
      <c r="G812" t="b">
        <v>1</v>
      </c>
    </row>
    <row r="813" spans="1:7" x14ac:dyDescent="0.2">
      <c r="A813">
        <v>811</v>
      </c>
      <c r="B813" t="s">
        <v>3435</v>
      </c>
      <c r="C813" t="s">
        <v>3399</v>
      </c>
      <c r="D813" t="b">
        <v>0</v>
      </c>
      <c r="E813" t="b">
        <v>0</v>
      </c>
      <c r="F813" t="b">
        <v>0</v>
      </c>
      <c r="G813" t="b">
        <v>1</v>
      </c>
    </row>
    <row r="814" spans="1:7" x14ac:dyDescent="0.2">
      <c r="A814">
        <v>812</v>
      </c>
      <c r="B814" t="s">
        <v>851</v>
      </c>
      <c r="C814" t="s">
        <v>852</v>
      </c>
      <c r="D814" t="b">
        <v>0</v>
      </c>
      <c r="E814" t="b">
        <v>0</v>
      </c>
      <c r="F814" t="b">
        <v>0</v>
      </c>
      <c r="G814" t="b">
        <v>1</v>
      </c>
    </row>
    <row r="815" spans="1:7" x14ac:dyDescent="0.2">
      <c r="A815">
        <v>813</v>
      </c>
      <c r="B815" t="s">
        <v>3436</v>
      </c>
      <c r="C815" t="s">
        <v>3437</v>
      </c>
      <c r="D815" t="b">
        <v>0</v>
      </c>
      <c r="E815" t="b">
        <v>0</v>
      </c>
      <c r="F815" t="b">
        <v>0</v>
      </c>
      <c r="G815" t="b">
        <v>1</v>
      </c>
    </row>
    <row r="816" spans="1:7" x14ac:dyDescent="0.2">
      <c r="A816">
        <v>814</v>
      </c>
      <c r="B816" t="s">
        <v>3438</v>
      </c>
      <c r="C816" t="s">
        <v>3439</v>
      </c>
      <c r="D816" t="b">
        <v>0</v>
      </c>
      <c r="E816" t="b">
        <v>0</v>
      </c>
      <c r="F816" t="b">
        <v>0</v>
      </c>
      <c r="G816" t="b">
        <v>1</v>
      </c>
    </row>
    <row r="817" spans="1:7" x14ac:dyDescent="0.2">
      <c r="A817">
        <v>815</v>
      </c>
      <c r="B817" t="s">
        <v>3440</v>
      </c>
      <c r="C817" t="s">
        <v>3441</v>
      </c>
      <c r="D817" t="b">
        <v>0</v>
      </c>
      <c r="E817" t="b">
        <v>0</v>
      </c>
      <c r="F817" t="b">
        <v>0</v>
      </c>
      <c r="G817" t="b">
        <v>1</v>
      </c>
    </row>
    <row r="818" spans="1:7" x14ac:dyDescent="0.2">
      <c r="A818">
        <v>816</v>
      </c>
      <c r="B818" t="s">
        <v>3442</v>
      </c>
      <c r="C818" t="s">
        <v>3443</v>
      </c>
      <c r="D818" t="b">
        <v>0</v>
      </c>
      <c r="E818" t="b">
        <v>0</v>
      </c>
      <c r="F818" t="b">
        <v>0</v>
      </c>
      <c r="G818" t="b">
        <v>1</v>
      </c>
    </row>
    <row r="819" spans="1:7" x14ac:dyDescent="0.2">
      <c r="A819">
        <v>817</v>
      </c>
      <c r="B819" t="s">
        <v>3444</v>
      </c>
      <c r="C819" t="s">
        <v>3445</v>
      </c>
      <c r="D819" t="b">
        <v>0</v>
      </c>
      <c r="E819" t="b">
        <v>0</v>
      </c>
      <c r="F819" t="b">
        <v>0</v>
      </c>
      <c r="G819" t="b">
        <v>1</v>
      </c>
    </row>
    <row r="820" spans="1:7" x14ac:dyDescent="0.2">
      <c r="A820">
        <v>818</v>
      </c>
      <c r="B820" t="s">
        <v>3446</v>
      </c>
      <c r="C820" t="s">
        <v>3447</v>
      </c>
      <c r="D820" t="b">
        <v>0</v>
      </c>
      <c r="E820" t="b">
        <v>0</v>
      </c>
      <c r="F820" t="b">
        <v>0</v>
      </c>
      <c r="G820" t="b">
        <v>1</v>
      </c>
    </row>
    <row r="821" spans="1:7" x14ac:dyDescent="0.2">
      <c r="A821">
        <v>819</v>
      </c>
      <c r="B821" t="s">
        <v>3448</v>
      </c>
      <c r="C821" s="1" t="s">
        <v>3449</v>
      </c>
      <c r="D821" t="b">
        <v>0</v>
      </c>
      <c r="E821" t="b">
        <v>0</v>
      </c>
      <c r="F821" t="b">
        <v>0</v>
      </c>
      <c r="G821" t="b">
        <v>1</v>
      </c>
    </row>
    <row r="822" spans="1:7" x14ac:dyDescent="0.2">
      <c r="A822">
        <v>820</v>
      </c>
      <c r="B822" t="s">
        <v>3450</v>
      </c>
      <c r="C822" s="1" t="s">
        <v>3451</v>
      </c>
      <c r="D822" t="b">
        <v>0</v>
      </c>
      <c r="E822" t="b">
        <v>0</v>
      </c>
      <c r="F822" t="b">
        <v>0</v>
      </c>
      <c r="G822" t="b">
        <v>1</v>
      </c>
    </row>
    <row r="823" spans="1:7" x14ac:dyDescent="0.2">
      <c r="A823">
        <v>821</v>
      </c>
      <c r="B823" t="s">
        <v>3452</v>
      </c>
      <c r="C823" t="s">
        <v>3453</v>
      </c>
      <c r="D823" t="b">
        <v>0</v>
      </c>
      <c r="E823" t="b">
        <v>0</v>
      </c>
      <c r="F823" t="b">
        <v>0</v>
      </c>
      <c r="G823" t="b">
        <v>1</v>
      </c>
    </row>
    <row r="824" spans="1:7" x14ac:dyDescent="0.2">
      <c r="A824">
        <v>822</v>
      </c>
      <c r="B824" t="s">
        <v>3454</v>
      </c>
      <c r="C824" t="s">
        <v>3455</v>
      </c>
      <c r="D824" t="b">
        <v>0</v>
      </c>
      <c r="E824" t="b">
        <v>0</v>
      </c>
      <c r="F824" t="b">
        <v>0</v>
      </c>
      <c r="G824" t="b">
        <v>1</v>
      </c>
    </row>
    <row r="825" spans="1:7" x14ac:dyDescent="0.2">
      <c r="A825">
        <v>823</v>
      </c>
      <c r="B825" t="s">
        <v>7</v>
      </c>
      <c r="C825" t="s">
        <v>8</v>
      </c>
      <c r="D825" t="b">
        <v>0</v>
      </c>
      <c r="E825" t="b">
        <v>0</v>
      </c>
      <c r="F825" t="b">
        <v>0</v>
      </c>
      <c r="G825" t="b">
        <v>1</v>
      </c>
    </row>
    <row r="826" spans="1:7" x14ac:dyDescent="0.2">
      <c r="A826">
        <v>824</v>
      </c>
      <c r="B826" t="s">
        <v>3456</v>
      </c>
      <c r="C826" t="s">
        <v>3457</v>
      </c>
      <c r="D826" t="b">
        <v>0</v>
      </c>
      <c r="E826" t="b">
        <v>0</v>
      </c>
      <c r="F826" t="b">
        <v>0</v>
      </c>
      <c r="G826" t="b">
        <v>1</v>
      </c>
    </row>
    <row r="827" spans="1:7" x14ac:dyDescent="0.2">
      <c r="A827">
        <v>825</v>
      </c>
      <c r="B827" t="s">
        <v>3458</v>
      </c>
      <c r="C827" t="s">
        <v>3459</v>
      </c>
      <c r="D827" t="b">
        <v>0</v>
      </c>
      <c r="E827" t="b">
        <v>0</v>
      </c>
      <c r="F827" t="b">
        <v>0</v>
      </c>
      <c r="G827" t="b">
        <v>1</v>
      </c>
    </row>
    <row r="828" spans="1:7" x14ac:dyDescent="0.2">
      <c r="A828">
        <v>826</v>
      </c>
      <c r="B828" t="s">
        <v>3460</v>
      </c>
      <c r="C828" t="s">
        <v>3461</v>
      </c>
      <c r="D828" t="b">
        <v>0</v>
      </c>
      <c r="E828" t="b">
        <v>0</v>
      </c>
      <c r="F828" t="b">
        <v>0</v>
      </c>
      <c r="G828" t="b">
        <v>1</v>
      </c>
    </row>
    <row r="829" spans="1:7" x14ac:dyDescent="0.2">
      <c r="A829">
        <v>827</v>
      </c>
      <c r="B829" t="s">
        <v>3462</v>
      </c>
      <c r="C829" t="s">
        <v>3463</v>
      </c>
      <c r="D829" t="b">
        <v>0</v>
      </c>
      <c r="E829" t="b">
        <v>0</v>
      </c>
      <c r="F829" t="b">
        <v>0</v>
      </c>
      <c r="G829" t="b">
        <v>1</v>
      </c>
    </row>
    <row r="830" spans="1:7" x14ac:dyDescent="0.2">
      <c r="A830">
        <v>828</v>
      </c>
      <c r="B830" t="s">
        <v>3464</v>
      </c>
      <c r="C830" t="s">
        <v>3465</v>
      </c>
      <c r="D830" t="b">
        <v>0</v>
      </c>
      <c r="E830" t="b">
        <v>0</v>
      </c>
      <c r="F830" t="b">
        <v>0</v>
      </c>
      <c r="G830" t="b">
        <v>1</v>
      </c>
    </row>
    <row r="831" spans="1:7" x14ac:dyDescent="0.2">
      <c r="A831">
        <v>829</v>
      </c>
      <c r="B831" t="s">
        <v>3466</v>
      </c>
      <c r="C831" s="1" t="s">
        <v>3467</v>
      </c>
      <c r="D831" t="b">
        <v>0</v>
      </c>
      <c r="E831" t="b">
        <v>0</v>
      </c>
      <c r="F831" t="b">
        <v>0</v>
      </c>
      <c r="G831" t="b">
        <v>1</v>
      </c>
    </row>
    <row r="832" spans="1:7" x14ac:dyDescent="0.2">
      <c r="A832">
        <v>830</v>
      </c>
      <c r="B832" t="s">
        <v>3468</v>
      </c>
      <c r="C832" t="s">
        <v>3469</v>
      </c>
      <c r="D832" t="b">
        <v>0</v>
      </c>
      <c r="E832" t="b">
        <v>0</v>
      </c>
      <c r="F832" t="b">
        <v>0</v>
      </c>
      <c r="G832" t="b">
        <v>1</v>
      </c>
    </row>
    <row r="833" spans="1:7" x14ac:dyDescent="0.2">
      <c r="A833">
        <v>831</v>
      </c>
      <c r="B833" t="s">
        <v>3470</v>
      </c>
      <c r="C833" t="s">
        <v>3471</v>
      </c>
      <c r="D833" t="b">
        <v>0</v>
      </c>
      <c r="E833" t="b">
        <v>0</v>
      </c>
      <c r="F833" t="b">
        <v>0</v>
      </c>
      <c r="G833" t="b">
        <v>1</v>
      </c>
    </row>
    <row r="834" spans="1:7" x14ac:dyDescent="0.2">
      <c r="A834">
        <v>832</v>
      </c>
      <c r="B834" t="s">
        <v>1443</v>
      </c>
      <c r="C834" t="s">
        <v>1444</v>
      </c>
      <c r="D834" t="b">
        <v>0</v>
      </c>
      <c r="E834" t="b">
        <v>0</v>
      </c>
      <c r="F834" t="b">
        <v>0</v>
      </c>
      <c r="G834" t="b">
        <v>1</v>
      </c>
    </row>
    <row r="835" spans="1:7" x14ac:dyDescent="0.2">
      <c r="A835">
        <v>833</v>
      </c>
      <c r="B835" t="s">
        <v>505</v>
      </c>
      <c r="C835" t="s">
        <v>506</v>
      </c>
      <c r="D835" t="b">
        <v>0</v>
      </c>
      <c r="E835" t="b">
        <v>0</v>
      </c>
      <c r="F835" t="b">
        <v>0</v>
      </c>
      <c r="G835" t="b">
        <v>1</v>
      </c>
    </row>
    <row r="836" spans="1:7" x14ac:dyDescent="0.2">
      <c r="A836">
        <v>834</v>
      </c>
      <c r="B836" t="s">
        <v>615</v>
      </c>
      <c r="C836" s="1" t="s">
        <v>616</v>
      </c>
      <c r="D836" t="b">
        <v>0</v>
      </c>
      <c r="E836" t="b">
        <v>0</v>
      </c>
      <c r="F836" t="b">
        <v>0</v>
      </c>
      <c r="G836" t="b">
        <v>1</v>
      </c>
    </row>
    <row r="837" spans="1:7" x14ac:dyDescent="0.2">
      <c r="A837">
        <v>835</v>
      </c>
      <c r="B837" t="s">
        <v>3472</v>
      </c>
      <c r="C837" t="s">
        <v>3473</v>
      </c>
      <c r="D837" t="b">
        <v>0</v>
      </c>
      <c r="E837" t="b">
        <v>0</v>
      </c>
      <c r="F837" t="b">
        <v>0</v>
      </c>
      <c r="G837" t="b">
        <v>1</v>
      </c>
    </row>
    <row r="838" spans="1:7" x14ac:dyDescent="0.2">
      <c r="A838">
        <v>836</v>
      </c>
      <c r="B838" t="s">
        <v>3474</v>
      </c>
      <c r="C838" t="s">
        <v>3475</v>
      </c>
      <c r="D838" t="b">
        <v>0</v>
      </c>
      <c r="E838" t="b">
        <v>0</v>
      </c>
      <c r="F838" t="b">
        <v>0</v>
      </c>
      <c r="G838" t="b">
        <v>1</v>
      </c>
    </row>
    <row r="839" spans="1:7" x14ac:dyDescent="0.2">
      <c r="A839">
        <v>837</v>
      </c>
      <c r="B839" t="s">
        <v>3476</v>
      </c>
      <c r="C839" t="s">
        <v>3477</v>
      </c>
      <c r="D839" t="b">
        <v>0</v>
      </c>
      <c r="E839" t="b">
        <v>0</v>
      </c>
      <c r="F839" t="b">
        <v>0</v>
      </c>
      <c r="G839" t="b">
        <v>1</v>
      </c>
    </row>
    <row r="840" spans="1:7" x14ac:dyDescent="0.2">
      <c r="A840">
        <v>838</v>
      </c>
      <c r="B840" t="s">
        <v>3478</v>
      </c>
      <c r="C840" t="s">
        <v>3479</v>
      </c>
      <c r="D840" t="b">
        <v>0</v>
      </c>
      <c r="E840" t="b">
        <v>0</v>
      </c>
      <c r="F840" t="b">
        <v>0</v>
      </c>
      <c r="G840" t="b">
        <v>1</v>
      </c>
    </row>
    <row r="841" spans="1:7" x14ac:dyDescent="0.2">
      <c r="A841">
        <v>839</v>
      </c>
      <c r="B841" t="s">
        <v>3480</v>
      </c>
      <c r="C841" t="s">
        <v>3481</v>
      </c>
      <c r="D841" t="b">
        <v>0</v>
      </c>
      <c r="E841" t="b">
        <v>0</v>
      </c>
      <c r="F841" t="b">
        <v>0</v>
      </c>
      <c r="G841" t="b">
        <v>1</v>
      </c>
    </row>
    <row r="842" spans="1:7" x14ac:dyDescent="0.2">
      <c r="A842">
        <v>840</v>
      </c>
      <c r="B842" t="s">
        <v>3482</v>
      </c>
      <c r="C842" t="s">
        <v>3483</v>
      </c>
      <c r="D842" t="b">
        <v>0</v>
      </c>
      <c r="E842" t="b">
        <v>0</v>
      </c>
      <c r="F842" t="b">
        <v>0</v>
      </c>
      <c r="G842" t="b">
        <v>1</v>
      </c>
    </row>
    <row r="843" spans="1:7" x14ac:dyDescent="0.2">
      <c r="A843">
        <v>841</v>
      </c>
      <c r="B843" t="s">
        <v>3484</v>
      </c>
      <c r="C843" t="s">
        <v>3485</v>
      </c>
      <c r="D843" t="b">
        <v>0</v>
      </c>
      <c r="E843" t="b">
        <v>0</v>
      </c>
      <c r="F843" t="b">
        <v>0</v>
      </c>
      <c r="G843" t="b">
        <v>1</v>
      </c>
    </row>
    <row r="844" spans="1:7" x14ac:dyDescent="0.2">
      <c r="A844">
        <v>842</v>
      </c>
      <c r="B844" t="s">
        <v>380</v>
      </c>
      <c r="C844" t="s">
        <v>381</v>
      </c>
      <c r="D844" t="b">
        <v>0</v>
      </c>
      <c r="E844" t="b">
        <v>0</v>
      </c>
      <c r="F844" t="b">
        <v>0</v>
      </c>
      <c r="G844" t="b">
        <v>1</v>
      </c>
    </row>
    <row r="845" spans="1:7" x14ac:dyDescent="0.2">
      <c r="A845">
        <v>843</v>
      </c>
      <c r="B845" t="s">
        <v>547</v>
      </c>
      <c r="C845" t="s">
        <v>548</v>
      </c>
      <c r="D845" t="b">
        <v>0</v>
      </c>
      <c r="E845" t="b">
        <v>0</v>
      </c>
      <c r="F845" t="b">
        <v>0</v>
      </c>
      <c r="G845" t="b">
        <v>1</v>
      </c>
    </row>
    <row r="846" spans="1:7" x14ac:dyDescent="0.2">
      <c r="A846">
        <v>844</v>
      </c>
      <c r="B846" t="s">
        <v>1551</v>
      </c>
      <c r="C846" t="s">
        <v>1552</v>
      </c>
      <c r="D846" t="b">
        <v>0</v>
      </c>
      <c r="E846" t="b">
        <v>0</v>
      </c>
      <c r="F846" t="b">
        <v>0</v>
      </c>
      <c r="G846" t="b">
        <v>1</v>
      </c>
    </row>
    <row r="847" spans="1:7" x14ac:dyDescent="0.2">
      <c r="A847">
        <v>845</v>
      </c>
      <c r="B847" t="s">
        <v>3486</v>
      </c>
      <c r="C847" t="s">
        <v>3487</v>
      </c>
      <c r="D847" t="b">
        <v>0</v>
      </c>
      <c r="E847" t="b">
        <v>0</v>
      </c>
      <c r="F847" t="b">
        <v>0</v>
      </c>
      <c r="G847" t="b">
        <v>1</v>
      </c>
    </row>
    <row r="848" spans="1:7" x14ac:dyDescent="0.2">
      <c r="A848">
        <v>846</v>
      </c>
      <c r="B848" t="s">
        <v>3488</v>
      </c>
      <c r="C848" t="s">
        <v>3489</v>
      </c>
      <c r="D848" t="b">
        <v>0</v>
      </c>
      <c r="E848" t="b">
        <v>0</v>
      </c>
      <c r="F848" t="b">
        <v>0</v>
      </c>
      <c r="G848" t="b">
        <v>1</v>
      </c>
    </row>
    <row r="849" spans="1:7" x14ac:dyDescent="0.2">
      <c r="A849">
        <v>847</v>
      </c>
      <c r="B849" t="s">
        <v>3490</v>
      </c>
      <c r="C849" t="s">
        <v>3491</v>
      </c>
      <c r="D849" t="b">
        <v>0</v>
      </c>
      <c r="E849" t="b">
        <v>0</v>
      </c>
      <c r="F849" t="b">
        <v>0</v>
      </c>
      <c r="G849" t="b">
        <v>1</v>
      </c>
    </row>
    <row r="850" spans="1:7" x14ac:dyDescent="0.2">
      <c r="A850">
        <v>848</v>
      </c>
      <c r="B850" t="s">
        <v>3492</v>
      </c>
      <c r="C850" t="s">
        <v>3493</v>
      </c>
      <c r="D850" t="b">
        <v>0</v>
      </c>
      <c r="E850" t="b">
        <v>0</v>
      </c>
      <c r="F850" t="b">
        <v>0</v>
      </c>
      <c r="G850" t="b">
        <v>1</v>
      </c>
    </row>
    <row r="851" spans="1:7" x14ac:dyDescent="0.2">
      <c r="A851">
        <v>849</v>
      </c>
      <c r="B851" t="s">
        <v>1149</v>
      </c>
      <c r="C851" t="s">
        <v>1150</v>
      </c>
      <c r="D851" t="b">
        <v>0</v>
      </c>
      <c r="E851" t="b">
        <v>0</v>
      </c>
      <c r="F851" t="b">
        <v>0</v>
      </c>
      <c r="G851" t="b">
        <v>1</v>
      </c>
    </row>
    <row r="852" spans="1:7" x14ac:dyDescent="0.2">
      <c r="A852">
        <v>850</v>
      </c>
      <c r="B852" t="s">
        <v>3494</v>
      </c>
      <c r="C852" t="s">
        <v>3495</v>
      </c>
      <c r="D852" t="b">
        <v>0</v>
      </c>
      <c r="E852" t="b">
        <v>0</v>
      </c>
      <c r="F852" t="b">
        <v>0</v>
      </c>
      <c r="G852" t="b">
        <v>1</v>
      </c>
    </row>
    <row r="853" spans="1:7" x14ac:dyDescent="0.2">
      <c r="A853">
        <v>851</v>
      </c>
      <c r="B853" t="s">
        <v>3496</v>
      </c>
      <c r="C853" t="s">
        <v>3497</v>
      </c>
      <c r="D853" t="b">
        <v>0</v>
      </c>
      <c r="E853" t="b">
        <v>0</v>
      </c>
      <c r="F853" t="b">
        <v>0</v>
      </c>
      <c r="G853" t="b">
        <v>1</v>
      </c>
    </row>
    <row r="854" spans="1:7" x14ac:dyDescent="0.2">
      <c r="A854">
        <v>852</v>
      </c>
      <c r="B854" t="s">
        <v>553</v>
      </c>
      <c r="C854" t="s">
        <v>554</v>
      </c>
      <c r="D854" t="b">
        <v>0</v>
      </c>
      <c r="E854" t="b">
        <v>0</v>
      </c>
      <c r="F854" t="b">
        <v>0</v>
      </c>
      <c r="G854" t="b">
        <v>1</v>
      </c>
    </row>
    <row r="855" spans="1:7" x14ac:dyDescent="0.2">
      <c r="A855">
        <v>853</v>
      </c>
      <c r="B855" t="s">
        <v>3498</v>
      </c>
      <c r="C855" t="s">
        <v>3499</v>
      </c>
      <c r="D855" t="b">
        <v>0</v>
      </c>
      <c r="E855" t="b">
        <v>0</v>
      </c>
      <c r="F855" t="b">
        <v>0</v>
      </c>
      <c r="G855" t="b">
        <v>1</v>
      </c>
    </row>
    <row r="856" spans="1:7" x14ac:dyDescent="0.2">
      <c r="A856">
        <v>854</v>
      </c>
      <c r="B856" t="s">
        <v>3500</v>
      </c>
      <c r="C856" t="s">
        <v>3501</v>
      </c>
      <c r="D856" t="b">
        <v>0</v>
      </c>
      <c r="E856" t="b">
        <v>0</v>
      </c>
      <c r="F856" t="b">
        <v>0</v>
      </c>
      <c r="G856" t="b">
        <v>1</v>
      </c>
    </row>
    <row r="857" spans="1:7" x14ac:dyDescent="0.2">
      <c r="A857">
        <v>855</v>
      </c>
      <c r="B857" t="s">
        <v>3502</v>
      </c>
      <c r="C857" t="s">
        <v>3503</v>
      </c>
      <c r="D857" t="b">
        <v>0</v>
      </c>
      <c r="E857" t="b">
        <v>0</v>
      </c>
      <c r="F857" t="b">
        <v>0</v>
      </c>
      <c r="G857" t="b">
        <v>1</v>
      </c>
    </row>
    <row r="858" spans="1:7" x14ac:dyDescent="0.2">
      <c r="A858">
        <v>856</v>
      </c>
      <c r="B858" t="s">
        <v>3504</v>
      </c>
      <c r="C858" t="s">
        <v>3505</v>
      </c>
      <c r="D858" t="b">
        <v>0</v>
      </c>
      <c r="E858" t="b">
        <v>0</v>
      </c>
      <c r="F858" t="b">
        <v>0</v>
      </c>
      <c r="G858" t="b">
        <v>1</v>
      </c>
    </row>
    <row r="859" spans="1:7" x14ac:dyDescent="0.2">
      <c r="A859">
        <v>857</v>
      </c>
      <c r="B859" t="s">
        <v>3506</v>
      </c>
      <c r="C859" t="s">
        <v>3507</v>
      </c>
      <c r="D859" t="b">
        <v>0</v>
      </c>
      <c r="E859" t="b">
        <v>0</v>
      </c>
      <c r="F859" t="b">
        <v>0</v>
      </c>
      <c r="G859" t="b">
        <v>1</v>
      </c>
    </row>
    <row r="860" spans="1:7" x14ac:dyDescent="0.2">
      <c r="A860">
        <v>858</v>
      </c>
      <c r="B860" t="s">
        <v>3508</v>
      </c>
      <c r="C860" t="s">
        <v>3509</v>
      </c>
      <c r="D860" t="b">
        <v>0</v>
      </c>
      <c r="E860" t="b">
        <v>0</v>
      </c>
      <c r="F860" t="b">
        <v>0</v>
      </c>
      <c r="G860" t="b">
        <v>1</v>
      </c>
    </row>
    <row r="861" spans="1:7" x14ac:dyDescent="0.2">
      <c r="A861">
        <v>859</v>
      </c>
      <c r="B861" t="s">
        <v>528</v>
      </c>
      <c r="C861" t="s">
        <v>529</v>
      </c>
      <c r="D861" t="b">
        <v>0</v>
      </c>
      <c r="E861" t="b">
        <v>0</v>
      </c>
      <c r="F861" t="b">
        <v>0</v>
      </c>
      <c r="G861" t="b">
        <v>1</v>
      </c>
    </row>
    <row r="862" spans="1:7" x14ac:dyDescent="0.2">
      <c r="A862">
        <v>860</v>
      </c>
      <c r="B862" t="s">
        <v>3510</v>
      </c>
      <c r="C862" t="s">
        <v>3511</v>
      </c>
      <c r="D862" t="b">
        <v>0</v>
      </c>
      <c r="E862" t="b">
        <v>0</v>
      </c>
      <c r="F862" t="b">
        <v>0</v>
      </c>
      <c r="G862" t="b">
        <v>1</v>
      </c>
    </row>
    <row r="863" spans="1:7" x14ac:dyDescent="0.2">
      <c r="A863">
        <v>861</v>
      </c>
      <c r="B863" t="s">
        <v>3512</v>
      </c>
      <c r="C863" t="s">
        <v>3513</v>
      </c>
      <c r="D863" t="b">
        <v>0</v>
      </c>
      <c r="E863" t="b">
        <v>0</v>
      </c>
      <c r="F863" t="b">
        <v>0</v>
      </c>
      <c r="G863" t="b">
        <v>1</v>
      </c>
    </row>
    <row r="864" spans="1:7" x14ac:dyDescent="0.2">
      <c r="A864">
        <v>862</v>
      </c>
      <c r="B864" t="s">
        <v>3514</v>
      </c>
      <c r="C864" t="s">
        <v>3515</v>
      </c>
      <c r="D864" t="b">
        <v>0</v>
      </c>
      <c r="E864" t="b">
        <v>0</v>
      </c>
      <c r="F864" t="b">
        <v>0</v>
      </c>
      <c r="G864" t="b">
        <v>1</v>
      </c>
    </row>
    <row r="865" spans="1:7" x14ac:dyDescent="0.2">
      <c r="A865">
        <v>863</v>
      </c>
      <c r="B865" t="s">
        <v>3516</v>
      </c>
      <c r="C865" t="s">
        <v>3517</v>
      </c>
      <c r="D865" t="b">
        <v>0</v>
      </c>
      <c r="E865" t="b">
        <v>0</v>
      </c>
      <c r="F865" t="b">
        <v>0</v>
      </c>
      <c r="G865" t="b">
        <v>1</v>
      </c>
    </row>
    <row r="866" spans="1:7" x14ac:dyDescent="0.2">
      <c r="A866">
        <v>864</v>
      </c>
      <c r="B866" t="s">
        <v>3518</v>
      </c>
      <c r="C866" s="1" t="s">
        <v>3519</v>
      </c>
      <c r="D866" t="b">
        <v>0</v>
      </c>
      <c r="E866" t="b">
        <v>0</v>
      </c>
      <c r="F866" t="b">
        <v>0</v>
      </c>
      <c r="G866" t="b">
        <v>1</v>
      </c>
    </row>
    <row r="867" spans="1:7" x14ac:dyDescent="0.2">
      <c r="A867">
        <v>865</v>
      </c>
      <c r="B867" t="s">
        <v>3520</v>
      </c>
      <c r="C867" t="s">
        <v>3521</v>
      </c>
      <c r="D867" t="b">
        <v>0</v>
      </c>
      <c r="E867" t="b">
        <v>0</v>
      </c>
      <c r="F867" t="b">
        <v>0</v>
      </c>
      <c r="G867" t="b">
        <v>1</v>
      </c>
    </row>
    <row r="868" spans="1:7" x14ac:dyDescent="0.2">
      <c r="A868">
        <v>866</v>
      </c>
      <c r="B868" t="s">
        <v>3522</v>
      </c>
      <c r="C868" t="s">
        <v>3523</v>
      </c>
      <c r="D868" t="b">
        <v>0</v>
      </c>
      <c r="E868" t="b">
        <v>0</v>
      </c>
      <c r="F868" t="b">
        <v>0</v>
      </c>
      <c r="G868" t="b">
        <v>1</v>
      </c>
    </row>
    <row r="869" spans="1:7" x14ac:dyDescent="0.2">
      <c r="A869">
        <v>867</v>
      </c>
      <c r="B869" t="s">
        <v>1883</v>
      </c>
      <c r="C869" t="s">
        <v>3524</v>
      </c>
      <c r="D869" t="b">
        <v>0</v>
      </c>
      <c r="E869" t="b">
        <v>0</v>
      </c>
      <c r="F869" t="b">
        <v>0</v>
      </c>
      <c r="G869" t="b">
        <v>1</v>
      </c>
    </row>
    <row r="870" spans="1:7" x14ac:dyDescent="0.2">
      <c r="A870">
        <v>868</v>
      </c>
      <c r="B870" t="s">
        <v>267</v>
      </c>
      <c r="C870" t="s">
        <v>268</v>
      </c>
      <c r="D870" t="b">
        <v>0</v>
      </c>
      <c r="E870" t="b">
        <v>0</v>
      </c>
      <c r="F870" t="b">
        <v>0</v>
      </c>
      <c r="G870" t="b">
        <v>1</v>
      </c>
    </row>
    <row r="871" spans="1:7" x14ac:dyDescent="0.2">
      <c r="A871">
        <v>869</v>
      </c>
      <c r="B871" t="s">
        <v>3525</v>
      </c>
      <c r="C871" t="s">
        <v>3526</v>
      </c>
      <c r="D871" t="b">
        <v>0</v>
      </c>
      <c r="E871" t="b">
        <v>0</v>
      </c>
      <c r="F871" t="b">
        <v>0</v>
      </c>
      <c r="G871" t="b">
        <v>1</v>
      </c>
    </row>
    <row r="872" spans="1:7" x14ac:dyDescent="0.2">
      <c r="A872">
        <v>870</v>
      </c>
      <c r="B872" t="s">
        <v>167</v>
      </c>
      <c r="C872" t="s">
        <v>160</v>
      </c>
      <c r="D872" t="b">
        <v>1</v>
      </c>
      <c r="E872" t="b">
        <v>0</v>
      </c>
      <c r="F872" t="b">
        <v>0</v>
      </c>
      <c r="G872" t="b">
        <v>1</v>
      </c>
    </row>
    <row r="873" spans="1:7" x14ac:dyDescent="0.2">
      <c r="A873">
        <v>871</v>
      </c>
      <c r="B873" t="s">
        <v>3527</v>
      </c>
      <c r="C873" t="s">
        <v>3528</v>
      </c>
      <c r="D873" t="b">
        <v>0</v>
      </c>
      <c r="E873" t="b">
        <v>0</v>
      </c>
      <c r="F873" t="b">
        <v>0</v>
      </c>
      <c r="G873" t="b">
        <v>1</v>
      </c>
    </row>
    <row r="874" spans="1:7" x14ac:dyDescent="0.2">
      <c r="A874">
        <v>872</v>
      </c>
      <c r="B874" t="s">
        <v>3529</v>
      </c>
      <c r="C874" s="1" t="s">
        <v>3530</v>
      </c>
      <c r="D874" t="b">
        <v>0</v>
      </c>
      <c r="E874" t="b">
        <v>0</v>
      </c>
      <c r="F874" t="b">
        <v>0</v>
      </c>
      <c r="G874" t="b">
        <v>1</v>
      </c>
    </row>
    <row r="875" spans="1:7" x14ac:dyDescent="0.2">
      <c r="A875">
        <v>873</v>
      </c>
      <c r="B875" t="s">
        <v>1310</v>
      </c>
      <c r="C875" s="1" t="s">
        <v>1311</v>
      </c>
      <c r="D875" t="b">
        <v>0</v>
      </c>
      <c r="E875" t="b">
        <v>0</v>
      </c>
      <c r="F875" t="b">
        <v>0</v>
      </c>
      <c r="G875" t="b">
        <v>1</v>
      </c>
    </row>
    <row r="876" spans="1:7" x14ac:dyDescent="0.2">
      <c r="A876">
        <v>874</v>
      </c>
      <c r="B876" t="s">
        <v>3531</v>
      </c>
      <c r="C876" t="s">
        <v>3532</v>
      </c>
      <c r="D876" t="b">
        <v>0</v>
      </c>
      <c r="E876" t="b">
        <v>0</v>
      </c>
      <c r="F876" t="b">
        <v>0</v>
      </c>
      <c r="G876" t="b">
        <v>1</v>
      </c>
    </row>
    <row r="877" spans="1:7" x14ac:dyDescent="0.2">
      <c r="A877">
        <v>875</v>
      </c>
      <c r="B877" t="s">
        <v>3533</v>
      </c>
      <c r="C877" t="s">
        <v>3534</v>
      </c>
      <c r="D877" t="b">
        <v>0</v>
      </c>
      <c r="E877" t="b">
        <v>0</v>
      </c>
      <c r="F877" t="b">
        <v>0</v>
      </c>
      <c r="G877" t="b">
        <v>1</v>
      </c>
    </row>
    <row r="878" spans="1:7" x14ac:dyDescent="0.2">
      <c r="A878">
        <v>876</v>
      </c>
      <c r="B878" t="s">
        <v>3535</v>
      </c>
      <c r="C878" t="s">
        <v>3536</v>
      </c>
      <c r="D878" t="b">
        <v>0</v>
      </c>
      <c r="E878" t="b">
        <v>0</v>
      </c>
      <c r="F878" t="b">
        <v>0</v>
      </c>
      <c r="G878" t="b">
        <v>1</v>
      </c>
    </row>
    <row r="879" spans="1:7" x14ac:dyDescent="0.2">
      <c r="A879">
        <v>877</v>
      </c>
      <c r="B879" t="s">
        <v>1352</v>
      </c>
      <c r="C879" t="s">
        <v>1353</v>
      </c>
      <c r="D879" t="b">
        <v>0</v>
      </c>
      <c r="E879" t="b">
        <v>0</v>
      </c>
      <c r="F879" t="b">
        <v>0</v>
      </c>
      <c r="G879" t="b">
        <v>1</v>
      </c>
    </row>
    <row r="880" spans="1:7" x14ac:dyDescent="0.2">
      <c r="A880">
        <v>878</v>
      </c>
      <c r="B880" t="s">
        <v>3537</v>
      </c>
      <c r="C880" t="s">
        <v>3538</v>
      </c>
      <c r="D880" t="b">
        <v>0</v>
      </c>
      <c r="E880" t="b">
        <v>0</v>
      </c>
      <c r="F880" t="b">
        <v>0</v>
      </c>
      <c r="G880" t="b">
        <v>1</v>
      </c>
    </row>
    <row r="881" spans="1:7" x14ac:dyDescent="0.2">
      <c r="A881">
        <v>879</v>
      </c>
      <c r="B881" t="s">
        <v>1420</v>
      </c>
      <c r="C881" t="s">
        <v>1421</v>
      </c>
      <c r="D881" t="b">
        <v>0</v>
      </c>
      <c r="E881" t="b">
        <v>0</v>
      </c>
      <c r="F881" t="b">
        <v>0</v>
      </c>
      <c r="G881" t="b">
        <v>1</v>
      </c>
    </row>
    <row r="882" spans="1:7" x14ac:dyDescent="0.2">
      <c r="A882">
        <v>880</v>
      </c>
      <c r="B882" t="s">
        <v>3539</v>
      </c>
      <c r="C882" t="s">
        <v>3540</v>
      </c>
      <c r="D882" t="b">
        <v>0</v>
      </c>
      <c r="E882" t="b">
        <v>0</v>
      </c>
      <c r="F882" t="b">
        <v>0</v>
      </c>
      <c r="G882" t="b">
        <v>1</v>
      </c>
    </row>
    <row r="883" spans="1:7" x14ac:dyDescent="0.2">
      <c r="A883">
        <v>881</v>
      </c>
      <c r="B883" t="s">
        <v>3541</v>
      </c>
      <c r="C883" t="s">
        <v>3542</v>
      </c>
      <c r="D883" t="b">
        <v>0</v>
      </c>
      <c r="E883" t="b">
        <v>0</v>
      </c>
      <c r="F883" t="b">
        <v>0</v>
      </c>
      <c r="G883" t="b">
        <v>1</v>
      </c>
    </row>
    <row r="884" spans="1:7" x14ac:dyDescent="0.2">
      <c r="A884">
        <v>882</v>
      </c>
      <c r="B884" t="s">
        <v>3543</v>
      </c>
      <c r="C884" t="s">
        <v>3544</v>
      </c>
      <c r="D884" t="b">
        <v>0</v>
      </c>
      <c r="E884" t="b">
        <v>0</v>
      </c>
      <c r="F884" t="b">
        <v>0</v>
      </c>
      <c r="G884" t="b">
        <v>1</v>
      </c>
    </row>
    <row r="885" spans="1:7" x14ac:dyDescent="0.2">
      <c r="A885">
        <v>883</v>
      </c>
      <c r="B885" t="s">
        <v>3545</v>
      </c>
      <c r="C885" t="s">
        <v>3546</v>
      </c>
      <c r="D885" t="b">
        <v>0</v>
      </c>
      <c r="E885" t="b">
        <v>0</v>
      </c>
      <c r="F885" t="b">
        <v>0</v>
      </c>
      <c r="G885" t="b">
        <v>1</v>
      </c>
    </row>
    <row r="886" spans="1:7" x14ac:dyDescent="0.2">
      <c r="A886">
        <v>884</v>
      </c>
      <c r="B886" t="s">
        <v>3547</v>
      </c>
      <c r="C886" t="s">
        <v>3548</v>
      </c>
      <c r="D886" t="b">
        <v>0</v>
      </c>
      <c r="E886" t="b">
        <v>0</v>
      </c>
      <c r="F886" t="b">
        <v>0</v>
      </c>
      <c r="G886" t="b">
        <v>1</v>
      </c>
    </row>
    <row r="887" spans="1:7" x14ac:dyDescent="0.2">
      <c r="A887">
        <v>885</v>
      </c>
      <c r="B887" t="s">
        <v>3549</v>
      </c>
      <c r="C887" t="s">
        <v>3550</v>
      </c>
      <c r="D887" t="b">
        <v>0</v>
      </c>
      <c r="E887" t="b">
        <v>0</v>
      </c>
      <c r="F887" t="b">
        <v>0</v>
      </c>
      <c r="G887" t="b">
        <v>1</v>
      </c>
    </row>
    <row r="888" spans="1:7" x14ac:dyDescent="0.2">
      <c r="A888">
        <v>886</v>
      </c>
      <c r="B888" t="s">
        <v>3551</v>
      </c>
      <c r="C888" t="s">
        <v>3552</v>
      </c>
      <c r="D888" t="b">
        <v>0</v>
      </c>
      <c r="E888" t="b">
        <v>0</v>
      </c>
      <c r="F888" t="b">
        <v>0</v>
      </c>
      <c r="G888" t="b">
        <v>1</v>
      </c>
    </row>
    <row r="889" spans="1:7" x14ac:dyDescent="0.2">
      <c r="A889">
        <v>887</v>
      </c>
      <c r="B889" t="s">
        <v>3553</v>
      </c>
      <c r="C889" t="s">
        <v>3554</v>
      </c>
      <c r="D889" t="b">
        <v>0</v>
      </c>
      <c r="E889" t="b">
        <v>0</v>
      </c>
      <c r="F889" t="b">
        <v>0</v>
      </c>
      <c r="G889" t="b">
        <v>1</v>
      </c>
    </row>
    <row r="890" spans="1:7" x14ac:dyDescent="0.2">
      <c r="A890">
        <v>888</v>
      </c>
      <c r="B890" t="s">
        <v>736</v>
      </c>
      <c r="C890" t="s">
        <v>737</v>
      </c>
      <c r="D890" t="b">
        <v>0</v>
      </c>
      <c r="E890" t="b">
        <v>0</v>
      </c>
      <c r="F890" t="b">
        <v>0</v>
      </c>
      <c r="G890" t="b">
        <v>1</v>
      </c>
    </row>
    <row r="891" spans="1:7" x14ac:dyDescent="0.2">
      <c r="A891">
        <v>889</v>
      </c>
      <c r="B891" t="s">
        <v>3555</v>
      </c>
      <c r="C891" t="s">
        <v>3556</v>
      </c>
      <c r="D891" t="b">
        <v>0</v>
      </c>
      <c r="E891" t="b">
        <v>0</v>
      </c>
      <c r="F891" t="b">
        <v>0</v>
      </c>
      <c r="G891" t="b">
        <v>1</v>
      </c>
    </row>
    <row r="892" spans="1:7" x14ac:dyDescent="0.2">
      <c r="A892">
        <v>890</v>
      </c>
      <c r="B892" t="s">
        <v>3557</v>
      </c>
      <c r="C892" t="s">
        <v>3558</v>
      </c>
      <c r="D892" t="b">
        <v>0</v>
      </c>
      <c r="E892" t="b">
        <v>0</v>
      </c>
      <c r="F892" t="b">
        <v>0</v>
      </c>
      <c r="G892" t="b">
        <v>1</v>
      </c>
    </row>
    <row r="893" spans="1:7" x14ac:dyDescent="0.2">
      <c r="A893">
        <v>891</v>
      </c>
      <c r="B893" t="s">
        <v>1161</v>
      </c>
      <c r="C893" t="s">
        <v>1162</v>
      </c>
      <c r="D893" t="b">
        <v>0</v>
      </c>
      <c r="E893" t="b">
        <v>0</v>
      </c>
      <c r="F893" t="b">
        <v>0</v>
      </c>
      <c r="G893" t="b">
        <v>1</v>
      </c>
    </row>
    <row r="894" spans="1:7" x14ac:dyDescent="0.2">
      <c r="A894">
        <v>892</v>
      </c>
      <c r="B894" t="s">
        <v>3559</v>
      </c>
      <c r="C894" t="s">
        <v>3560</v>
      </c>
      <c r="D894" t="b">
        <v>0</v>
      </c>
      <c r="E894" t="b">
        <v>0</v>
      </c>
      <c r="F894" t="b">
        <v>0</v>
      </c>
      <c r="G894" t="b">
        <v>1</v>
      </c>
    </row>
    <row r="895" spans="1:7" x14ac:dyDescent="0.2">
      <c r="A895">
        <v>893</v>
      </c>
      <c r="B895" t="s">
        <v>3561</v>
      </c>
      <c r="C895" t="s">
        <v>3562</v>
      </c>
      <c r="D895" t="b">
        <v>0</v>
      </c>
      <c r="E895" t="b">
        <v>0</v>
      </c>
      <c r="F895" t="b">
        <v>0</v>
      </c>
      <c r="G895" t="b">
        <v>1</v>
      </c>
    </row>
    <row r="896" spans="1:7" x14ac:dyDescent="0.2">
      <c r="A896">
        <v>894</v>
      </c>
      <c r="B896" t="s">
        <v>3563</v>
      </c>
      <c r="C896" t="s">
        <v>3564</v>
      </c>
      <c r="D896" t="b">
        <v>0</v>
      </c>
      <c r="E896" t="b">
        <v>0</v>
      </c>
      <c r="F896" t="b">
        <v>0</v>
      </c>
      <c r="G896" t="b">
        <v>1</v>
      </c>
    </row>
    <row r="897" spans="1:7" x14ac:dyDescent="0.2">
      <c r="A897">
        <v>895</v>
      </c>
      <c r="B897" t="s">
        <v>3565</v>
      </c>
      <c r="C897" t="s">
        <v>3566</v>
      </c>
      <c r="D897" t="b">
        <v>0</v>
      </c>
      <c r="E897" t="b">
        <v>0</v>
      </c>
      <c r="F897" t="b">
        <v>0</v>
      </c>
      <c r="G897" t="b">
        <v>1</v>
      </c>
    </row>
    <row r="898" spans="1:7" x14ac:dyDescent="0.2">
      <c r="A898">
        <v>896</v>
      </c>
      <c r="B898" t="s">
        <v>3567</v>
      </c>
      <c r="C898" t="s">
        <v>3568</v>
      </c>
      <c r="D898" t="b">
        <v>0</v>
      </c>
      <c r="E898" t="b">
        <v>0</v>
      </c>
      <c r="F898" t="b">
        <v>0</v>
      </c>
      <c r="G898" t="b">
        <v>1</v>
      </c>
    </row>
    <row r="899" spans="1:7" x14ac:dyDescent="0.2">
      <c r="A899">
        <v>897</v>
      </c>
      <c r="B899" t="s">
        <v>3569</v>
      </c>
      <c r="C899" t="s">
        <v>3570</v>
      </c>
      <c r="D899" t="b">
        <v>0</v>
      </c>
      <c r="E899" t="b">
        <v>0</v>
      </c>
      <c r="F899" t="b">
        <v>0</v>
      </c>
      <c r="G899" t="b">
        <v>1</v>
      </c>
    </row>
    <row r="900" spans="1:7" x14ac:dyDescent="0.2">
      <c r="A900">
        <v>898</v>
      </c>
      <c r="B900" t="s">
        <v>3571</v>
      </c>
      <c r="C900" t="s">
        <v>3572</v>
      </c>
      <c r="D900" t="b">
        <v>0</v>
      </c>
      <c r="E900" t="b">
        <v>0</v>
      </c>
      <c r="F900" t="b">
        <v>0</v>
      </c>
      <c r="G900" t="b">
        <v>1</v>
      </c>
    </row>
    <row r="901" spans="1:7" x14ac:dyDescent="0.2">
      <c r="A901">
        <v>899</v>
      </c>
      <c r="B901" t="s">
        <v>3573</v>
      </c>
      <c r="C901" t="s">
        <v>3574</v>
      </c>
      <c r="D901" t="b">
        <v>0</v>
      </c>
      <c r="E901" t="b">
        <v>0</v>
      </c>
      <c r="F901" t="b">
        <v>0</v>
      </c>
      <c r="G901" t="b">
        <v>1</v>
      </c>
    </row>
    <row r="902" spans="1:7" x14ac:dyDescent="0.2">
      <c r="A902">
        <v>900</v>
      </c>
      <c r="B902" t="s">
        <v>1489</v>
      </c>
      <c r="C902" t="s">
        <v>1490</v>
      </c>
      <c r="D902" t="b">
        <v>0</v>
      </c>
      <c r="E902" t="b">
        <v>0</v>
      </c>
      <c r="F902" t="b">
        <v>0</v>
      </c>
      <c r="G902" t="b">
        <v>1</v>
      </c>
    </row>
    <row r="903" spans="1:7" x14ac:dyDescent="0.2">
      <c r="A903">
        <v>901</v>
      </c>
      <c r="B903" t="s">
        <v>263</v>
      </c>
      <c r="C903" t="s">
        <v>264</v>
      </c>
      <c r="D903" t="b">
        <v>0</v>
      </c>
      <c r="E903" t="b">
        <v>0</v>
      </c>
      <c r="F903" t="b">
        <v>0</v>
      </c>
      <c r="G903" t="b">
        <v>1</v>
      </c>
    </row>
    <row r="904" spans="1:7" x14ac:dyDescent="0.2">
      <c r="A904">
        <v>902</v>
      </c>
      <c r="B904" t="s">
        <v>3575</v>
      </c>
      <c r="C904" t="s">
        <v>2984</v>
      </c>
      <c r="D904" t="b">
        <v>0</v>
      </c>
      <c r="E904" t="b">
        <v>0</v>
      </c>
      <c r="F904" t="b">
        <v>0</v>
      </c>
      <c r="G904" t="b">
        <v>1</v>
      </c>
    </row>
    <row r="905" spans="1:7" x14ac:dyDescent="0.2">
      <c r="A905">
        <v>903</v>
      </c>
      <c r="B905" t="s">
        <v>3576</v>
      </c>
      <c r="C905" t="s">
        <v>3577</v>
      </c>
      <c r="D905" t="b">
        <v>0</v>
      </c>
      <c r="E905" t="b">
        <v>0</v>
      </c>
      <c r="F905" t="b">
        <v>0</v>
      </c>
      <c r="G905" t="b">
        <v>1</v>
      </c>
    </row>
    <row r="906" spans="1:7" x14ac:dyDescent="0.2">
      <c r="A906">
        <v>904</v>
      </c>
      <c r="B906" t="s">
        <v>3578</v>
      </c>
      <c r="C906" t="s">
        <v>3579</v>
      </c>
      <c r="D906" t="b">
        <v>0</v>
      </c>
      <c r="E906" t="b">
        <v>0</v>
      </c>
      <c r="F906" t="b">
        <v>0</v>
      </c>
      <c r="G906" t="b">
        <v>1</v>
      </c>
    </row>
    <row r="907" spans="1:7" x14ac:dyDescent="0.2">
      <c r="A907">
        <v>905</v>
      </c>
      <c r="B907" t="s">
        <v>1599</v>
      </c>
      <c r="C907" t="s">
        <v>160</v>
      </c>
      <c r="D907" t="b">
        <v>1</v>
      </c>
      <c r="E907" t="b">
        <v>0</v>
      </c>
      <c r="F907" t="b">
        <v>0</v>
      </c>
      <c r="G907" t="b">
        <v>1</v>
      </c>
    </row>
    <row r="908" spans="1:7" x14ac:dyDescent="0.2">
      <c r="A908">
        <v>906</v>
      </c>
      <c r="B908" t="s">
        <v>524</v>
      </c>
      <c r="C908" t="s">
        <v>525</v>
      </c>
      <c r="D908" t="b">
        <v>0</v>
      </c>
      <c r="E908" t="b">
        <v>0</v>
      </c>
      <c r="F908" t="b">
        <v>0</v>
      </c>
      <c r="G908" t="b">
        <v>1</v>
      </c>
    </row>
    <row r="909" spans="1:7" x14ac:dyDescent="0.2">
      <c r="A909">
        <v>907</v>
      </c>
      <c r="B909" t="s">
        <v>3580</v>
      </c>
      <c r="C909" t="s">
        <v>3581</v>
      </c>
      <c r="D909" t="b">
        <v>0</v>
      </c>
      <c r="E909" t="b">
        <v>0</v>
      </c>
      <c r="F909" t="b">
        <v>0</v>
      </c>
      <c r="G909" t="b">
        <v>1</v>
      </c>
    </row>
    <row r="910" spans="1:7" x14ac:dyDescent="0.2">
      <c r="A910">
        <v>908</v>
      </c>
      <c r="B910" t="s">
        <v>367</v>
      </c>
      <c r="C910" t="s">
        <v>368</v>
      </c>
      <c r="D910" t="b">
        <v>0</v>
      </c>
      <c r="E910" t="b">
        <v>0</v>
      </c>
      <c r="F910" t="b">
        <v>0</v>
      </c>
      <c r="G910" t="b">
        <v>1</v>
      </c>
    </row>
    <row r="911" spans="1:7" x14ac:dyDescent="0.2">
      <c r="A911">
        <v>909</v>
      </c>
      <c r="B911" t="s">
        <v>1479</v>
      </c>
      <c r="C911" t="s">
        <v>1480</v>
      </c>
      <c r="D911" t="b">
        <v>0</v>
      </c>
      <c r="E911" t="b">
        <v>0</v>
      </c>
      <c r="F911" t="b">
        <v>0</v>
      </c>
      <c r="G911" t="b">
        <v>1</v>
      </c>
    </row>
    <row r="912" spans="1:7" x14ac:dyDescent="0.2">
      <c r="A912">
        <v>910</v>
      </c>
      <c r="B912" t="s">
        <v>3582</v>
      </c>
      <c r="C912" t="s">
        <v>3583</v>
      </c>
      <c r="D912" t="b">
        <v>0</v>
      </c>
      <c r="E912" t="b">
        <v>0</v>
      </c>
      <c r="F912" t="b">
        <v>0</v>
      </c>
      <c r="G912" t="b">
        <v>1</v>
      </c>
    </row>
    <row r="913" spans="1:7" x14ac:dyDescent="0.2">
      <c r="A913">
        <v>911</v>
      </c>
      <c r="B913" t="s">
        <v>1293</v>
      </c>
      <c r="C913" t="s">
        <v>1294</v>
      </c>
      <c r="D913" t="b">
        <v>0</v>
      </c>
      <c r="E913" t="b">
        <v>0</v>
      </c>
      <c r="F913" t="b">
        <v>0</v>
      </c>
      <c r="G913" t="b">
        <v>1</v>
      </c>
    </row>
    <row r="914" spans="1:7" x14ac:dyDescent="0.2">
      <c r="A914">
        <v>912</v>
      </c>
      <c r="B914" t="s">
        <v>3584</v>
      </c>
      <c r="C914" t="s">
        <v>3585</v>
      </c>
      <c r="D914" t="b">
        <v>0</v>
      </c>
      <c r="E914" t="b">
        <v>0</v>
      </c>
      <c r="F914" t="b">
        <v>0</v>
      </c>
      <c r="G914" t="b">
        <v>1</v>
      </c>
    </row>
    <row r="915" spans="1:7" x14ac:dyDescent="0.2">
      <c r="A915">
        <v>913</v>
      </c>
      <c r="B915" t="s">
        <v>3586</v>
      </c>
      <c r="C915" t="s">
        <v>3587</v>
      </c>
      <c r="D915" t="b">
        <v>0</v>
      </c>
      <c r="E915" t="b">
        <v>0</v>
      </c>
      <c r="F915" t="b">
        <v>0</v>
      </c>
      <c r="G915" t="b">
        <v>1</v>
      </c>
    </row>
    <row r="916" spans="1:7" x14ac:dyDescent="0.2">
      <c r="A916">
        <v>914</v>
      </c>
      <c r="B916" t="s">
        <v>3588</v>
      </c>
      <c r="C916" t="s">
        <v>3589</v>
      </c>
      <c r="D916" t="b">
        <v>0</v>
      </c>
      <c r="E916" t="b">
        <v>0</v>
      </c>
      <c r="F916" t="b">
        <v>0</v>
      </c>
      <c r="G916" t="b">
        <v>1</v>
      </c>
    </row>
    <row r="917" spans="1:7" x14ac:dyDescent="0.2">
      <c r="A917">
        <v>915</v>
      </c>
      <c r="B917" t="s">
        <v>666</v>
      </c>
      <c r="C917" t="s">
        <v>667</v>
      </c>
      <c r="D917" t="b">
        <v>0</v>
      </c>
      <c r="E917" t="b">
        <v>0</v>
      </c>
      <c r="F917" t="b">
        <v>0</v>
      </c>
      <c r="G917" t="b">
        <v>1</v>
      </c>
    </row>
    <row r="918" spans="1:7" x14ac:dyDescent="0.2">
      <c r="A918">
        <v>916</v>
      </c>
      <c r="B918" t="s">
        <v>3590</v>
      </c>
      <c r="C918" t="s">
        <v>3591</v>
      </c>
      <c r="D918" t="b">
        <v>0</v>
      </c>
      <c r="E918" t="b">
        <v>0</v>
      </c>
      <c r="F918" t="b">
        <v>0</v>
      </c>
      <c r="G918" t="b">
        <v>1</v>
      </c>
    </row>
    <row r="919" spans="1:7" x14ac:dyDescent="0.2">
      <c r="A919">
        <v>917</v>
      </c>
      <c r="B919" t="s">
        <v>3592</v>
      </c>
      <c r="C919" t="s">
        <v>3593</v>
      </c>
      <c r="D919" t="b">
        <v>0</v>
      </c>
      <c r="E919" t="b">
        <v>0</v>
      </c>
      <c r="F919" t="b">
        <v>0</v>
      </c>
      <c r="G919" t="b">
        <v>1</v>
      </c>
    </row>
    <row r="920" spans="1:7" x14ac:dyDescent="0.2">
      <c r="A920">
        <v>918</v>
      </c>
      <c r="B920" t="s">
        <v>3594</v>
      </c>
      <c r="C920" t="s">
        <v>3595</v>
      </c>
      <c r="D920" t="b">
        <v>0</v>
      </c>
      <c r="E920" t="b">
        <v>0</v>
      </c>
      <c r="F920" t="b">
        <v>0</v>
      </c>
      <c r="G920" t="b">
        <v>1</v>
      </c>
    </row>
    <row r="921" spans="1:7" x14ac:dyDescent="0.2">
      <c r="A921">
        <v>919</v>
      </c>
      <c r="B921" t="s">
        <v>1894</v>
      </c>
      <c r="C921" s="1" t="s">
        <v>3596</v>
      </c>
      <c r="D921" t="b">
        <v>0</v>
      </c>
      <c r="E921" t="b">
        <v>0</v>
      </c>
      <c r="F921" t="b">
        <v>0</v>
      </c>
      <c r="G921" t="b">
        <v>1</v>
      </c>
    </row>
    <row r="922" spans="1:7" x14ac:dyDescent="0.2">
      <c r="A922">
        <v>920</v>
      </c>
      <c r="B922" t="s">
        <v>3597</v>
      </c>
      <c r="C922" t="s">
        <v>3598</v>
      </c>
      <c r="D922" t="b">
        <v>0</v>
      </c>
      <c r="E922" t="b">
        <v>0</v>
      </c>
      <c r="F922" t="b">
        <v>0</v>
      </c>
      <c r="G922" t="b">
        <v>1</v>
      </c>
    </row>
    <row r="923" spans="1:7" x14ac:dyDescent="0.2">
      <c r="A923">
        <v>921</v>
      </c>
      <c r="B923" t="s">
        <v>1896</v>
      </c>
      <c r="C923" s="1" t="s">
        <v>3599</v>
      </c>
      <c r="D923" t="b">
        <v>0</v>
      </c>
      <c r="E923" t="b">
        <v>0</v>
      </c>
      <c r="F923" t="b">
        <v>0</v>
      </c>
      <c r="G923" t="b">
        <v>1</v>
      </c>
    </row>
    <row r="924" spans="1:7" x14ac:dyDescent="0.2">
      <c r="A924">
        <v>922</v>
      </c>
      <c r="B924" t="s">
        <v>3600</v>
      </c>
      <c r="C924" t="s">
        <v>3601</v>
      </c>
      <c r="D924" t="b">
        <v>0</v>
      </c>
      <c r="E924" t="b">
        <v>0</v>
      </c>
      <c r="F924" t="b">
        <v>0</v>
      </c>
      <c r="G924" t="b">
        <v>1</v>
      </c>
    </row>
    <row r="925" spans="1:7" x14ac:dyDescent="0.2">
      <c r="A925">
        <v>923</v>
      </c>
      <c r="B925" t="s">
        <v>3602</v>
      </c>
      <c r="C925" t="s">
        <v>3603</v>
      </c>
      <c r="D925" t="b">
        <v>0</v>
      </c>
      <c r="E925" t="b">
        <v>0</v>
      </c>
      <c r="F925" t="b">
        <v>0</v>
      </c>
      <c r="G925" t="b">
        <v>1</v>
      </c>
    </row>
    <row r="926" spans="1:7" x14ac:dyDescent="0.2">
      <c r="A926">
        <v>924</v>
      </c>
      <c r="B926" t="s">
        <v>3604</v>
      </c>
      <c r="C926" s="1" t="s">
        <v>3605</v>
      </c>
      <c r="D926" t="b">
        <v>0</v>
      </c>
      <c r="E926" t="b">
        <v>0</v>
      </c>
      <c r="F926" t="b">
        <v>0</v>
      </c>
      <c r="G926" t="b">
        <v>1</v>
      </c>
    </row>
    <row r="927" spans="1:7" x14ac:dyDescent="0.2">
      <c r="A927">
        <v>925</v>
      </c>
      <c r="B927" t="s">
        <v>3606</v>
      </c>
      <c r="C927" t="s">
        <v>3607</v>
      </c>
      <c r="D927" t="b">
        <v>0</v>
      </c>
      <c r="E927" t="b">
        <v>0</v>
      </c>
      <c r="F927" t="b">
        <v>0</v>
      </c>
      <c r="G927" t="b">
        <v>1</v>
      </c>
    </row>
    <row r="928" spans="1:7" x14ac:dyDescent="0.2">
      <c r="A928">
        <v>926</v>
      </c>
      <c r="B928" t="s">
        <v>3608</v>
      </c>
      <c r="C928" t="s">
        <v>3609</v>
      </c>
      <c r="D928" t="b">
        <v>0</v>
      </c>
      <c r="E928" t="b">
        <v>0</v>
      </c>
      <c r="F928" t="b">
        <v>0</v>
      </c>
      <c r="G928" t="b">
        <v>1</v>
      </c>
    </row>
    <row r="929" spans="1:7" x14ac:dyDescent="0.2">
      <c r="A929">
        <v>927</v>
      </c>
      <c r="B929" t="s">
        <v>3610</v>
      </c>
      <c r="C929" t="s">
        <v>3611</v>
      </c>
      <c r="D929" t="b">
        <v>0</v>
      </c>
      <c r="E929" t="b">
        <v>0</v>
      </c>
      <c r="F929" t="b">
        <v>0</v>
      </c>
      <c r="G929" t="b">
        <v>1</v>
      </c>
    </row>
    <row r="930" spans="1:7" x14ac:dyDescent="0.2">
      <c r="A930">
        <v>928</v>
      </c>
      <c r="B930" t="s">
        <v>3612</v>
      </c>
      <c r="C930" t="s">
        <v>3613</v>
      </c>
      <c r="D930" t="b">
        <v>0</v>
      </c>
      <c r="E930" t="b">
        <v>0</v>
      </c>
      <c r="F930" t="b">
        <v>0</v>
      </c>
      <c r="G930" t="b">
        <v>1</v>
      </c>
    </row>
    <row r="931" spans="1:7" x14ac:dyDescent="0.2">
      <c r="A931">
        <v>929</v>
      </c>
      <c r="B931" t="s">
        <v>3614</v>
      </c>
      <c r="C931" t="s">
        <v>3615</v>
      </c>
      <c r="D931" t="b">
        <v>0</v>
      </c>
      <c r="E931" t="b">
        <v>0</v>
      </c>
      <c r="F931" t="b">
        <v>0</v>
      </c>
      <c r="G931" t="b">
        <v>1</v>
      </c>
    </row>
    <row r="932" spans="1:7" x14ac:dyDescent="0.2">
      <c r="A932">
        <v>930</v>
      </c>
      <c r="B932" t="s">
        <v>3616</v>
      </c>
      <c r="C932" t="s">
        <v>3617</v>
      </c>
      <c r="D932" t="b">
        <v>0</v>
      </c>
      <c r="E932" t="b">
        <v>0</v>
      </c>
      <c r="F932" t="b">
        <v>0</v>
      </c>
      <c r="G932" t="b">
        <v>1</v>
      </c>
    </row>
    <row r="933" spans="1:7" x14ac:dyDescent="0.2">
      <c r="A933">
        <v>931</v>
      </c>
      <c r="B933" t="s">
        <v>3618</v>
      </c>
      <c r="C933" t="s">
        <v>3619</v>
      </c>
      <c r="D933" t="b">
        <v>0</v>
      </c>
      <c r="E933" t="b">
        <v>0</v>
      </c>
      <c r="F933" t="b">
        <v>0</v>
      </c>
      <c r="G933" t="b">
        <v>1</v>
      </c>
    </row>
    <row r="934" spans="1:7" x14ac:dyDescent="0.2">
      <c r="A934">
        <v>932</v>
      </c>
      <c r="B934" t="s">
        <v>3620</v>
      </c>
      <c r="C934" t="s">
        <v>3621</v>
      </c>
      <c r="D934" t="b">
        <v>0</v>
      </c>
      <c r="E934" t="b">
        <v>0</v>
      </c>
      <c r="F934" t="b">
        <v>0</v>
      </c>
      <c r="G934" t="b">
        <v>1</v>
      </c>
    </row>
    <row r="935" spans="1:7" x14ac:dyDescent="0.2">
      <c r="A935">
        <v>933</v>
      </c>
      <c r="B935" t="s">
        <v>3622</v>
      </c>
      <c r="C935" t="s">
        <v>3623</v>
      </c>
      <c r="D935" t="b">
        <v>0</v>
      </c>
      <c r="E935" t="b">
        <v>0</v>
      </c>
      <c r="F935" t="b">
        <v>0</v>
      </c>
      <c r="G935" t="b">
        <v>1</v>
      </c>
    </row>
    <row r="936" spans="1:7" x14ac:dyDescent="0.2">
      <c r="A936">
        <v>934</v>
      </c>
      <c r="B936" t="s">
        <v>3624</v>
      </c>
      <c r="C936" t="s">
        <v>3625</v>
      </c>
      <c r="D936" t="b">
        <v>0</v>
      </c>
      <c r="E936" t="b">
        <v>0</v>
      </c>
      <c r="F936" t="b">
        <v>0</v>
      </c>
      <c r="G936" t="b">
        <v>1</v>
      </c>
    </row>
    <row r="937" spans="1:7" x14ac:dyDescent="0.2">
      <c r="A937">
        <v>935</v>
      </c>
      <c r="B937" t="s">
        <v>3626</v>
      </c>
      <c r="C937" t="s">
        <v>3627</v>
      </c>
      <c r="D937" t="b">
        <v>0</v>
      </c>
      <c r="E937" t="b">
        <v>0</v>
      </c>
      <c r="F937" t="b">
        <v>0</v>
      </c>
      <c r="G937" t="b">
        <v>1</v>
      </c>
    </row>
    <row r="938" spans="1:7" x14ac:dyDescent="0.2">
      <c r="A938">
        <v>936</v>
      </c>
      <c r="B938" t="s">
        <v>670</v>
      </c>
      <c r="C938" t="s">
        <v>671</v>
      </c>
      <c r="D938" t="b">
        <v>0</v>
      </c>
      <c r="E938" t="b">
        <v>0</v>
      </c>
      <c r="F938" t="b">
        <v>0</v>
      </c>
      <c r="G938" t="b">
        <v>1</v>
      </c>
    </row>
    <row r="939" spans="1:7" x14ac:dyDescent="0.2">
      <c r="A939">
        <v>937</v>
      </c>
      <c r="B939" t="s">
        <v>3628</v>
      </c>
      <c r="C939" t="s">
        <v>3629</v>
      </c>
      <c r="D939" t="b">
        <v>0</v>
      </c>
      <c r="E939" t="b">
        <v>0</v>
      </c>
      <c r="F939" t="b">
        <v>0</v>
      </c>
      <c r="G939" t="b">
        <v>1</v>
      </c>
    </row>
    <row r="940" spans="1:7" x14ac:dyDescent="0.2">
      <c r="A940">
        <v>938</v>
      </c>
      <c r="B940" t="s">
        <v>3630</v>
      </c>
      <c r="C940" t="s">
        <v>3631</v>
      </c>
      <c r="D940" t="b">
        <v>0</v>
      </c>
      <c r="E940" t="b">
        <v>0</v>
      </c>
      <c r="F940" t="b">
        <v>0</v>
      </c>
      <c r="G940" t="b">
        <v>1</v>
      </c>
    </row>
    <row r="941" spans="1:7" x14ac:dyDescent="0.2">
      <c r="A941">
        <v>939</v>
      </c>
      <c r="B941" t="s">
        <v>3632</v>
      </c>
      <c r="C941" t="s">
        <v>3633</v>
      </c>
      <c r="D941" t="b">
        <v>1</v>
      </c>
      <c r="E941" t="b">
        <v>0</v>
      </c>
      <c r="F941" t="b">
        <v>0</v>
      </c>
      <c r="G941" t="b">
        <v>1</v>
      </c>
    </row>
    <row r="942" spans="1:7" x14ac:dyDescent="0.2">
      <c r="A942">
        <v>940</v>
      </c>
      <c r="B942" t="s">
        <v>1900</v>
      </c>
      <c r="C942" t="s">
        <v>9412</v>
      </c>
      <c r="D942" t="b">
        <v>0</v>
      </c>
      <c r="E942" t="b">
        <v>0</v>
      </c>
      <c r="F942" t="b">
        <v>0</v>
      </c>
      <c r="G942" t="b">
        <v>1</v>
      </c>
    </row>
    <row r="943" spans="1:7" x14ac:dyDescent="0.2">
      <c r="A943">
        <v>941</v>
      </c>
      <c r="B943" t="s">
        <v>1901</v>
      </c>
      <c r="C943" t="s">
        <v>3634</v>
      </c>
      <c r="D943" t="b">
        <v>0</v>
      </c>
      <c r="E943" t="b">
        <v>0</v>
      </c>
      <c r="F943" t="b">
        <v>0</v>
      </c>
      <c r="G943" t="b">
        <v>1</v>
      </c>
    </row>
    <row r="944" spans="1:7" x14ac:dyDescent="0.2">
      <c r="A944">
        <v>942</v>
      </c>
      <c r="B944" t="s">
        <v>1902</v>
      </c>
      <c r="C944" t="s">
        <v>3635</v>
      </c>
      <c r="D944" t="b">
        <v>0</v>
      </c>
      <c r="E944" t="b">
        <v>0</v>
      </c>
      <c r="F944" t="b">
        <v>0</v>
      </c>
      <c r="G944" t="b">
        <v>1</v>
      </c>
    </row>
    <row r="945" spans="1:7" x14ac:dyDescent="0.2">
      <c r="A945">
        <v>943</v>
      </c>
      <c r="B945" t="s">
        <v>3636</v>
      </c>
      <c r="C945" t="s">
        <v>3637</v>
      </c>
      <c r="D945" t="b">
        <v>0</v>
      </c>
      <c r="E945" t="b">
        <v>0</v>
      </c>
      <c r="F945" t="b">
        <v>0</v>
      </c>
      <c r="G945" t="b">
        <v>1</v>
      </c>
    </row>
    <row r="946" spans="1:7" x14ac:dyDescent="0.2">
      <c r="A946">
        <v>944</v>
      </c>
      <c r="B946" t="s">
        <v>3638</v>
      </c>
      <c r="C946" t="s">
        <v>3639</v>
      </c>
      <c r="D946" t="b">
        <v>0</v>
      </c>
      <c r="E946" t="b">
        <v>0</v>
      </c>
      <c r="F946" t="b">
        <v>0</v>
      </c>
      <c r="G946" t="b">
        <v>1</v>
      </c>
    </row>
    <row r="947" spans="1:7" x14ac:dyDescent="0.2">
      <c r="A947">
        <v>945</v>
      </c>
      <c r="B947" t="s">
        <v>3640</v>
      </c>
      <c r="C947" t="s">
        <v>3641</v>
      </c>
      <c r="D947" t="b">
        <v>0</v>
      </c>
      <c r="E947" t="b">
        <v>0</v>
      </c>
      <c r="F947" t="b">
        <v>0</v>
      </c>
      <c r="G947" t="b">
        <v>1</v>
      </c>
    </row>
    <row r="948" spans="1:7" x14ac:dyDescent="0.2">
      <c r="A948">
        <v>946</v>
      </c>
      <c r="B948" t="s">
        <v>3642</v>
      </c>
      <c r="C948" t="s">
        <v>3643</v>
      </c>
      <c r="D948" t="b">
        <v>0</v>
      </c>
      <c r="E948" t="b">
        <v>0</v>
      </c>
      <c r="F948" t="b">
        <v>0</v>
      </c>
      <c r="G948" t="b">
        <v>1</v>
      </c>
    </row>
    <row r="949" spans="1:7" x14ac:dyDescent="0.2">
      <c r="A949">
        <v>947</v>
      </c>
      <c r="B949" t="s">
        <v>3644</v>
      </c>
      <c r="C949" t="s">
        <v>3645</v>
      </c>
      <c r="D949" t="b">
        <v>0</v>
      </c>
      <c r="E949" t="b">
        <v>0</v>
      </c>
      <c r="F949" t="b">
        <v>0</v>
      </c>
      <c r="G949" t="b">
        <v>1</v>
      </c>
    </row>
    <row r="950" spans="1:7" x14ac:dyDescent="0.2">
      <c r="A950">
        <v>948</v>
      </c>
      <c r="B950" t="s">
        <v>3646</v>
      </c>
      <c r="C950" t="s">
        <v>3647</v>
      </c>
      <c r="D950" t="b">
        <v>0</v>
      </c>
      <c r="E950" t="b">
        <v>0</v>
      </c>
      <c r="F950" t="b">
        <v>0</v>
      </c>
      <c r="G950" t="b">
        <v>1</v>
      </c>
    </row>
    <row r="951" spans="1:7" x14ac:dyDescent="0.2">
      <c r="A951">
        <v>949</v>
      </c>
      <c r="B951" t="s">
        <v>3648</v>
      </c>
      <c r="C951" t="s">
        <v>3649</v>
      </c>
      <c r="D951" t="b">
        <v>0</v>
      </c>
      <c r="E951" t="b">
        <v>0</v>
      </c>
      <c r="F951" t="b">
        <v>0</v>
      </c>
      <c r="G951" t="b">
        <v>1</v>
      </c>
    </row>
    <row r="952" spans="1:7" x14ac:dyDescent="0.2">
      <c r="A952">
        <v>950</v>
      </c>
      <c r="B952" t="s">
        <v>1905</v>
      </c>
      <c r="C952" s="1" t="s">
        <v>3650</v>
      </c>
      <c r="D952" t="b">
        <v>0</v>
      </c>
      <c r="E952" t="b">
        <v>0</v>
      </c>
      <c r="F952" t="b">
        <v>0</v>
      </c>
      <c r="G952" t="b">
        <v>1</v>
      </c>
    </row>
    <row r="953" spans="1:7" x14ac:dyDescent="0.2">
      <c r="A953">
        <v>951</v>
      </c>
      <c r="B953" t="s">
        <v>3651</v>
      </c>
      <c r="C953" t="s">
        <v>3652</v>
      </c>
      <c r="D953" t="b">
        <v>0</v>
      </c>
      <c r="E953" t="b">
        <v>0</v>
      </c>
      <c r="F953" t="b">
        <v>0</v>
      </c>
      <c r="G953" t="b">
        <v>1</v>
      </c>
    </row>
    <row r="954" spans="1:7" x14ac:dyDescent="0.2">
      <c r="A954">
        <v>952</v>
      </c>
      <c r="B954" t="s">
        <v>3653</v>
      </c>
      <c r="C954" t="s">
        <v>3654</v>
      </c>
      <c r="D954" t="b">
        <v>0</v>
      </c>
      <c r="E954" t="b">
        <v>0</v>
      </c>
      <c r="F954" t="b">
        <v>0</v>
      </c>
      <c r="G954" t="b">
        <v>1</v>
      </c>
    </row>
    <row r="955" spans="1:7" x14ac:dyDescent="0.2">
      <c r="A955">
        <v>953</v>
      </c>
      <c r="B955" t="s">
        <v>3655</v>
      </c>
      <c r="C955" t="s">
        <v>3656</v>
      </c>
      <c r="D955" t="b">
        <v>0</v>
      </c>
      <c r="E955" t="b">
        <v>0</v>
      </c>
      <c r="F955" t="b">
        <v>0</v>
      </c>
      <c r="G955" t="b">
        <v>1</v>
      </c>
    </row>
    <row r="956" spans="1:7" x14ac:dyDescent="0.2">
      <c r="A956">
        <v>954</v>
      </c>
      <c r="B956" t="s">
        <v>1581</v>
      </c>
      <c r="C956" t="s">
        <v>1582</v>
      </c>
      <c r="D956" t="b">
        <v>0</v>
      </c>
      <c r="E956" t="b">
        <v>0</v>
      </c>
      <c r="F956" t="b">
        <v>0</v>
      </c>
      <c r="G956" t="b">
        <v>1</v>
      </c>
    </row>
    <row r="957" spans="1:7" x14ac:dyDescent="0.2">
      <c r="A957">
        <v>955</v>
      </c>
      <c r="B957" t="s">
        <v>3657</v>
      </c>
      <c r="C957" t="s">
        <v>3658</v>
      </c>
      <c r="D957" t="b">
        <v>0</v>
      </c>
      <c r="E957" t="b">
        <v>0</v>
      </c>
      <c r="F957" t="b">
        <v>0</v>
      </c>
      <c r="G957" t="b">
        <v>1</v>
      </c>
    </row>
    <row r="958" spans="1:7" x14ac:dyDescent="0.2">
      <c r="A958">
        <v>956</v>
      </c>
      <c r="B958" t="s">
        <v>3659</v>
      </c>
      <c r="C958" t="s">
        <v>3660</v>
      </c>
      <c r="D958" t="b">
        <v>0</v>
      </c>
      <c r="E958" t="b">
        <v>0</v>
      </c>
      <c r="F958" t="b">
        <v>0</v>
      </c>
      <c r="G958" t="b">
        <v>1</v>
      </c>
    </row>
    <row r="959" spans="1:7" x14ac:dyDescent="0.2">
      <c r="A959">
        <v>957</v>
      </c>
      <c r="B959" t="s">
        <v>3661</v>
      </c>
      <c r="C959" t="s">
        <v>3662</v>
      </c>
      <c r="D959" t="b">
        <v>0</v>
      </c>
      <c r="E959" t="b">
        <v>0</v>
      </c>
      <c r="F959" t="b">
        <v>0</v>
      </c>
      <c r="G959" t="b">
        <v>1</v>
      </c>
    </row>
    <row r="960" spans="1:7" x14ac:dyDescent="0.2">
      <c r="A960">
        <v>958</v>
      </c>
      <c r="B960" t="s">
        <v>1157</v>
      </c>
      <c r="C960" t="s">
        <v>1158</v>
      </c>
      <c r="D960" t="b">
        <v>0</v>
      </c>
      <c r="E960" t="b">
        <v>0</v>
      </c>
      <c r="F960" t="b">
        <v>0</v>
      </c>
      <c r="G960" t="b">
        <v>1</v>
      </c>
    </row>
    <row r="961" spans="1:7" x14ac:dyDescent="0.2">
      <c r="A961">
        <v>959</v>
      </c>
      <c r="B961" t="s">
        <v>3663</v>
      </c>
      <c r="C961" t="s">
        <v>3664</v>
      </c>
      <c r="D961" t="b">
        <v>0</v>
      </c>
      <c r="E961" t="b">
        <v>0</v>
      </c>
      <c r="F961" t="b">
        <v>0</v>
      </c>
      <c r="G961" t="b">
        <v>1</v>
      </c>
    </row>
    <row r="962" spans="1:7" x14ac:dyDescent="0.2">
      <c r="A962">
        <v>960</v>
      </c>
      <c r="B962" t="s">
        <v>3665</v>
      </c>
      <c r="C962" t="s">
        <v>3666</v>
      </c>
      <c r="D962" t="b">
        <v>0</v>
      </c>
      <c r="E962" t="b">
        <v>0</v>
      </c>
      <c r="F962" t="b">
        <v>0</v>
      </c>
      <c r="G962" t="b">
        <v>1</v>
      </c>
    </row>
    <row r="963" spans="1:7" x14ac:dyDescent="0.2">
      <c r="A963">
        <v>961</v>
      </c>
      <c r="B963" t="s">
        <v>3667</v>
      </c>
      <c r="C963" t="s">
        <v>3668</v>
      </c>
      <c r="D963" t="b">
        <v>0</v>
      </c>
      <c r="E963" t="b">
        <v>0</v>
      </c>
      <c r="F963" t="b">
        <v>0</v>
      </c>
      <c r="G963" t="b">
        <v>1</v>
      </c>
    </row>
    <row r="964" spans="1:7" x14ac:dyDescent="0.2">
      <c r="A964">
        <v>962</v>
      </c>
      <c r="B964" t="s">
        <v>1422</v>
      </c>
      <c r="C964" t="s">
        <v>1423</v>
      </c>
      <c r="D964" t="b">
        <v>0</v>
      </c>
      <c r="E964" t="b">
        <v>0</v>
      </c>
      <c r="F964" t="b">
        <v>0</v>
      </c>
      <c r="G964" t="b">
        <v>1</v>
      </c>
    </row>
    <row r="965" spans="1:7" x14ac:dyDescent="0.2">
      <c r="A965">
        <v>963</v>
      </c>
      <c r="B965" t="s">
        <v>3669</v>
      </c>
      <c r="C965" s="1" t="s">
        <v>3670</v>
      </c>
      <c r="D965" t="b">
        <v>0</v>
      </c>
      <c r="E965" t="b">
        <v>0</v>
      </c>
      <c r="F965" t="b">
        <v>0</v>
      </c>
      <c r="G965" t="b">
        <v>1</v>
      </c>
    </row>
    <row r="966" spans="1:7" x14ac:dyDescent="0.2">
      <c r="A966">
        <v>964</v>
      </c>
      <c r="B966" t="s">
        <v>1295</v>
      </c>
      <c r="C966" s="1" t="s">
        <v>1296</v>
      </c>
      <c r="D966" t="b">
        <v>0</v>
      </c>
      <c r="E966" t="b">
        <v>0</v>
      </c>
      <c r="F966" t="b">
        <v>0</v>
      </c>
      <c r="G966" t="b">
        <v>1</v>
      </c>
    </row>
    <row r="967" spans="1:7" x14ac:dyDescent="0.2">
      <c r="A967">
        <v>965</v>
      </c>
      <c r="B967" t="s">
        <v>3671</v>
      </c>
      <c r="C967" t="s">
        <v>3672</v>
      </c>
      <c r="D967" t="b">
        <v>0</v>
      </c>
      <c r="E967" t="b">
        <v>0</v>
      </c>
      <c r="F967" t="b">
        <v>0</v>
      </c>
      <c r="G967" t="b">
        <v>1</v>
      </c>
    </row>
    <row r="968" spans="1:7" x14ac:dyDescent="0.2">
      <c r="A968">
        <v>966</v>
      </c>
      <c r="B968" t="s">
        <v>145</v>
      </c>
      <c r="C968" t="s">
        <v>146</v>
      </c>
      <c r="D968" t="b">
        <v>0</v>
      </c>
      <c r="E968" t="b">
        <v>0</v>
      </c>
      <c r="F968" t="b">
        <v>0</v>
      </c>
      <c r="G968" t="b">
        <v>1</v>
      </c>
    </row>
    <row r="969" spans="1:7" x14ac:dyDescent="0.2">
      <c r="A969">
        <v>967</v>
      </c>
      <c r="B969" t="s">
        <v>3673</v>
      </c>
      <c r="C969" t="s">
        <v>3674</v>
      </c>
      <c r="D969" t="b">
        <v>0</v>
      </c>
      <c r="E969" t="b">
        <v>0</v>
      </c>
      <c r="F969" t="b">
        <v>0</v>
      </c>
      <c r="G969" t="b">
        <v>1</v>
      </c>
    </row>
    <row r="970" spans="1:7" x14ac:dyDescent="0.2">
      <c r="A970">
        <v>968</v>
      </c>
      <c r="B970" t="s">
        <v>3675</v>
      </c>
      <c r="C970" s="1" t="s">
        <v>3676</v>
      </c>
      <c r="D970" t="b">
        <v>0</v>
      </c>
      <c r="E970" t="b">
        <v>0</v>
      </c>
      <c r="F970" t="b">
        <v>0</v>
      </c>
      <c r="G970" t="b">
        <v>1</v>
      </c>
    </row>
    <row r="971" spans="1:7" x14ac:dyDescent="0.2">
      <c r="A971">
        <v>969</v>
      </c>
      <c r="B971" t="s">
        <v>3677</v>
      </c>
      <c r="C971" s="1" t="s">
        <v>3678</v>
      </c>
      <c r="D971" t="b">
        <v>0</v>
      </c>
      <c r="E971" t="b">
        <v>0</v>
      </c>
      <c r="F971" t="b">
        <v>0</v>
      </c>
      <c r="G971" t="b">
        <v>1</v>
      </c>
    </row>
    <row r="972" spans="1:7" x14ac:dyDescent="0.2">
      <c r="A972">
        <v>970</v>
      </c>
      <c r="B972" t="s">
        <v>3679</v>
      </c>
      <c r="C972" s="1" t="s">
        <v>3680</v>
      </c>
      <c r="D972" t="b">
        <v>0</v>
      </c>
      <c r="E972" t="b">
        <v>0</v>
      </c>
      <c r="F972" t="b">
        <v>0</v>
      </c>
      <c r="G972" t="b">
        <v>1</v>
      </c>
    </row>
    <row r="973" spans="1:7" x14ac:dyDescent="0.2">
      <c r="A973">
        <v>971</v>
      </c>
      <c r="B973" t="s">
        <v>3681</v>
      </c>
      <c r="C973" t="s">
        <v>3682</v>
      </c>
      <c r="D973" t="b">
        <v>0</v>
      </c>
      <c r="E973" t="b">
        <v>0</v>
      </c>
      <c r="F973" t="b">
        <v>0</v>
      </c>
      <c r="G973" t="b">
        <v>1</v>
      </c>
    </row>
    <row r="974" spans="1:7" x14ac:dyDescent="0.2">
      <c r="A974">
        <v>972</v>
      </c>
      <c r="B974" t="s">
        <v>3683</v>
      </c>
      <c r="C974" t="s">
        <v>3684</v>
      </c>
      <c r="D974" t="b">
        <v>0</v>
      </c>
      <c r="E974" t="b">
        <v>0</v>
      </c>
      <c r="F974" t="b">
        <v>0</v>
      </c>
      <c r="G974" t="b">
        <v>1</v>
      </c>
    </row>
    <row r="975" spans="1:7" x14ac:dyDescent="0.2">
      <c r="A975">
        <v>973</v>
      </c>
      <c r="B975" t="s">
        <v>3685</v>
      </c>
      <c r="C975" t="s">
        <v>3686</v>
      </c>
      <c r="D975" t="b">
        <v>0</v>
      </c>
      <c r="E975" t="b">
        <v>0</v>
      </c>
      <c r="F975" t="b">
        <v>0</v>
      </c>
      <c r="G975" t="b">
        <v>1</v>
      </c>
    </row>
    <row r="976" spans="1:7" x14ac:dyDescent="0.2">
      <c r="A976">
        <v>974</v>
      </c>
      <c r="B976" t="s">
        <v>3687</v>
      </c>
      <c r="C976" t="s">
        <v>3688</v>
      </c>
      <c r="D976" t="b">
        <v>0</v>
      </c>
      <c r="E976" t="b">
        <v>0</v>
      </c>
      <c r="F976" t="b">
        <v>0</v>
      </c>
      <c r="G976" t="b">
        <v>1</v>
      </c>
    </row>
    <row r="977" spans="1:7" x14ac:dyDescent="0.2">
      <c r="A977">
        <v>975</v>
      </c>
      <c r="B977" t="s">
        <v>3689</v>
      </c>
      <c r="C977" t="s">
        <v>3690</v>
      </c>
      <c r="D977" t="b">
        <v>0</v>
      </c>
      <c r="E977" t="b">
        <v>0</v>
      </c>
      <c r="F977" t="b">
        <v>0</v>
      </c>
      <c r="G977" t="b">
        <v>1</v>
      </c>
    </row>
    <row r="978" spans="1:7" x14ac:dyDescent="0.2">
      <c r="A978">
        <v>976</v>
      </c>
      <c r="B978" t="s">
        <v>3691</v>
      </c>
      <c r="C978" s="1" t="s">
        <v>3692</v>
      </c>
      <c r="D978" t="b">
        <v>0</v>
      </c>
      <c r="E978" t="b">
        <v>0</v>
      </c>
      <c r="F978" t="b">
        <v>0</v>
      </c>
      <c r="G978" t="b">
        <v>1</v>
      </c>
    </row>
    <row r="979" spans="1:7" x14ac:dyDescent="0.2">
      <c r="A979">
        <v>977</v>
      </c>
      <c r="B979" t="s">
        <v>510</v>
      </c>
      <c r="C979" t="s">
        <v>511</v>
      </c>
      <c r="D979" t="b">
        <v>0</v>
      </c>
      <c r="E979" t="b">
        <v>0</v>
      </c>
      <c r="F979" t="b">
        <v>0</v>
      </c>
      <c r="G979" t="b">
        <v>1</v>
      </c>
    </row>
    <row r="980" spans="1:7" x14ac:dyDescent="0.2">
      <c r="A980">
        <v>978</v>
      </c>
      <c r="B980" t="s">
        <v>3693</v>
      </c>
      <c r="C980" t="s">
        <v>3694</v>
      </c>
      <c r="D980" t="b">
        <v>0</v>
      </c>
      <c r="E980" t="b">
        <v>0</v>
      </c>
      <c r="F980" t="b">
        <v>0</v>
      </c>
      <c r="G980" t="b">
        <v>1</v>
      </c>
    </row>
    <row r="981" spans="1:7" x14ac:dyDescent="0.2">
      <c r="A981">
        <v>979</v>
      </c>
      <c r="B981" t="s">
        <v>3695</v>
      </c>
      <c r="C981" t="s">
        <v>3696</v>
      </c>
      <c r="D981" t="b">
        <v>0</v>
      </c>
      <c r="E981" t="b">
        <v>0</v>
      </c>
      <c r="F981" t="b">
        <v>0</v>
      </c>
      <c r="G981" t="b">
        <v>1</v>
      </c>
    </row>
    <row r="982" spans="1:7" x14ac:dyDescent="0.2">
      <c r="A982">
        <v>980</v>
      </c>
      <c r="B982" t="s">
        <v>3697</v>
      </c>
      <c r="C982" t="s">
        <v>3698</v>
      </c>
      <c r="D982" t="b">
        <v>0</v>
      </c>
      <c r="E982" t="b">
        <v>0</v>
      </c>
      <c r="F982" t="b">
        <v>0</v>
      </c>
      <c r="G982" t="b">
        <v>1</v>
      </c>
    </row>
    <row r="983" spans="1:7" x14ac:dyDescent="0.2">
      <c r="A983">
        <v>981</v>
      </c>
      <c r="B983" t="s">
        <v>1914</v>
      </c>
      <c r="C983" t="s">
        <v>3699</v>
      </c>
      <c r="D983" t="b">
        <v>0</v>
      </c>
      <c r="E983" t="b">
        <v>0</v>
      </c>
      <c r="F983" t="b">
        <v>0</v>
      </c>
      <c r="G983" t="b">
        <v>1</v>
      </c>
    </row>
    <row r="984" spans="1:7" x14ac:dyDescent="0.2">
      <c r="A984">
        <v>982</v>
      </c>
      <c r="B984" t="s">
        <v>3700</v>
      </c>
      <c r="C984" t="s">
        <v>3701</v>
      </c>
      <c r="D984" t="b">
        <v>0</v>
      </c>
      <c r="E984" t="b">
        <v>0</v>
      </c>
      <c r="F984" t="b">
        <v>0</v>
      </c>
      <c r="G984" t="b">
        <v>1</v>
      </c>
    </row>
    <row r="985" spans="1:7" x14ac:dyDescent="0.2">
      <c r="A985">
        <v>983</v>
      </c>
      <c r="B985" t="s">
        <v>3702</v>
      </c>
      <c r="C985" t="s">
        <v>3703</v>
      </c>
      <c r="D985" t="b">
        <v>0</v>
      </c>
      <c r="E985" t="b">
        <v>0</v>
      </c>
      <c r="F985" t="b">
        <v>0</v>
      </c>
      <c r="G985" t="b">
        <v>1</v>
      </c>
    </row>
    <row r="986" spans="1:7" x14ac:dyDescent="0.2">
      <c r="A986">
        <v>984</v>
      </c>
      <c r="B986" t="s">
        <v>526</v>
      </c>
      <c r="C986" t="s">
        <v>527</v>
      </c>
      <c r="D986" t="b">
        <v>0</v>
      </c>
      <c r="E986" t="b">
        <v>0</v>
      </c>
      <c r="F986" t="b">
        <v>0</v>
      </c>
      <c r="G986" t="b">
        <v>1</v>
      </c>
    </row>
    <row r="987" spans="1:7" x14ac:dyDescent="0.2">
      <c r="A987">
        <v>985</v>
      </c>
      <c r="B987" t="s">
        <v>3704</v>
      </c>
      <c r="C987" t="s">
        <v>3705</v>
      </c>
      <c r="D987" t="b">
        <v>0</v>
      </c>
      <c r="E987" t="b">
        <v>0</v>
      </c>
      <c r="F987" t="b">
        <v>0</v>
      </c>
      <c r="G987" t="b">
        <v>1</v>
      </c>
    </row>
    <row r="988" spans="1:7" x14ac:dyDescent="0.2">
      <c r="A988">
        <v>986</v>
      </c>
      <c r="B988" t="s">
        <v>3706</v>
      </c>
      <c r="C988" t="s">
        <v>3707</v>
      </c>
      <c r="D988" t="b">
        <v>0</v>
      </c>
      <c r="E988" t="b">
        <v>0</v>
      </c>
      <c r="F988" t="b">
        <v>0</v>
      </c>
      <c r="G988" t="b">
        <v>1</v>
      </c>
    </row>
    <row r="989" spans="1:7" x14ac:dyDescent="0.2">
      <c r="A989">
        <v>987</v>
      </c>
      <c r="B989" t="s">
        <v>3708</v>
      </c>
      <c r="C989" t="s">
        <v>3709</v>
      </c>
      <c r="D989" t="b">
        <v>0</v>
      </c>
      <c r="E989" t="b">
        <v>0</v>
      </c>
      <c r="F989" t="b">
        <v>0</v>
      </c>
      <c r="G989" t="b">
        <v>1</v>
      </c>
    </row>
    <row r="990" spans="1:7" x14ac:dyDescent="0.2">
      <c r="A990">
        <v>988</v>
      </c>
      <c r="B990" t="s">
        <v>1418</v>
      </c>
      <c r="C990" t="s">
        <v>1419</v>
      </c>
      <c r="D990" t="b">
        <v>0</v>
      </c>
      <c r="E990" t="b">
        <v>0</v>
      </c>
      <c r="F990" t="b">
        <v>0</v>
      </c>
      <c r="G990" t="b">
        <v>1</v>
      </c>
    </row>
    <row r="991" spans="1:7" x14ac:dyDescent="0.2">
      <c r="A991">
        <v>989</v>
      </c>
      <c r="B991" t="s">
        <v>3710</v>
      </c>
      <c r="C991" t="s">
        <v>3711</v>
      </c>
      <c r="D991" t="b">
        <v>0</v>
      </c>
      <c r="E991" t="b">
        <v>0</v>
      </c>
      <c r="F991" t="b">
        <v>0</v>
      </c>
      <c r="G991" t="b">
        <v>1</v>
      </c>
    </row>
    <row r="992" spans="1:7" x14ac:dyDescent="0.2">
      <c r="A992">
        <v>990</v>
      </c>
      <c r="B992" t="s">
        <v>3712</v>
      </c>
      <c r="C992" t="s">
        <v>3713</v>
      </c>
      <c r="D992" t="b">
        <v>0</v>
      </c>
      <c r="E992" t="b">
        <v>0</v>
      </c>
      <c r="F992" t="b">
        <v>0</v>
      </c>
      <c r="G992" t="b">
        <v>1</v>
      </c>
    </row>
    <row r="993" spans="1:7" x14ac:dyDescent="0.2">
      <c r="A993">
        <v>991</v>
      </c>
      <c r="B993" t="s">
        <v>3714</v>
      </c>
      <c r="C993" s="1" t="s">
        <v>3715</v>
      </c>
      <c r="D993" t="b">
        <v>0</v>
      </c>
      <c r="E993" t="b">
        <v>0</v>
      </c>
      <c r="F993" t="b">
        <v>0</v>
      </c>
      <c r="G993" t="b">
        <v>1</v>
      </c>
    </row>
    <row r="994" spans="1:7" x14ac:dyDescent="0.2">
      <c r="A994">
        <v>992</v>
      </c>
      <c r="B994" t="s">
        <v>3716</v>
      </c>
      <c r="C994" t="s">
        <v>3717</v>
      </c>
      <c r="D994" t="b">
        <v>0</v>
      </c>
      <c r="E994" t="b">
        <v>0</v>
      </c>
      <c r="F994" t="b">
        <v>0</v>
      </c>
      <c r="G994" t="b">
        <v>1</v>
      </c>
    </row>
    <row r="995" spans="1:7" x14ac:dyDescent="0.2">
      <c r="A995">
        <v>993</v>
      </c>
      <c r="B995" t="s">
        <v>1916</v>
      </c>
      <c r="C995" t="s">
        <v>3718</v>
      </c>
      <c r="D995" t="b">
        <v>0</v>
      </c>
      <c r="E995" t="b">
        <v>0</v>
      </c>
      <c r="F995" t="b">
        <v>0</v>
      </c>
      <c r="G995" t="b">
        <v>1</v>
      </c>
    </row>
    <row r="996" spans="1:7" x14ac:dyDescent="0.2">
      <c r="A996">
        <v>994</v>
      </c>
      <c r="B996" t="s">
        <v>1917</v>
      </c>
      <c r="C996" t="s">
        <v>3719</v>
      </c>
      <c r="D996" t="b">
        <v>0</v>
      </c>
      <c r="E996" t="b">
        <v>0</v>
      </c>
      <c r="F996" t="b">
        <v>0</v>
      </c>
      <c r="G996" t="b">
        <v>1</v>
      </c>
    </row>
    <row r="997" spans="1:7" x14ac:dyDescent="0.2">
      <c r="A997">
        <v>995</v>
      </c>
      <c r="B997" t="s">
        <v>3720</v>
      </c>
      <c r="C997" t="s">
        <v>3721</v>
      </c>
      <c r="D997" t="b">
        <v>0</v>
      </c>
      <c r="E997" t="b">
        <v>0</v>
      </c>
      <c r="F997" t="b">
        <v>0</v>
      </c>
      <c r="G997" t="b">
        <v>1</v>
      </c>
    </row>
    <row r="998" spans="1:7" x14ac:dyDescent="0.2">
      <c r="A998">
        <v>996</v>
      </c>
      <c r="B998" t="s">
        <v>3722</v>
      </c>
      <c r="C998" t="s">
        <v>3723</v>
      </c>
      <c r="D998" t="b">
        <v>0</v>
      </c>
      <c r="E998" t="b">
        <v>0</v>
      </c>
      <c r="F998" t="b">
        <v>0</v>
      </c>
      <c r="G998" t="b">
        <v>1</v>
      </c>
    </row>
    <row r="999" spans="1:7" x14ac:dyDescent="0.2">
      <c r="A999">
        <v>997</v>
      </c>
      <c r="B999" t="s">
        <v>3724</v>
      </c>
      <c r="C999" t="s">
        <v>3725</v>
      </c>
      <c r="D999" t="b">
        <v>0</v>
      </c>
      <c r="E999" t="b">
        <v>0</v>
      </c>
      <c r="F999" t="b">
        <v>0</v>
      </c>
      <c r="G999" t="b">
        <v>1</v>
      </c>
    </row>
    <row r="1000" spans="1:7" x14ac:dyDescent="0.2">
      <c r="A1000">
        <v>998</v>
      </c>
      <c r="B1000" t="s">
        <v>3726</v>
      </c>
      <c r="C1000" s="1" t="s">
        <v>3727</v>
      </c>
      <c r="D1000" t="b">
        <v>0</v>
      </c>
      <c r="E1000" t="b">
        <v>0</v>
      </c>
      <c r="F1000" t="b">
        <v>0</v>
      </c>
      <c r="G1000" t="b">
        <v>1</v>
      </c>
    </row>
    <row r="1001" spans="1:7" x14ac:dyDescent="0.2">
      <c r="A1001">
        <v>999</v>
      </c>
      <c r="B1001" t="s">
        <v>3728</v>
      </c>
      <c r="C1001" t="s">
        <v>3729</v>
      </c>
      <c r="D1001" t="b">
        <v>0</v>
      </c>
      <c r="E1001" t="b">
        <v>0</v>
      </c>
      <c r="F1001" t="b">
        <v>0</v>
      </c>
      <c r="G1001" t="b">
        <v>1</v>
      </c>
    </row>
    <row r="1002" spans="1:7" x14ac:dyDescent="0.2">
      <c r="A1002">
        <v>1000</v>
      </c>
      <c r="B1002" t="s">
        <v>1920</v>
      </c>
      <c r="C1002" t="s">
        <v>9396</v>
      </c>
      <c r="D1002" t="b">
        <v>0</v>
      </c>
      <c r="E1002" t="b">
        <v>0</v>
      </c>
      <c r="F1002" t="b">
        <v>0</v>
      </c>
      <c r="G1002" t="b">
        <v>1</v>
      </c>
    </row>
    <row r="1003" spans="1:7" x14ac:dyDescent="0.2">
      <c r="A1003">
        <v>1001</v>
      </c>
      <c r="B1003" t="s">
        <v>9180</v>
      </c>
      <c r="C1003" t="s">
        <v>9181</v>
      </c>
      <c r="D1003" t="b">
        <v>0</v>
      </c>
      <c r="E1003" t="b">
        <v>0</v>
      </c>
      <c r="F1003" t="b">
        <v>0</v>
      </c>
      <c r="G1003" t="b">
        <v>1</v>
      </c>
    </row>
    <row r="1004" spans="1:7" x14ac:dyDescent="0.2">
      <c r="A1004">
        <v>1002</v>
      </c>
      <c r="B1004" t="s">
        <v>9182</v>
      </c>
      <c r="C1004" t="s">
        <v>9183</v>
      </c>
      <c r="D1004" t="b">
        <v>0</v>
      </c>
      <c r="E1004" t="b">
        <v>0</v>
      </c>
      <c r="F1004" t="b">
        <v>0</v>
      </c>
      <c r="G1004" t="b">
        <v>1</v>
      </c>
    </row>
    <row r="1005" spans="1:7" x14ac:dyDescent="0.2">
      <c r="A1005">
        <v>1003</v>
      </c>
      <c r="B1005" t="s">
        <v>9184</v>
      </c>
      <c r="C1005" s="1" t="s">
        <v>9185</v>
      </c>
      <c r="D1005" t="b">
        <v>0</v>
      </c>
      <c r="E1005" t="b">
        <v>0</v>
      </c>
      <c r="F1005" t="b">
        <v>0</v>
      </c>
      <c r="G1005" t="b">
        <v>1</v>
      </c>
    </row>
    <row r="1006" spans="1:7" x14ac:dyDescent="0.2">
      <c r="A1006">
        <v>1004</v>
      </c>
      <c r="B1006" t="s">
        <v>1922</v>
      </c>
      <c r="C1006" t="s">
        <v>9413</v>
      </c>
      <c r="D1006" t="b">
        <v>0</v>
      </c>
      <c r="E1006" t="b">
        <v>0</v>
      </c>
      <c r="F1006" t="b">
        <v>0</v>
      </c>
      <c r="G1006" t="b">
        <v>1</v>
      </c>
    </row>
    <row r="1007" spans="1:7" x14ac:dyDescent="0.2">
      <c r="A1007">
        <v>1005</v>
      </c>
      <c r="B1007" t="s">
        <v>9186</v>
      </c>
      <c r="C1007" t="s">
        <v>9397</v>
      </c>
      <c r="D1007" t="b">
        <v>0</v>
      </c>
      <c r="E1007" t="b">
        <v>0</v>
      </c>
      <c r="F1007" t="b">
        <v>0</v>
      </c>
      <c r="G1007" t="b">
        <v>1</v>
      </c>
    </row>
    <row r="1008" spans="1:7" x14ac:dyDescent="0.2">
      <c r="A1008">
        <v>1006</v>
      </c>
      <c r="B1008" t="s">
        <v>1428</v>
      </c>
      <c r="C1008" t="s">
        <v>1429</v>
      </c>
      <c r="D1008" t="b">
        <v>0</v>
      </c>
      <c r="E1008" t="b">
        <v>0</v>
      </c>
      <c r="F1008" t="b">
        <v>0</v>
      </c>
      <c r="G1008" t="b">
        <v>1</v>
      </c>
    </row>
    <row r="1009" spans="1:7" x14ac:dyDescent="0.2">
      <c r="A1009">
        <v>1007</v>
      </c>
      <c r="B1009" t="s">
        <v>9187</v>
      </c>
      <c r="C1009" t="s">
        <v>9188</v>
      </c>
      <c r="D1009" t="b">
        <v>0</v>
      </c>
      <c r="E1009" t="b">
        <v>0</v>
      </c>
      <c r="F1009" t="b">
        <v>0</v>
      </c>
      <c r="G1009" t="b">
        <v>1</v>
      </c>
    </row>
    <row r="1010" spans="1:7" x14ac:dyDescent="0.2">
      <c r="A1010">
        <v>1008</v>
      </c>
      <c r="B1010" t="s">
        <v>1924</v>
      </c>
      <c r="C1010" t="s">
        <v>9398</v>
      </c>
      <c r="D1010" t="b">
        <v>0</v>
      </c>
      <c r="E1010" t="b">
        <v>0</v>
      </c>
      <c r="F1010" t="b">
        <v>0</v>
      </c>
      <c r="G1010" t="b">
        <v>1</v>
      </c>
    </row>
    <row r="1011" spans="1:7" x14ac:dyDescent="0.2">
      <c r="A1011">
        <v>1009</v>
      </c>
      <c r="B1011" t="s">
        <v>1312</v>
      </c>
      <c r="C1011" t="s">
        <v>1313</v>
      </c>
      <c r="D1011" t="b">
        <v>0</v>
      </c>
      <c r="E1011" t="b">
        <v>0</v>
      </c>
      <c r="F1011" t="b">
        <v>0</v>
      </c>
      <c r="G1011" t="b">
        <v>1</v>
      </c>
    </row>
    <row r="1012" spans="1:7" x14ac:dyDescent="0.2">
      <c r="A1012">
        <v>1010</v>
      </c>
      <c r="B1012" t="s">
        <v>9189</v>
      </c>
      <c r="C1012" t="s">
        <v>9190</v>
      </c>
      <c r="D1012" t="b">
        <v>0</v>
      </c>
      <c r="E1012" t="b">
        <v>0</v>
      </c>
      <c r="F1012" t="b">
        <v>0</v>
      </c>
      <c r="G1012" t="b">
        <v>1</v>
      </c>
    </row>
    <row r="1013" spans="1:7" x14ac:dyDescent="0.2">
      <c r="A1013">
        <v>1011</v>
      </c>
      <c r="B1013" t="s">
        <v>9191</v>
      </c>
      <c r="C1013" t="s">
        <v>3524</v>
      </c>
      <c r="D1013" t="b">
        <v>0</v>
      </c>
      <c r="E1013" t="b">
        <v>0</v>
      </c>
      <c r="F1013" t="b">
        <v>0</v>
      </c>
      <c r="G1013" t="b">
        <v>1</v>
      </c>
    </row>
    <row r="1014" spans="1:7" x14ac:dyDescent="0.2">
      <c r="A1014">
        <v>1012</v>
      </c>
      <c r="B1014" t="s">
        <v>9192</v>
      </c>
      <c r="C1014" t="s">
        <v>9193</v>
      </c>
      <c r="D1014" t="b">
        <v>0</v>
      </c>
      <c r="E1014" t="b">
        <v>0</v>
      </c>
      <c r="F1014" t="b">
        <v>0</v>
      </c>
      <c r="G1014" t="b">
        <v>1</v>
      </c>
    </row>
    <row r="1015" spans="1:7" x14ac:dyDescent="0.2">
      <c r="A1015">
        <v>1013</v>
      </c>
      <c r="B1015" t="s">
        <v>9194</v>
      </c>
      <c r="C1015" t="s">
        <v>9195</v>
      </c>
      <c r="D1015" t="b">
        <v>0</v>
      </c>
      <c r="E1015" t="b">
        <v>0</v>
      </c>
      <c r="F1015" t="b">
        <v>0</v>
      </c>
      <c r="G1015" t="b">
        <v>1</v>
      </c>
    </row>
    <row r="1016" spans="1:7" x14ac:dyDescent="0.2">
      <c r="A1016">
        <v>1014</v>
      </c>
      <c r="B1016" t="s">
        <v>9196</v>
      </c>
      <c r="C1016" t="s">
        <v>9197</v>
      </c>
      <c r="D1016" t="b">
        <v>0</v>
      </c>
      <c r="E1016" t="b">
        <v>0</v>
      </c>
      <c r="F1016" t="b">
        <v>0</v>
      </c>
      <c r="G1016" t="b">
        <v>1</v>
      </c>
    </row>
    <row r="1017" spans="1:7" x14ac:dyDescent="0.2">
      <c r="A1017">
        <v>1015</v>
      </c>
      <c r="B1017" t="s">
        <v>9198</v>
      </c>
      <c r="C1017" t="s">
        <v>9199</v>
      </c>
      <c r="D1017" t="b">
        <v>0</v>
      </c>
      <c r="E1017" t="b">
        <v>0</v>
      </c>
      <c r="F1017" t="b">
        <v>0</v>
      </c>
      <c r="G1017" t="b">
        <v>1</v>
      </c>
    </row>
    <row r="1018" spans="1:7" x14ac:dyDescent="0.2">
      <c r="A1018">
        <v>1016</v>
      </c>
      <c r="B1018" t="s">
        <v>9200</v>
      </c>
      <c r="C1018" t="s">
        <v>9201</v>
      </c>
      <c r="D1018" t="b">
        <v>0</v>
      </c>
      <c r="E1018" t="b">
        <v>0</v>
      </c>
      <c r="F1018" t="b">
        <v>0</v>
      </c>
      <c r="G1018" t="b">
        <v>1</v>
      </c>
    </row>
    <row r="1019" spans="1:7" x14ac:dyDescent="0.2">
      <c r="A1019">
        <v>1017</v>
      </c>
      <c r="B1019" t="s">
        <v>235</v>
      </c>
      <c r="C1019" t="s">
        <v>236</v>
      </c>
      <c r="D1019" t="b">
        <v>0</v>
      </c>
      <c r="E1019" t="b">
        <v>0</v>
      </c>
      <c r="F1019" t="b">
        <v>0</v>
      </c>
      <c r="G1019" t="b">
        <v>1</v>
      </c>
    </row>
    <row r="1020" spans="1:7" x14ac:dyDescent="0.2">
      <c r="A1020">
        <v>1018</v>
      </c>
      <c r="B1020" t="s">
        <v>1299</v>
      </c>
      <c r="C1020" t="s">
        <v>1300</v>
      </c>
      <c r="D1020" t="b">
        <v>0</v>
      </c>
      <c r="E1020" t="b">
        <v>0</v>
      </c>
      <c r="F1020" t="b">
        <v>0</v>
      </c>
      <c r="G1020" t="b">
        <v>1</v>
      </c>
    </row>
    <row r="1021" spans="1:7" x14ac:dyDescent="0.2">
      <c r="A1021">
        <v>1019</v>
      </c>
      <c r="B1021" t="s">
        <v>1291</v>
      </c>
      <c r="C1021" t="s">
        <v>1292</v>
      </c>
      <c r="D1021" t="b">
        <v>0</v>
      </c>
      <c r="E1021" t="b">
        <v>0</v>
      </c>
      <c r="F1021" t="b">
        <v>0</v>
      </c>
      <c r="G1021" t="b">
        <v>1</v>
      </c>
    </row>
    <row r="1022" spans="1:7" x14ac:dyDescent="0.2">
      <c r="A1022">
        <v>1020</v>
      </c>
      <c r="B1022" t="s">
        <v>9202</v>
      </c>
      <c r="C1022" t="s">
        <v>9203</v>
      </c>
      <c r="D1022" t="b">
        <v>0</v>
      </c>
      <c r="E1022" t="b">
        <v>0</v>
      </c>
      <c r="F1022" t="b">
        <v>0</v>
      </c>
      <c r="G1022" t="b">
        <v>1</v>
      </c>
    </row>
    <row r="1023" spans="1:7" x14ac:dyDescent="0.2">
      <c r="A1023">
        <v>1021</v>
      </c>
      <c r="B1023" t="s">
        <v>9204</v>
      </c>
      <c r="C1023" t="s">
        <v>9205</v>
      </c>
      <c r="D1023" t="b">
        <v>0</v>
      </c>
      <c r="E1023" t="b">
        <v>0</v>
      </c>
      <c r="F1023" t="b">
        <v>0</v>
      </c>
      <c r="G1023" t="b">
        <v>1</v>
      </c>
    </row>
    <row r="1024" spans="1:7" x14ac:dyDescent="0.2">
      <c r="A1024">
        <v>1022</v>
      </c>
      <c r="B1024" t="s">
        <v>9206</v>
      </c>
      <c r="C1024" t="s">
        <v>2984</v>
      </c>
      <c r="D1024" t="b">
        <v>0</v>
      </c>
      <c r="E1024" t="b">
        <v>0</v>
      </c>
      <c r="F1024" t="b">
        <v>0</v>
      </c>
      <c r="G1024" t="b">
        <v>1</v>
      </c>
    </row>
    <row r="1025" spans="1:7" x14ac:dyDescent="0.2">
      <c r="A1025">
        <v>1023</v>
      </c>
      <c r="B1025" t="s">
        <v>1346</v>
      </c>
      <c r="C1025" t="s">
        <v>1347</v>
      </c>
      <c r="D1025" t="b">
        <v>0</v>
      </c>
      <c r="E1025" t="b">
        <v>0</v>
      </c>
      <c r="F1025" t="b">
        <v>0</v>
      </c>
      <c r="G1025" t="b">
        <v>1</v>
      </c>
    </row>
    <row r="1026" spans="1:7" x14ac:dyDescent="0.2">
      <c r="A1026">
        <v>1024</v>
      </c>
      <c r="B1026" t="s">
        <v>9207</v>
      </c>
      <c r="C1026" t="s">
        <v>9208</v>
      </c>
      <c r="D1026" t="b">
        <v>0</v>
      </c>
      <c r="E1026" t="b">
        <v>0</v>
      </c>
      <c r="F1026" t="b">
        <v>0</v>
      </c>
      <c r="G1026" t="b">
        <v>1</v>
      </c>
    </row>
    <row r="1027" spans="1:7" x14ac:dyDescent="0.2">
      <c r="A1027">
        <v>1025</v>
      </c>
      <c r="B1027" t="s">
        <v>9209</v>
      </c>
      <c r="C1027" t="s">
        <v>9210</v>
      </c>
      <c r="D1027" t="b">
        <v>0</v>
      </c>
      <c r="E1027" t="b">
        <v>0</v>
      </c>
      <c r="F1027" t="b">
        <v>0</v>
      </c>
      <c r="G1027" t="b">
        <v>1</v>
      </c>
    </row>
    <row r="1028" spans="1:7" x14ac:dyDescent="0.2">
      <c r="A1028">
        <v>1026</v>
      </c>
      <c r="B1028" t="s">
        <v>9211</v>
      </c>
      <c r="C1028" t="s">
        <v>9212</v>
      </c>
      <c r="D1028" t="b">
        <v>0</v>
      </c>
      <c r="E1028" t="b">
        <v>0</v>
      </c>
      <c r="F1028" t="b">
        <v>0</v>
      </c>
      <c r="G1028" t="b">
        <v>1</v>
      </c>
    </row>
    <row r="1029" spans="1:7" x14ac:dyDescent="0.2">
      <c r="A1029">
        <v>1027</v>
      </c>
      <c r="B1029" t="s">
        <v>1485</v>
      </c>
      <c r="C1029" t="s">
        <v>1486</v>
      </c>
      <c r="D1029" t="b">
        <v>0</v>
      </c>
      <c r="E1029" t="b">
        <v>0</v>
      </c>
      <c r="F1029" t="b">
        <v>0</v>
      </c>
      <c r="G1029" t="b">
        <v>1</v>
      </c>
    </row>
    <row r="1030" spans="1:7" x14ac:dyDescent="0.2">
      <c r="A1030">
        <v>1028</v>
      </c>
      <c r="B1030" t="s">
        <v>9213</v>
      </c>
      <c r="C1030" t="s">
        <v>9214</v>
      </c>
      <c r="D1030" t="b">
        <v>0</v>
      </c>
      <c r="E1030" t="b">
        <v>0</v>
      </c>
      <c r="F1030" t="b">
        <v>0</v>
      </c>
      <c r="G1030" t="b">
        <v>1</v>
      </c>
    </row>
    <row r="1031" spans="1:7" x14ac:dyDescent="0.2">
      <c r="A1031">
        <v>1029</v>
      </c>
      <c r="B1031" t="s">
        <v>9215</v>
      </c>
      <c r="C1031" s="1" t="s">
        <v>9216</v>
      </c>
      <c r="D1031" t="b">
        <v>0</v>
      </c>
      <c r="E1031" t="b">
        <v>0</v>
      </c>
      <c r="F1031" t="b">
        <v>0</v>
      </c>
      <c r="G1031" t="b">
        <v>1</v>
      </c>
    </row>
    <row r="1032" spans="1:7" x14ac:dyDescent="0.2">
      <c r="A1032">
        <v>1030</v>
      </c>
      <c r="B1032" t="s">
        <v>9217</v>
      </c>
      <c r="C1032" t="s">
        <v>9218</v>
      </c>
      <c r="D1032" t="b">
        <v>0</v>
      </c>
      <c r="E1032" t="b">
        <v>0</v>
      </c>
      <c r="F1032" t="b">
        <v>0</v>
      </c>
      <c r="G1032" t="b">
        <v>1</v>
      </c>
    </row>
    <row r="1033" spans="1:7" x14ac:dyDescent="0.2">
      <c r="A1033">
        <v>1031</v>
      </c>
      <c r="B1033" t="s">
        <v>9219</v>
      </c>
      <c r="C1033" t="s">
        <v>9220</v>
      </c>
      <c r="D1033" t="b">
        <v>0</v>
      </c>
      <c r="E1033" t="b">
        <v>0</v>
      </c>
      <c r="F1033" t="b">
        <v>0</v>
      </c>
      <c r="G1033" t="b">
        <v>1</v>
      </c>
    </row>
    <row r="1034" spans="1:7" x14ac:dyDescent="0.2">
      <c r="A1034">
        <v>1032</v>
      </c>
      <c r="B1034" t="s">
        <v>1932</v>
      </c>
      <c r="C1034" t="s">
        <v>9399</v>
      </c>
      <c r="D1034" t="b">
        <v>0</v>
      </c>
      <c r="E1034" t="b">
        <v>0</v>
      </c>
      <c r="F1034" t="b">
        <v>0</v>
      </c>
      <c r="G1034" t="b">
        <v>1</v>
      </c>
    </row>
    <row r="1035" spans="1:7" x14ac:dyDescent="0.2">
      <c r="A1035">
        <v>1033</v>
      </c>
      <c r="B1035" t="s">
        <v>9221</v>
      </c>
      <c r="C1035" t="s">
        <v>9222</v>
      </c>
      <c r="D1035" t="b">
        <v>0</v>
      </c>
      <c r="E1035" t="b">
        <v>0</v>
      </c>
      <c r="F1035" t="b">
        <v>0</v>
      </c>
      <c r="G1035" t="b">
        <v>1</v>
      </c>
    </row>
    <row r="1036" spans="1:7" x14ac:dyDescent="0.2">
      <c r="A1036">
        <v>1034</v>
      </c>
      <c r="B1036" t="s">
        <v>1350</v>
      </c>
      <c r="C1036" t="s">
        <v>1351</v>
      </c>
      <c r="D1036" t="b">
        <v>0</v>
      </c>
      <c r="E1036" t="b">
        <v>0</v>
      </c>
      <c r="F1036" t="b">
        <v>0</v>
      </c>
      <c r="G1036" t="b">
        <v>1</v>
      </c>
    </row>
    <row r="1037" spans="1:7" x14ac:dyDescent="0.2">
      <c r="A1037">
        <v>1035</v>
      </c>
      <c r="B1037" t="s">
        <v>9223</v>
      </c>
      <c r="C1037" t="s">
        <v>9224</v>
      </c>
      <c r="D1037" t="b">
        <v>0</v>
      </c>
      <c r="E1037" t="b">
        <v>0</v>
      </c>
      <c r="F1037" t="b">
        <v>0</v>
      </c>
      <c r="G1037" t="b">
        <v>1</v>
      </c>
    </row>
    <row r="1038" spans="1:7" x14ac:dyDescent="0.2">
      <c r="A1038">
        <v>1036</v>
      </c>
      <c r="B1038" t="s">
        <v>9225</v>
      </c>
      <c r="C1038" t="s">
        <v>9226</v>
      </c>
      <c r="D1038" t="b">
        <v>0</v>
      </c>
      <c r="E1038" t="b">
        <v>0</v>
      </c>
      <c r="F1038" t="b">
        <v>0</v>
      </c>
      <c r="G1038" t="b">
        <v>1</v>
      </c>
    </row>
    <row r="1039" spans="1:7" x14ac:dyDescent="0.2">
      <c r="A1039">
        <v>1037</v>
      </c>
      <c r="B1039" t="s">
        <v>9227</v>
      </c>
      <c r="C1039" t="s">
        <v>9228</v>
      </c>
      <c r="D1039" t="b">
        <v>0</v>
      </c>
      <c r="E1039" t="b">
        <v>0</v>
      </c>
      <c r="F1039" t="b">
        <v>0</v>
      </c>
      <c r="G1039" t="b">
        <v>1</v>
      </c>
    </row>
    <row r="1040" spans="1:7" x14ac:dyDescent="0.2">
      <c r="A1040">
        <v>1038</v>
      </c>
      <c r="B1040" t="s">
        <v>9229</v>
      </c>
      <c r="C1040" t="s">
        <v>9230</v>
      </c>
      <c r="D1040" t="b">
        <v>0</v>
      </c>
      <c r="E1040" t="b">
        <v>0</v>
      </c>
      <c r="F1040" t="b">
        <v>0</v>
      </c>
      <c r="G1040" t="b">
        <v>1</v>
      </c>
    </row>
    <row r="1041" spans="1:7" x14ac:dyDescent="0.2">
      <c r="A1041">
        <v>1039</v>
      </c>
      <c r="B1041" t="s">
        <v>9231</v>
      </c>
      <c r="C1041" t="s">
        <v>9232</v>
      </c>
      <c r="D1041" t="b">
        <v>0</v>
      </c>
      <c r="E1041" t="b">
        <v>0</v>
      </c>
      <c r="F1041" t="b">
        <v>0</v>
      </c>
      <c r="G1041" t="b">
        <v>1</v>
      </c>
    </row>
    <row r="1042" spans="1:7" x14ac:dyDescent="0.2">
      <c r="A1042">
        <v>1040</v>
      </c>
      <c r="B1042" t="s">
        <v>9233</v>
      </c>
      <c r="C1042" t="s">
        <v>9234</v>
      </c>
      <c r="D1042" t="b">
        <v>0</v>
      </c>
      <c r="E1042" t="b">
        <v>0</v>
      </c>
      <c r="F1042" t="b">
        <v>0</v>
      </c>
      <c r="G1042" t="b">
        <v>1</v>
      </c>
    </row>
    <row r="1043" spans="1:7" x14ac:dyDescent="0.2">
      <c r="A1043">
        <v>1041</v>
      </c>
      <c r="B1043" t="s">
        <v>9235</v>
      </c>
      <c r="C1043" t="s">
        <v>9236</v>
      </c>
      <c r="D1043" t="b">
        <v>0</v>
      </c>
      <c r="E1043" t="b">
        <v>0</v>
      </c>
      <c r="F1043" t="b">
        <v>0</v>
      </c>
      <c r="G1043" t="b">
        <v>1</v>
      </c>
    </row>
    <row r="1044" spans="1:7" x14ac:dyDescent="0.2">
      <c r="A1044">
        <v>1042</v>
      </c>
      <c r="B1044" t="s">
        <v>9237</v>
      </c>
      <c r="C1044" t="s">
        <v>9238</v>
      </c>
      <c r="D1044" t="b">
        <v>0</v>
      </c>
      <c r="E1044" t="b">
        <v>0</v>
      </c>
      <c r="F1044" t="b">
        <v>0</v>
      </c>
      <c r="G1044" t="b">
        <v>1</v>
      </c>
    </row>
    <row r="1045" spans="1:7" x14ac:dyDescent="0.2">
      <c r="A1045">
        <v>1043</v>
      </c>
      <c r="B1045" t="s">
        <v>139</v>
      </c>
      <c r="C1045" t="s">
        <v>140</v>
      </c>
      <c r="D1045" t="b">
        <v>0</v>
      </c>
      <c r="E1045" t="b">
        <v>0</v>
      </c>
      <c r="F1045" t="b">
        <v>0</v>
      </c>
      <c r="G1045" t="b">
        <v>1</v>
      </c>
    </row>
    <row r="1046" spans="1:7" x14ac:dyDescent="0.2">
      <c r="A1046">
        <v>1044</v>
      </c>
      <c r="B1046" t="s">
        <v>9239</v>
      </c>
      <c r="C1046" t="s">
        <v>9240</v>
      </c>
      <c r="D1046" t="b">
        <v>0</v>
      </c>
      <c r="E1046" t="b">
        <v>0</v>
      </c>
      <c r="F1046" t="b">
        <v>0</v>
      </c>
      <c r="G1046" t="b">
        <v>1</v>
      </c>
    </row>
    <row r="1047" spans="1:7" x14ac:dyDescent="0.2">
      <c r="A1047">
        <v>1045</v>
      </c>
      <c r="B1047" t="s">
        <v>9241</v>
      </c>
      <c r="C1047" t="s">
        <v>9242</v>
      </c>
      <c r="D1047" t="b">
        <v>0</v>
      </c>
      <c r="E1047" t="b">
        <v>0</v>
      </c>
      <c r="F1047" t="b">
        <v>0</v>
      </c>
      <c r="G1047" t="b">
        <v>1</v>
      </c>
    </row>
    <row r="1048" spans="1:7" x14ac:dyDescent="0.2">
      <c r="A1048">
        <v>1046</v>
      </c>
      <c r="B1048" t="s">
        <v>9243</v>
      </c>
      <c r="C1048" t="s">
        <v>9244</v>
      </c>
      <c r="D1048" t="b">
        <v>0</v>
      </c>
      <c r="E1048" t="b">
        <v>0</v>
      </c>
      <c r="F1048" t="b">
        <v>0</v>
      </c>
      <c r="G1048" t="b">
        <v>1</v>
      </c>
    </row>
    <row r="1049" spans="1:7" x14ac:dyDescent="0.2">
      <c r="A1049">
        <v>1047</v>
      </c>
      <c r="B1049" t="s">
        <v>9245</v>
      </c>
      <c r="C1049" t="s">
        <v>9246</v>
      </c>
      <c r="D1049" t="b">
        <v>0</v>
      </c>
      <c r="E1049" t="b">
        <v>0</v>
      </c>
      <c r="F1049" t="b">
        <v>0</v>
      </c>
      <c r="G1049" t="b">
        <v>1</v>
      </c>
    </row>
    <row r="1050" spans="1:7" x14ac:dyDescent="0.2">
      <c r="A1050">
        <v>1048</v>
      </c>
      <c r="B1050" t="s">
        <v>9247</v>
      </c>
      <c r="C1050" t="s">
        <v>9248</v>
      </c>
      <c r="D1050" t="b">
        <v>0</v>
      </c>
      <c r="E1050" t="b">
        <v>0</v>
      </c>
      <c r="F1050" t="b">
        <v>0</v>
      </c>
      <c r="G1050" t="b">
        <v>1</v>
      </c>
    </row>
    <row r="1051" spans="1:7" x14ac:dyDescent="0.2">
      <c r="A1051">
        <v>1049</v>
      </c>
      <c r="B1051" t="s">
        <v>374</v>
      </c>
      <c r="C1051" t="s">
        <v>375</v>
      </c>
      <c r="D1051" t="b">
        <v>0</v>
      </c>
      <c r="E1051" t="b">
        <v>0</v>
      </c>
      <c r="F1051" t="b">
        <v>0</v>
      </c>
      <c r="G1051" t="b">
        <v>1</v>
      </c>
    </row>
    <row r="1052" spans="1:7" x14ac:dyDescent="0.2">
      <c r="A1052">
        <v>1050</v>
      </c>
      <c r="B1052" t="s">
        <v>9249</v>
      </c>
      <c r="C1052" t="s">
        <v>9250</v>
      </c>
      <c r="D1052" t="b">
        <v>0</v>
      </c>
      <c r="E1052" t="b">
        <v>0</v>
      </c>
      <c r="F1052" t="b">
        <v>0</v>
      </c>
      <c r="G1052" t="b">
        <v>1</v>
      </c>
    </row>
    <row r="1053" spans="1:7" x14ac:dyDescent="0.2">
      <c r="A1053">
        <v>1051</v>
      </c>
      <c r="B1053" t="s">
        <v>9251</v>
      </c>
      <c r="C1053" t="s">
        <v>9252</v>
      </c>
      <c r="D1053" t="b">
        <v>0</v>
      </c>
      <c r="E1053" t="b">
        <v>0</v>
      </c>
      <c r="F1053" t="b">
        <v>0</v>
      </c>
      <c r="G1053" t="b">
        <v>1</v>
      </c>
    </row>
    <row r="1054" spans="1:7" x14ac:dyDescent="0.2">
      <c r="A1054">
        <v>1052</v>
      </c>
      <c r="B1054" t="s">
        <v>9253</v>
      </c>
      <c r="C1054" t="s">
        <v>9254</v>
      </c>
      <c r="D1054" t="b">
        <v>0</v>
      </c>
      <c r="E1054" t="b">
        <v>0</v>
      </c>
      <c r="F1054" t="b">
        <v>0</v>
      </c>
      <c r="G1054" t="b">
        <v>1</v>
      </c>
    </row>
    <row r="1055" spans="1:7" x14ac:dyDescent="0.2">
      <c r="A1055">
        <v>1053</v>
      </c>
      <c r="B1055" t="s">
        <v>9255</v>
      </c>
      <c r="C1055" t="s">
        <v>9256</v>
      </c>
      <c r="D1055" t="b">
        <v>0</v>
      </c>
      <c r="E1055" t="b">
        <v>0</v>
      </c>
      <c r="F1055" t="b">
        <v>0</v>
      </c>
      <c r="G1055" t="b">
        <v>1</v>
      </c>
    </row>
    <row r="1056" spans="1:7" x14ac:dyDescent="0.2">
      <c r="A1056">
        <v>1054</v>
      </c>
      <c r="B1056" t="s">
        <v>9257</v>
      </c>
      <c r="C1056" t="s">
        <v>9258</v>
      </c>
      <c r="D1056" t="b">
        <v>0</v>
      </c>
      <c r="E1056" t="b">
        <v>0</v>
      </c>
      <c r="F1056" t="b">
        <v>0</v>
      </c>
      <c r="G1056" t="b">
        <v>1</v>
      </c>
    </row>
    <row r="1057" spans="1:7" x14ac:dyDescent="0.2">
      <c r="A1057">
        <v>1055</v>
      </c>
      <c r="B1057" t="s">
        <v>9259</v>
      </c>
      <c r="C1057" t="s">
        <v>9260</v>
      </c>
      <c r="D1057" t="b">
        <v>0</v>
      </c>
      <c r="E1057" t="b">
        <v>0</v>
      </c>
      <c r="F1057" t="b">
        <v>0</v>
      </c>
      <c r="G1057" t="b">
        <v>1</v>
      </c>
    </row>
    <row r="1058" spans="1:7" x14ac:dyDescent="0.2">
      <c r="A1058">
        <v>1056</v>
      </c>
      <c r="B1058" t="s">
        <v>9261</v>
      </c>
      <c r="C1058" t="s">
        <v>9262</v>
      </c>
      <c r="D1058" t="b">
        <v>0</v>
      </c>
      <c r="E1058" t="b">
        <v>0</v>
      </c>
      <c r="F1058" t="b">
        <v>0</v>
      </c>
      <c r="G1058" t="b">
        <v>1</v>
      </c>
    </row>
    <row r="1059" spans="1:7" x14ac:dyDescent="0.2">
      <c r="A1059">
        <v>1057</v>
      </c>
      <c r="B1059" t="s">
        <v>9263</v>
      </c>
      <c r="C1059" t="s">
        <v>9264</v>
      </c>
      <c r="D1059" t="b">
        <v>0</v>
      </c>
      <c r="E1059" t="b">
        <v>0</v>
      </c>
      <c r="F1059" t="b">
        <v>0</v>
      </c>
      <c r="G1059" t="b">
        <v>1</v>
      </c>
    </row>
    <row r="1060" spans="1:7" x14ac:dyDescent="0.2">
      <c r="A1060">
        <v>1058</v>
      </c>
      <c r="B1060" t="s">
        <v>530</v>
      </c>
      <c r="C1060" t="s">
        <v>531</v>
      </c>
      <c r="D1060" t="b">
        <v>0</v>
      </c>
      <c r="E1060" t="b">
        <v>0</v>
      </c>
      <c r="F1060" t="b">
        <v>0</v>
      </c>
      <c r="G1060" t="b">
        <v>1</v>
      </c>
    </row>
    <row r="1061" spans="1:7" x14ac:dyDescent="0.2">
      <c r="A1061">
        <v>1059</v>
      </c>
      <c r="B1061" t="s">
        <v>9265</v>
      </c>
      <c r="C1061" t="s">
        <v>9266</v>
      </c>
      <c r="D1061" t="b">
        <v>0</v>
      </c>
      <c r="E1061" t="b">
        <v>0</v>
      </c>
      <c r="F1061" t="b">
        <v>0</v>
      </c>
      <c r="G1061" t="b">
        <v>1</v>
      </c>
    </row>
    <row r="1062" spans="1:7" x14ac:dyDescent="0.2">
      <c r="A1062">
        <v>1060</v>
      </c>
      <c r="B1062" t="s">
        <v>9267</v>
      </c>
      <c r="C1062" t="s">
        <v>9268</v>
      </c>
      <c r="D1062" t="b">
        <v>0</v>
      </c>
      <c r="E1062" t="b">
        <v>0</v>
      </c>
      <c r="F1062" t="b">
        <v>0</v>
      </c>
      <c r="G1062" t="b">
        <v>1</v>
      </c>
    </row>
    <row r="1063" spans="1:7" x14ac:dyDescent="0.2">
      <c r="A1063">
        <v>1061</v>
      </c>
      <c r="B1063" t="s">
        <v>9269</v>
      </c>
      <c r="C1063" t="s">
        <v>9270</v>
      </c>
      <c r="D1063" t="b">
        <v>0</v>
      </c>
      <c r="E1063" t="b">
        <v>0</v>
      </c>
      <c r="F1063" t="b">
        <v>0</v>
      </c>
      <c r="G1063" t="b">
        <v>1</v>
      </c>
    </row>
    <row r="1064" spans="1:7" x14ac:dyDescent="0.2">
      <c r="A1064">
        <v>1062</v>
      </c>
      <c r="B1064" t="s">
        <v>734</v>
      </c>
      <c r="C1064" s="1" t="s">
        <v>735</v>
      </c>
      <c r="D1064" t="b">
        <v>0</v>
      </c>
      <c r="E1064" t="b">
        <v>0</v>
      </c>
      <c r="F1064" t="b">
        <v>0</v>
      </c>
      <c r="G1064" t="b">
        <v>1</v>
      </c>
    </row>
    <row r="1065" spans="1:7" x14ac:dyDescent="0.2">
      <c r="A1065">
        <v>1063</v>
      </c>
      <c r="B1065" t="s">
        <v>9271</v>
      </c>
      <c r="C1065" s="1" t="s">
        <v>9272</v>
      </c>
      <c r="D1065" t="b">
        <v>0</v>
      </c>
      <c r="E1065" t="b">
        <v>0</v>
      </c>
      <c r="F1065" t="b">
        <v>0</v>
      </c>
      <c r="G1065" t="b">
        <v>1</v>
      </c>
    </row>
    <row r="1066" spans="1:7" x14ac:dyDescent="0.2">
      <c r="A1066">
        <v>1064</v>
      </c>
      <c r="B1066" t="s">
        <v>1936</v>
      </c>
      <c r="C1066" t="s">
        <v>9400</v>
      </c>
      <c r="D1066" t="b">
        <v>0</v>
      </c>
      <c r="E1066" t="b">
        <v>0</v>
      </c>
      <c r="F1066" t="b">
        <v>0</v>
      </c>
      <c r="G1066" t="b">
        <v>1</v>
      </c>
    </row>
    <row r="1067" spans="1:7" x14ac:dyDescent="0.2">
      <c r="A1067">
        <v>1065</v>
      </c>
      <c r="B1067" t="s">
        <v>9273</v>
      </c>
      <c r="C1067" t="s">
        <v>9210</v>
      </c>
      <c r="D1067" t="b">
        <v>0</v>
      </c>
      <c r="E1067" t="b">
        <v>0</v>
      </c>
      <c r="F1067" t="b">
        <v>0</v>
      </c>
      <c r="G1067" t="b">
        <v>1</v>
      </c>
    </row>
    <row r="1068" spans="1:7" x14ac:dyDescent="0.2">
      <c r="A1068">
        <v>1066</v>
      </c>
      <c r="B1068" t="s">
        <v>9274</v>
      </c>
      <c r="C1068" t="s">
        <v>9275</v>
      </c>
      <c r="D1068" t="b">
        <v>0</v>
      </c>
      <c r="E1068" t="b">
        <v>0</v>
      </c>
      <c r="F1068" t="b">
        <v>0</v>
      </c>
      <c r="G1068" t="b">
        <v>1</v>
      </c>
    </row>
    <row r="1069" spans="1:7" x14ac:dyDescent="0.2">
      <c r="A1069">
        <v>1067</v>
      </c>
      <c r="B1069" t="s">
        <v>551</v>
      </c>
      <c r="C1069" t="s">
        <v>552</v>
      </c>
      <c r="D1069" t="b">
        <v>0</v>
      </c>
      <c r="E1069" t="b">
        <v>0</v>
      </c>
      <c r="F1069" t="b">
        <v>0</v>
      </c>
      <c r="G1069" t="b">
        <v>1</v>
      </c>
    </row>
    <row r="1070" spans="1:7" x14ac:dyDescent="0.2">
      <c r="A1070">
        <v>1068</v>
      </c>
      <c r="B1070" t="s">
        <v>9276</v>
      </c>
      <c r="C1070" t="s">
        <v>9277</v>
      </c>
      <c r="D1070" t="b">
        <v>0</v>
      </c>
      <c r="E1070" t="b">
        <v>0</v>
      </c>
      <c r="F1070" t="b">
        <v>0</v>
      </c>
      <c r="G1070" t="b">
        <v>1</v>
      </c>
    </row>
    <row r="1071" spans="1:7" x14ac:dyDescent="0.2">
      <c r="A1071">
        <v>1069</v>
      </c>
      <c r="B1071" t="s">
        <v>9278</v>
      </c>
      <c r="C1071" t="s">
        <v>9279</v>
      </c>
      <c r="D1071" t="b">
        <v>0</v>
      </c>
      <c r="E1071" t="b">
        <v>0</v>
      </c>
      <c r="F1071" t="b">
        <v>0</v>
      </c>
      <c r="G1071" t="b">
        <v>1</v>
      </c>
    </row>
    <row r="1072" spans="1:7" x14ac:dyDescent="0.2">
      <c r="A1072">
        <v>1070</v>
      </c>
      <c r="B1072" t="s">
        <v>9280</v>
      </c>
      <c r="C1072" t="s">
        <v>9281</v>
      </c>
      <c r="D1072" t="b">
        <v>0</v>
      </c>
      <c r="E1072" t="b">
        <v>0</v>
      </c>
      <c r="F1072" t="b">
        <v>0</v>
      </c>
      <c r="G1072" t="b">
        <v>1</v>
      </c>
    </row>
    <row r="1073" spans="1:7" x14ac:dyDescent="0.2">
      <c r="A1073">
        <v>1071</v>
      </c>
      <c r="B1073" t="s">
        <v>9282</v>
      </c>
      <c r="C1073" t="s">
        <v>9283</v>
      </c>
      <c r="D1073" t="b">
        <v>0</v>
      </c>
      <c r="E1073" t="b">
        <v>0</v>
      </c>
      <c r="F1073" t="b">
        <v>0</v>
      </c>
      <c r="G1073" t="b">
        <v>1</v>
      </c>
    </row>
    <row r="1074" spans="1:7" x14ac:dyDescent="0.2">
      <c r="A1074">
        <v>1072</v>
      </c>
      <c r="B1074" t="s">
        <v>9284</v>
      </c>
      <c r="C1074" t="s">
        <v>9285</v>
      </c>
      <c r="D1074" t="b">
        <v>0</v>
      </c>
      <c r="E1074" t="b">
        <v>0</v>
      </c>
      <c r="F1074" t="b">
        <v>0</v>
      </c>
      <c r="G1074" t="b">
        <v>1</v>
      </c>
    </row>
    <row r="1075" spans="1:7" x14ac:dyDescent="0.2">
      <c r="A1075">
        <v>1073</v>
      </c>
      <c r="B1075" t="s">
        <v>512</v>
      </c>
      <c r="C1075" t="s">
        <v>513</v>
      </c>
      <c r="D1075" t="b">
        <v>0</v>
      </c>
      <c r="E1075" t="b">
        <v>0</v>
      </c>
      <c r="F1075" t="b">
        <v>0</v>
      </c>
      <c r="G1075" t="b">
        <v>1</v>
      </c>
    </row>
    <row r="1076" spans="1:7" x14ac:dyDescent="0.2">
      <c r="A1076">
        <v>1074</v>
      </c>
      <c r="B1076" t="s">
        <v>9286</v>
      </c>
      <c r="C1076" t="s">
        <v>9401</v>
      </c>
      <c r="D1076" t="b">
        <v>0</v>
      </c>
      <c r="E1076" t="b">
        <v>0</v>
      </c>
      <c r="F1076" t="b">
        <v>0</v>
      </c>
      <c r="G1076" t="b">
        <v>1</v>
      </c>
    </row>
    <row r="1077" spans="1:7" x14ac:dyDescent="0.2">
      <c r="A1077">
        <v>1075</v>
      </c>
      <c r="B1077" t="s">
        <v>9287</v>
      </c>
      <c r="C1077" t="s">
        <v>9288</v>
      </c>
      <c r="D1077" t="b">
        <v>0</v>
      </c>
      <c r="E1077" t="b">
        <v>0</v>
      </c>
      <c r="F1077" t="b">
        <v>0</v>
      </c>
      <c r="G1077" t="b">
        <v>1</v>
      </c>
    </row>
    <row r="1078" spans="1:7" x14ac:dyDescent="0.2">
      <c r="A1078">
        <v>1076</v>
      </c>
      <c r="B1078" t="s">
        <v>371</v>
      </c>
      <c r="C1078" t="s">
        <v>372</v>
      </c>
      <c r="D1078" t="b">
        <v>0</v>
      </c>
      <c r="E1078" t="b">
        <v>0</v>
      </c>
      <c r="F1078" t="b">
        <v>0</v>
      </c>
      <c r="G1078" t="b">
        <v>1</v>
      </c>
    </row>
    <row r="1079" spans="1:7" x14ac:dyDescent="0.2">
      <c r="A1079">
        <v>1077</v>
      </c>
      <c r="B1079" t="s">
        <v>664</v>
      </c>
      <c r="C1079" t="s">
        <v>665</v>
      </c>
      <c r="D1079" t="b">
        <v>0</v>
      </c>
      <c r="E1079" t="b">
        <v>0</v>
      </c>
      <c r="F1079" t="b">
        <v>0</v>
      </c>
      <c r="G1079" t="b">
        <v>1</v>
      </c>
    </row>
    <row r="1080" spans="1:7" x14ac:dyDescent="0.2">
      <c r="A1080">
        <v>1078</v>
      </c>
      <c r="B1080" t="s">
        <v>9289</v>
      </c>
      <c r="C1080" t="s">
        <v>9290</v>
      </c>
      <c r="D1080" t="b">
        <v>0</v>
      </c>
      <c r="E1080" t="b">
        <v>0</v>
      </c>
      <c r="F1080" t="b">
        <v>0</v>
      </c>
      <c r="G1080" t="b">
        <v>1</v>
      </c>
    </row>
    <row r="1081" spans="1:7" x14ac:dyDescent="0.2">
      <c r="A1081">
        <v>1079</v>
      </c>
      <c r="B1081" t="s">
        <v>9291</v>
      </c>
      <c r="C1081" t="s">
        <v>9292</v>
      </c>
      <c r="D1081" t="b">
        <v>0</v>
      </c>
      <c r="E1081" t="b">
        <v>0</v>
      </c>
      <c r="F1081" t="b">
        <v>0</v>
      </c>
      <c r="G1081" t="b">
        <v>1</v>
      </c>
    </row>
    <row r="1082" spans="1:7" x14ac:dyDescent="0.2">
      <c r="A1082">
        <v>1080</v>
      </c>
      <c r="B1082" t="s">
        <v>9293</v>
      </c>
      <c r="C1082" t="s">
        <v>9294</v>
      </c>
      <c r="D1082" t="b">
        <v>0</v>
      </c>
      <c r="E1082" t="b">
        <v>0</v>
      </c>
      <c r="F1082" t="b">
        <v>0</v>
      </c>
      <c r="G1082" t="b">
        <v>1</v>
      </c>
    </row>
    <row r="1083" spans="1:7" x14ac:dyDescent="0.2">
      <c r="A1083">
        <v>1081</v>
      </c>
      <c r="B1083" t="s">
        <v>9295</v>
      </c>
      <c r="C1083" t="s">
        <v>9296</v>
      </c>
      <c r="D1083" t="b">
        <v>0</v>
      </c>
      <c r="E1083" t="b">
        <v>0</v>
      </c>
      <c r="F1083" t="b">
        <v>0</v>
      </c>
      <c r="G1083" t="b">
        <v>1</v>
      </c>
    </row>
    <row r="1084" spans="1:7" x14ac:dyDescent="0.2">
      <c r="A1084">
        <v>1082</v>
      </c>
      <c r="B1084" t="s">
        <v>9297</v>
      </c>
      <c r="C1084" t="s">
        <v>9298</v>
      </c>
      <c r="D1084" t="b">
        <v>0</v>
      </c>
      <c r="E1084" t="b">
        <v>0</v>
      </c>
      <c r="F1084" t="b">
        <v>0</v>
      </c>
      <c r="G1084" t="b">
        <v>1</v>
      </c>
    </row>
    <row r="1085" spans="1:7" x14ac:dyDescent="0.2">
      <c r="A1085">
        <v>1083</v>
      </c>
      <c r="B1085" t="s">
        <v>9299</v>
      </c>
      <c r="C1085" t="s">
        <v>9300</v>
      </c>
      <c r="D1085" t="b">
        <v>0</v>
      </c>
      <c r="E1085" t="b">
        <v>0</v>
      </c>
      <c r="F1085" t="b">
        <v>0</v>
      </c>
      <c r="G1085" t="b">
        <v>1</v>
      </c>
    </row>
    <row r="1086" spans="1:7" x14ac:dyDescent="0.2">
      <c r="A1086">
        <v>1084</v>
      </c>
      <c r="B1086" t="s">
        <v>1438</v>
      </c>
      <c r="C1086" t="s">
        <v>1439</v>
      </c>
      <c r="D1086" t="b">
        <v>0</v>
      </c>
      <c r="E1086" t="b">
        <v>0</v>
      </c>
      <c r="F1086" t="b">
        <v>0</v>
      </c>
      <c r="G1086" t="b">
        <v>1</v>
      </c>
    </row>
    <row r="1087" spans="1:7" x14ac:dyDescent="0.2">
      <c r="A1087">
        <v>1085</v>
      </c>
      <c r="B1087" t="s">
        <v>1942</v>
      </c>
      <c r="C1087" t="s">
        <v>9402</v>
      </c>
      <c r="D1087" t="b">
        <v>0</v>
      </c>
      <c r="E1087" t="b">
        <v>0</v>
      </c>
      <c r="F1087" t="b">
        <v>0</v>
      </c>
      <c r="G1087" t="b">
        <v>1</v>
      </c>
    </row>
    <row r="1088" spans="1:7" x14ac:dyDescent="0.2">
      <c r="A1088">
        <v>1086</v>
      </c>
      <c r="B1088" t="s">
        <v>9301</v>
      </c>
      <c r="C1088" t="s">
        <v>9302</v>
      </c>
      <c r="D1088" t="b">
        <v>0</v>
      </c>
      <c r="E1088" t="b">
        <v>0</v>
      </c>
      <c r="F1088" t="b">
        <v>0</v>
      </c>
      <c r="G1088" t="b">
        <v>1</v>
      </c>
    </row>
    <row r="1089" spans="1:7" x14ac:dyDescent="0.2">
      <c r="A1089">
        <v>1087</v>
      </c>
      <c r="B1089" t="s">
        <v>9303</v>
      </c>
      <c r="C1089" t="s">
        <v>9304</v>
      </c>
      <c r="D1089" t="b">
        <v>0</v>
      </c>
      <c r="E1089" t="b">
        <v>0</v>
      </c>
      <c r="F1089" t="b">
        <v>0</v>
      </c>
      <c r="G1089" t="b">
        <v>1</v>
      </c>
    </row>
    <row r="1090" spans="1:7" x14ac:dyDescent="0.2">
      <c r="A1090">
        <v>1088</v>
      </c>
      <c r="B1090" t="s">
        <v>732</v>
      </c>
      <c r="C1090" t="s">
        <v>733</v>
      </c>
      <c r="D1090" t="b">
        <v>0</v>
      </c>
      <c r="E1090" t="b">
        <v>0</v>
      </c>
      <c r="F1090" t="b">
        <v>0</v>
      </c>
      <c r="G1090" t="b">
        <v>1</v>
      </c>
    </row>
    <row r="1091" spans="1:7" x14ac:dyDescent="0.2">
      <c r="A1091">
        <v>1089</v>
      </c>
      <c r="B1091" t="s">
        <v>9305</v>
      </c>
      <c r="C1091" t="s">
        <v>9306</v>
      </c>
      <c r="D1091" t="b">
        <v>0</v>
      </c>
      <c r="E1091" t="b">
        <v>0</v>
      </c>
      <c r="F1091" t="b">
        <v>0</v>
      </c>
      <c r="G1091" t="b">
        <v>1</v>
      </c>
    </row>
    <row r="1092" spans="1:7" x14ac:dyDescent="0.2">
      <c r="A1092">
        <v>1090</v>
      </c>
      <c r="B1092" t="s">
        <v>9307</v>
      </c>
      <c r="C1092" t="s">
        <v>9308</v>
      </c>
      <c r="D1092" t="b">
        <v>0</v>
      </c>
      <c r="E1092" t="b">
        <v>0</v>
      </c>
      <c r="F1092" t="b">
        <v>0</v>
      </c>
      <c r="G1092" t="b">
        <v>1</v>
      </c>
    </row>
    <row r="1093" spans="1:7" x14ac:dyDescent="0.2">
      <c r="A1093">
        <v>1091</v>
      </c>
      <c r="B1093" t="s">
        <v>1943</v>
      </c>
      <c r="C1093" t="s">
        <v>9403</v>
      </c>
      <c r="D1093" t="b">
        <v>0</v>
      </c>
      <c r="E1093" t="b">
        <v>0</v>
      </c>
      <c r="F1093" t="b">
        <v>0</v>
      </c>
      <c r="G1093" t="b">
        <v>1</v>
      </c>
    </row>
    <row r="1094" spans="1:7" x14ac:dyDescent="0.2">
      <c r="A1094">
        <v>1092</v>
      </c>
      <c r="B1094" t="s">
        <v>9309</v>
      </c>
      <c r="C1094" t="s">
        <v>9310</v>
      </c>
      <c r="D1094" t="b">
        <v>0</v>
      </c>
      <c r="E1094" t="b">
        <v>0</v>
      </c>
      <c r="F1094" t="b">
        <v>0</v>
      </c>
      <c r="G1094" t="b">
        <v>1</v>
      </c>
    </row>
    <row r="1095" spans="1:7" x14ac:dyDescent="0.2">
      <c r="A1095">
        <v>1093</v>
      </c>
      <c r="B1095" t="s">
        <v>9311</v>
      </c>
      <c r="C1095" t="s">
        <v>9312</v>
      </c>
      <c r="D1095" t="b">
        <v>0</v>
      </c>
      <c r="E1095" t="b">
        <v>0</v>
      </c>
      <c r="F1095" t="b">
        <v>0</v>
      </c>
      <c r="G1095" t="b">
        <v>1</v>
      </c>
    </row>
    <row r="1096" spans="1:7" x14ac:dyDescent="0.2">
      <c r="A1096">
        <v>1094</v>
      </c>
      <c r="B1096" t="s">
        <v>9313</v>
      </c>
      <c r="C1096" s="1" t="s">
        <v>9314</v>
      </c>
      <c r="D1096" t="b">
        <v>0</v>
      </c>
      <c r="E1096" t="b">
        <v>0</v>
      </c>
      <c r="F1096" t="b">
        <v>0</v>
      </c>
      <c r="G1096" t="b">
        <v>1</v>
      </c>
    </row>
    <row r="1097" spans="1:7" x14ac:dyDescent="0.2">
      <c r="A1097">
        <v>1095</v>
      </c>
      <c r="B1097" t="s">
        <v>9315</v>
      </c>
      <c r="C1097" s="1" t="s">
        <v>9316</v>
      </c>
      <c r="D1097" t="b">
        <v>0</v>
      </c>
      <c r="E1097" t="b">
        <v>0</v>
      </c>
      <c r="F1097" t="b">
        <v>0</v>
      </c>
      <c r="G1097" t="b">
        <v>1</v>
      </c>
    </row>
    <row r="1098" spans="1:7" x14ac:dyDescent="0.2">
      <c r="A1098">
        <v>1096</v>
      </c>
      <c r="B1098" t="s">
        <v>9317</v>
      </c>
      <c r="C1098" t="s">
        <v>9318</v>
      </c>
      <c r="D1098" t="b">
        <v>0</v>
      </c>
      <c r="E1098" t="b">
        <v>0</v>
      </c>
      <c r="F1098" t="b">
        <v>0</v>
      </c>
      <c r="G1098" t="b">
        <v>1</v>
      </c>
    </row>
    <row r="1099" spans="1:7" x14ac:dyDescent="0.2">
      <c r="A1099">
        <v>1097</v>
      </c>
      <c r="B1099" t="s">
        <v>9319</v>
      </c>
      <c r="C1099" t="s">
        <v>9320</v>
      </c>
      <c r="D1099" t="b">
        <v>0</v>
      </c>
      <c r="E1099" t="b">
        <v>0</v>
      </c>
      <c r="F1099" t="b">
        <v>0</v>
      </c>
      <c r="G1099" t="b">
        <v>1</v>
      </c>
    </row>
    <row r="1100" spans="1:7" x14ac:dyDescent="0.2">
      <c r="A1100">
        <v>1098</v>
      </c>
      <c r="B1100" t="s">
        <v>9321</v>
      </c>
      <c r="C1100" t="s">
        <v>9322</v>
      </c>
      <c r="D1100" t="b">
        <v>0</v>
      </c>
      <c r="E1100" t="b">
        <v>0</v>
      </c>
      <c r="F1100" t="b">
        <v>0</v>
      </c>
      <c r="G1100" t="b">
        <v>1</v>
      </c>
    </row>
    <row r="1101" spans="1:7" x14ac:dyDescent="0.2">
      <c r="A1101">
        <v>1099</v>
      </c>
      <c r="B1101" t="s">
        <v>376</v>
      </c>
      <c r="C1101" t="s">
        <v>377</v>
      </c>
      <c r="D1101" t="b">
        <v>0</v>
      </c>
      <c r="E1101" t="b">
        <v>0</v>
      </c>
      <c r="F1101" t="b">
        <v>0</v>
      </c>
      <c r="G1101" t="b">
        <v>1</v>
      </c>
    </row>
    <row r="1102" spans="1:7" x14ac:dyDescent="0.2">
      <c r="A1102">
        <v>1100</v>
      </c>
      <c r="B1102" t="s">
        <v>9323</v>
      </c>
      <c r="C1102" t="s">
        <v>9324</v>
      </c>
      <c r="D1102" t="b">
        <v>0</v>
      </c>
      <c r="E1102" t="b">
        <v>0</v>
      </c>
      <c r="F1102" t="b">
        <v>0</v>
      </c>
      <c r="G1102" t="b">
        <v>1</v>
      </c>
    </row>
    <row r="1103" spans="1:7" x14ac:dyDescent="0.2">
      <c r="A1103">
        <v>1101</v>
      </c>
      <c r="B1103" t="s">
        <v>9325</v>
      </c>
      <c r="C1103" t="s">
        <v>9326</v>
      </c>
      <c r="D1103" t="b">
        <v>0</v>
      </c>
      <c r="E1103" t="b">
        <v>0</v>
      </c>
      <c r="F1103" t="b">
        <v>0</v>
      </c>
      <c r="G1103" t="b">
        <v>1</v>
      </c>
    </row>
    <row r="1104" spans="1:7" x14ac:dyDescent="0.2">
      <c r="A1104">
        <v>1102</v>
      </c>
      <c r="B1104" t="s">
        <v>1302</v>
      </c>
      <c r="C1104" t="s">
        <v>1303</v>
      </c>
      <c r="D1104" t="b">
        <v>0</v>
      </c>
      <c r="E1104" t="b">
        <v>0</v>
      </c>
      <c r="F1104" t="b">
        <v>0</v>
      </c>
      <c r="G1104" t="b">
        <v>1</v>
      </c>
    </row>
    <row r="1105" spans="1:7" x14ac:dyDescent="0.2">
      <c r="A1105">
        <v>1103</v>
      </c>
      <c r="B1105" t="s">
        <v>1944</v>
      </c>
      <c r="C1105" t="s">
        <v>9404</v>
      </c>
      <c r="D1105" t="b">
        <v>0</v>
      </c>
      <c r="E1105" t="b">
        <v>0</v>
      </c>
      <c r="F1105" t="b">
        <v>0</v>
      </c>
      <c r="G1105" t="b">
        <v>1</v>
      </c>
    </row>
    <row r="1106" spans="1:7" x14ac:dyDescent="0.2">
      <c r="A1106">
        <v>1104</v>
      </c>
      <c r="B1106" t="s">
        <v>9327</v>
      </c>
      <c r="C1106" t="s">
        <v>9328</v>
      </c>
      <c r="D1106" t="b">
        <v>0</v>
      </c>
      <c r="E1106" t="b">
        <v>0</v>
      </c>
      <c r="F1106" t="b">
        <v>0</v>
      </c>
      <c r="G1106" t="b">
        <v>1</v>
      </c>
    </row>
    <row r="1107" spans="1:7" x14ac:dyDescent="0.2">
      <c r="A1107">
        <v>1105</v>
      </c>
      <c r="B1107" t="s">
        <v>9329</v>
      </c>
      <c r="C1107" t="s">
        <v>9330</v>
      </c>
      <c r="D1107" t="b">
        <v>0</v>
      </c>
      <c r="E1107" t="b">
        <v>0</v>
      </c>
      <c r="F1107" t="b">
        <v>0</v>
      </c>
      <c r="G1107" t="b">
        <v>1</v>
      </c>
    </row>
    <row r="1108" spans="1:7" x14ac:dyDescent="0.2">
      <c r="A1108">
        <v>1106</v>
      </c>
      <c r="B1108" t="s">
        <v>9331</v>
      </c>
      <c r="C1108" t="s">
        <v>9332</v>
      </c>
      <c r="D1108" t="b">
        <v>0</v>
      </c>
      <c r="E1108" t="b">
        <v>0</v>
      </c>
      <c r="F1108" t="b">
        <v>0</v>
      </c>
      <c r="G1108" t="b">
        <v>1</v>
      </c>
    </row>
    <row r="1109" spans="1:7" x14ac:dyDescent="0.2">
      <c r="A1109">
        <v>1107</v>
      </c>
      <c r="B1109" t="s">
        <v>662</v>
      </c>
      <c r="C1109" t="s">
        <v>9333</v>
      </c>
      <c r="D1109" t="b">
        <v>0</v>
      </c>
      <c r="E1109" t="b">
        <v>0</v>
      </c>
      <c r="F1109" t="b">
        <v>0</v>
      </c>
      <c r="G1109" t="b">
        <v>1</v>
      </c>
    </row>
    <row r="1110" spans="1:7" x14ac:dyDescent="0.2">
      <c r="A1110">
        <v>1108</v>
      </c>
      <c r="B1110" t="s">
        <v>9334</v>
      </c>
      <c r="C1110" t="s">
        <v>9335</v>
      </c>
      <c r="D1110" t="b">
        <v>0</v>
      </c>
      <c r="E1110" t="b">
        <v>0</v>
      </c>
      <c r="F1110" t="b">
        <v>0</v>
      </c>
      <c r="G1110" t="b">
        <v>1</v>
      </c>
    </row>
    <row r="1111" spans="1:7" x14ac:dyDescent="0.2">
      <c r="A1111">
        <v>1109</v>
      </c>
      <c r="B1111" t="s">
        <v>9336</v>
      </c>
      <c r="C1111" t="s">
        <v>3649</v>
      </c>
      <c r="D1111" t="b">
        <v>0</v>
      </c>
      <c r="E1111" t="b">
        <v>0</v>
      </c>
      <c r="F1111" t="b">
        <v>0</v>
      </c>
      <c r="G1111" t="b">
        <v>1</v>
      </c>
    </row>
    <row r="1112" spans="1:7" x14ac:dyDescent="0.2">
      <c r="A1112">
        <v>1110</v>
      </c>
      <c r="B1112" t="s">
        <v>1947</v>
      </c>
      <c r="C1112" t="s">
        <v>9405</v>
      </c>
      <c r="D1112" t="b">
        <v>0</v>
      </c>
      <c r="E1112" t="b">
        <v>0</v>
      </c>
      <c r="F1112" t="b">
        <v>0</v>
      </c>
      <c r="G1112" t="b">
        <v>1</v>
      </c>
    </row>
    <row r="1113" spans="1:7" x14ac:dyDescent="0.2">
      <c r="A1113">
        <v>1111</v>
      </c>
      <c r="B1113" t="s">
        <v>726</v>
      </c>
      <c r="C1113" t="s">
        <v>727</v>
      </c>
      <c r="D1113" t="b">
        <v>0</v>
      </c>
      <c r="E1113" t="b">
        <v>0</v>
      </c>
      <c r="F1113" t="b">
        <v>0</v>
      </c>
      <c r="G1113" t="b">
        <v>1</v>
      </c>
    </row>
    <row r="1114" spans="1:7" x14ac:dyDescent="0.2">
      <c r="A1114">
        <v>1112</v>
      </c>
      <c r="B1114" t="s">
        <v>1948</v>
      </c>
      <c r="C1114" t="s">
        <v>9406</v>
      </c>
      <c r="D1114" t="b">
        <v>0</v>
      </c>
      <c r="E1114" t="b">
        <v>0</v>
      </c>
      <c r="F1114" t="b">
        <v>0</v>
      </c>
      <c r="G1114" t="b">
        <v>1</v>
      </c>
    </row>
    <row r="1115" spans="1:7" x14ac:dyDescent="0.2">
      <c r="A1115">
        <v>1113</v>
      </c>
      <c r="B1115" t="s">
        <v>9337</v>
      </c>
      <c r="C1115" t="s">
        <v>9338</v>
      </c>
      <c r="D1115" t="b">
        <v>0</v>
      </c>
      <c r="E1115" t="b">
        <v>0</v>
      </c>
      <c r="F1115" t="b">
        <v>0</v>
      </c>
      <c r="G1115" t="b">
        <v>1</v>
      </c>
    </row>
    <row r="1116" spans="1:7" x14ac:dyDescent="0.2">
      <c r="A1116">
        <v>1114</v>
      </c>
      <c r="B1116" t="s">
        <v>9339</v>
      </c>
      <c r="C1116" t="s">
        <v>9340</v>
      </c>
      <c r="D1116" t="b">
        <v>0</v>
      </c>
      <c r="E1116" t="b">
        <v>0</v>
      </c>
      <c r="F1116" t="b">
        <v>0</v>
      </c>
      <c r="G1116" t="b">
        <v>1</v>
      </c>
    </row>
    <row r="1117" spans="1:7" x14ac:dyDescent="0.2">
      <c r="A1117">
        <v>1115</v>
      </c>
      <c r="B1117" t="s">
        <v>724</v>
      </c>
      <c r="C1117" t="s">
        <v>725</v>
      </c>
      <c r="D1117" t="b">
        <v>0</v>
      </c>
      <c r="E1117" t="b">
        <v>0</v>
      </c>
      <c r="F1117" t="b">
        <v>0</v>
      </c>
      <c r="G1117" t="b">
        <v>1</v>
      </c>
    </row>
    <row r="1118" spans="1:7" x14ac:dyDescent="0.2">
      <c r="A1118">
        <v>1116</v>
      </c>
      <c r="B1118" t="s">
        <v>1949</v>
      </c>
      <c r="C1118" t="s">
        <v>9414</v>
      </c>
      <c r="D1118" t="b">
        <v>0</v>
      </c>
      <c r="E1118" t="b">
        <v>0</v>
      </c>
      <c r="F1118" t="b">
        <v>0</v>
      </c>
      <c r="G1118" t="b">
        <v>1</v>
      </c>
    </row>
    <row r="1119" spans="1:7" x14ac:dyDescent="0.2">
      <c r="A1119">
        <v>1117</v>
      </c>
      <c r="B1119" t="s">
        <v>9341</v>
      </c>
      <c r="C1119" t="s">
        <v>9342</v>
      </c>
      <c r="D1119" t="b">
        <v>0</v>
      </c>
      <c r="E1119" t="b">
        <v>0</v>
      </c>
      <c r="F1119" t="b">
        <v>0</v>
      </c>
      <c r="G1119" t="b">
        <v>1</v>
      </c>
    </row>
    <row r="1120" spans="1:7" x14ac:dyDescent="0.2">
      <c r="A1120">
        <v>1118</v>
      </c>
      <c r="B1120" t="s">
        <v>9343</v>
      </c>
      <c r="C1120" t="s">
        <v>9344</v>
      </c>
      <c r="D1120" t="b">
        <v>0</v>
      </c>
      <c r="E1120" t="b">
        <v>0</v>
      </c>
      <c r="F1120" t="b">
        <v>0</v>
      </c>
      <c r="G1120" t="b">
        <v>1</v>
      </c>
    </row>
    <row r="1121" spans="1:7" x14ac:dyDescent="0.2">
      <c r="A1121">
        <v>1119</v>
      </c>
      <c r="B1121" t="s">
        <v>9345</v>
      </c>
      <c r="C1121" t="s">
        <v>9346</v>
      </c>
      <c r="D1121" t="b">
        <v>0</v>
      </c>
      <c r="E1121" t="b">
        <v>0</v>
      </c>
      <c r="F1121" t="b">
        <v>0</v>
      </c>
      <c r="G1121" t="b">
        <v>1</v>
      </c>
    </row>
    <row r="1122" spans="1:7" x14ac:dyDescent="0.2">
      <c r="A1122">
        <v>1120</v>
      </c>
      <c r="B1122" t="s">
        <v>9347</v>
      </c>
      <c r="C1122" t="s">
        <v>9348</v>
      </c>
      <c r="D1122" t="b">
        <v>0</v>
      </c>
      <c r="E1122" t="b">
        <v>0</v>
      </c>
      <c r="F1122" t="b">
        <v>0</v>
      </c>
      <c r="G1122" t="b">
        <v>1</v>
      </c>
    </row>
    <row r="1123" spans="1:7" x14ac:dyDescent="0.2">
      <c r="A1123">
        <v>1121</v>
      </c>
      <c r="B1123" t="s">
        <v>9349</v>
      </c>
      <c r="C1123" t="s">
        <v>9350</v>
      </c>
      <c r="D1123" t="b">
        <v>0</v>
      </c>
      <c r="E1123" t="b">
        <v>0</v>
      </c>
      <c r="F1123" t="b">
        <v>0</v>
      </c>
      <c r="G1123" t="b">
        <v>1</v>
      </c>
    </row>
    <row r="1124" spans="1:7" x14ac:dyDescent="0.2">
      <c r="A1124">
        <v>1122</v>
      </c>
      <c r="B1124" t="s">
        <v>9351</v>
      </c>
      <c r="C1124" t="s">
        <v>9352</v>
      </c>
      <c r="D1124" t="b">
        <v>0</v>
      </c>
      <c r="E1124" t="b">
        <v>0</v>
      </c>
      <c r="F1124" t="b">
        <v>0</v>
      </c>
      <c r="G1124" t="b">
        <v>1</v>
      </c>
    </row>
    <row r="1125" spans="1:7" x14ac:dyDescent="0.2">
      <c r="A1125">
        <v>1123</v>
      </c>
      <c r="B1125" t="s">
        <v>9353</v>
      </c>
      <c r="C1125" t="s">
        <v>9354</v>
      </c>
      <c r="D1125" t="b">
        <v>0</v>
      </c>
      <c r="E1125" t="b">
        <v>0</v>
      </c>
      <c r="F1125" t="b">
        <v>0</v>
      </c>
      <c r="G1125" t="b">
        <v>1</v>
      </c>
    </row>
    <row r="1126" spans="1:7" x14ac:dyDescent="0.2">
      <c r="A1126">
        <v>1124</v>
      </c>
      <c r="B1126" t="s">
        <v>9355</v>
      </c>
      <c r="C1126" t="s">
        <v>9356</v>
      </c>
      <c r="D1126" t="b">
        <v>0</v>
      </c>
      <c r="E1126" t="b">
        <v>0</v>
      </c>
      <c r="F1126" t="b">
        <v>0</v>
      </c>
      <c r="G1126" t="b">
        <v>1</v>
      </c>
    </row>
    <row r="1127" spans="1:7" x14ac:dyDescent="0.2">
      <c r="A1127">
        <v>1125</v>
      </c>
      <c r="B1127" t="s">
        <v>9357</v>
      </c>
      <c r="C1127" t="s">
        <v>9358</v>
      </c>
      <c r="D1127" t="b">
        <v>0</v>
      </c>
      <c r="E1127" t="b">
        <v>0</v>
      </c>
      <c r="F1127" t="b">
        <v>0</v>
      </c>
      <c r="G1127" t="b">
        <v>1</v>
      </c>
    </row>
    <row r="1128" spans="1:7" x14ac:dyDescent="0.2">
      <c r="A1128">
        <v>1126</v>
      </c>
      <c r="B1128" t="s">
        <v>9359</v>
      </c>
      <c r="C1128" t="s">
        <v>9360</v>
      </c>
      <c r="D1128" t="b">
        <v>0</v>
      </c>
      <c r="E1128" t="b">
        <v>0</v>
      </c>
      <c r="F1128" t="b">
        <v>0</v>
      </c>
      <c r="G1128" t="b">
        <v>1</v>
      </c>
    </row>
    <row r="1129" spans="1:7" x14ac:dyDescent="0.2">
      <c r="A1129">
        <v>1127</v>
      </c>
      <c r="B1129" t="s">
        <v>9361</v>
      </c>
      <c r="C1129" t="s">
        <v>9362</v>
      </c>
      <c r="D1129" t="b">
        <v>0</v>
      </c>
      <c r="E1129" t="b">
        <v>0</v>
      </c>
      <c r="F1129" t="b">
        <v>0</v>
      </c>
      <c r="G1129" t="b">
        <v>1</v>
      </c>
    </row>
    <row r="1130" spans="1:7" x14ac:dyDescent="0.2">
      <c r="A1130">
        <v>1128</v>
      </c>
      <c r="B1130" t="s">
        <v>1440</v>
      </c>
      <c r="C1130" t="s">
        <v>1441</v>
      </c>
      <c r="D1130" t="b">
        <v>0</v>
      </c>
      <c r="E1130" t="b">
        <v>0</v>
      </c>
      <c r="F1130" t="b">
        <v>0</v>
      </c>
      <c r="G1130" t="b">
        <v>1</v>
      </c>
    </row>
    <row r="1131" spans="1:7" x14ac:dyDescent="0.2">
      <c r="A1131">
        <v>1129</v>
      </c>
      <c r="B1131" t="s">
        <v>143</v>
      </c>
      <c r="C1131" t="s">
        <v>144</v>
      </c>
      <c r="D1131" t="b">
        <v>0</v>
      </c>
      <c r="E1131" t="b">
        <v>0</v>
      </c>
      <c r="F1131" t="b">
        <v>0</v>
      </c>
      <c r="G1131" t="b">
        <v>1</v>
      </c>
    </row>
    <row r="1132" spans="1:7" x14ac:dyDescent="0.2">
      <c r="A1132">
        <v>1130</v>
      </c>
      <c r="B1132" t="s">
        <v>378</v>
      </c>
      <c r="C1132" t="s">
        <v>379</v>
      </c>
      <c r="D1132" t="b">
        <v>0</v>
      </c>
      <c r="E1132" t="b">
        <v>0</v>
      </c>
      <c r="F1132" t="b">
        <v>0</v>
      </c>
      <c r="G1132" t="b">
        <v>1</v>
      </c>
    </row>
    <row r="1133" spans="1:7" x14ac:dyDescent="0.2">
      <c r="A1133">
        <v>1131</v>
      </c>
      <c r="B1133" t="s">
        <v>1348</v>
      </c>
      <c r="C1133" t="s">
        <v>1349</v>
      </c>
      <c r="D1133" t="b">
        <v>0</v>
      </c>
      <c r="E1133" t="b">
        <v>0</v>
      </c>
      <c r="F1133" t="b">
        <v>0</v>
      </c>
      <c r="G1133" t="b">
        <v>1</v>
      </c>
    </row>
    <row r="1134" spans="1:7" x14ac:dyDescent="0.2">
      <c r="A1134">
        <v>1132</v>
      </c>
      <c r="B1134" t="s">
        <v>161</v>
      </c>
      <c r="C1134" t="s">
        <v>162</v>
      </c>
      <c r="D1134" t="b">
        <v>0</v>
      </c>
      <c r="E1134" t="b">
        <v>0</v>
      </c>
      <c r="F1134" t="b">
        <v>0</v>
      </c>
      <c r="G1134" t="b">
        <v>1</v>
      </c>
    </row>
    <row r="1135" spans="1:7" x14ac:dyDescent="0.2">
      <c r="A1135">
        <v>1133</v>
      </c>
      <c r="B1135" t="s">
        <v>9363</v>
      </c>
      <c r="C1135" t="s">
        <v>9364</v>
      </c>
      <c r="D1135" t="b">
        <v>0</v>
      </c>
      <c r="E1135" t="b">
        <v>0</v>
      </c>
      <c r="F1135" t="b">
        <v>0</v>
      </c>
      <c r="G1135" t="b">
        <v>1</v>
      </c>
    </row>
    <row r="1136" spans="1:7" x14ac:dyDescent="0.2">
      <c r="A1136">
        <v>1134</v>
      </c>
      <c r="B1136" t="s">
        <v>9365</v>
      </c>
      <c r="C1136" t="s">
        <v>9366</v>
      </c>
      <c r="D1136" t="b">
        <v>0</v>
      </c>
      <c r="E1136" t="b">
        <v>0</v>
      </c>
      <c r="F1136" t="b">
        <v>0</v>
      </c>
      <c r="G1136" t="b">
        <v>1</v>
      </c>
    </row>
    <row r="1137" spans="1:7" x14ac:dyDescent="0.2">
      <c r="A1137">
        <v>1135</v>
      </c>
      <c r="B1137" t="s">
        <v>9367</v>
      </c>
      <c r="C1137" t="s">
        <v>9368</v>
      </c>
      <c r="D1137" t="b">
        <v>0</v>
      </c>
      <c r="E1137" t="b">
        <v>0</v>
      </c>
      <c r="F1137" t="b">
        <v>0</v>
      </c>
      <c r="G1137" t="b">
        <v>1</v>
      </c>
    </row>
    <row r="1138" spans="1:7" x14ac:dyDescent="0.2">
      <c r="A1138">
        <v>1136</v>
      </c>
      <c r="B1138" t="s">
        <v>141</v>
      </c>
      <c r="C1138" t="s">
        <v>142</v>
      </c>
      <c r="D1138" t="b">
        <v>0</v>
      </c>
      <c r="E1138" t="b">
        <v>0</v>
      </c>
      <c r="F1138" t="b">
        <v>0</v>
      </c>
      <c r="G1138" t="b">
        <v>1</v>
      </c>
    </row>
    <row r="1139" spans="1:7" x14ac:dyDescent="0.2">
      <c r="A1139">
        <v>1137</v>
      </c>
      <c r="B1139" t="s">
        <v>9369</v>
      </c>
      <c r="C1139" t="s">
        <v>9370</v>
      </c>
      <c r="D1139" t="b">
        <v>0</v>
      </c>
      <c r="E1139" t="b">
        <v>0</v>
      </c>
      <c r="F1139" t="b">
        <v>0</v>
      </c>
      <c r="G1139" t="b">
        <v>1</v>
      </c>
    </row>
    <row r="1140" spans="1:7" x14ac:dyDescent="0.2">
      <c r="A1140">
        <v>1138</v>
      </c>
      <c r="B1140" t="s">
        <v>9371</v>
      </c>
      <c r="C1140" t="s">
        <v>9372</v>
      </c>
      <c r="D1140" t="b">
        <v>0</v>
      </c>
      <c r="E1140" t="b">
        <v>0</v>
      </c>
      <c r="F1140" t="b">
        <v>0</v>
      </c>
      <c r="G1140" t="b">
        <v>1</v>
      </c>
    </row>
    <row r="1141" spans="1:7" x14ac:dyDescent="0.2">
      <c r="A1141">
        <v>1139</v>
      </c>
      <c r="B1141" t="s">
        <v>9373</v>
      </c>
      <c r="C1141" t="s">
        <v>3664</v>
      </c>
      <c r="D1141" t="b">
        <v>0</v>
      </c>
      <c r="E1141" t="b">
        <v>0</v>
      </c>
      <c r="F1141" t="b">
        <v>0</v>
      </c>
      <c r="G1141" t="b">
        <v>1</v>
      </c>
    </row>
    <row r="1142" spans="1:7" x14ac:dyDescent="0.2">
      <c r="A1142">
        <v>1140</v>
      </c>
      <c r="B1142" t="s">
        <v>549</v>
      </c>
      <c r="C1142" t="s">
        <v>9374</v>
      </c>
      <c r="D1142" t="b">
        <v>0</v>
      </c>
      <c r="E1142" t="b">
        <v>0</v>
      </c>
      <c r="F1142" t="b">
        <v>0</v>
      </c>
      <c r="G1142" t="b">
        <v>1</v>
      </c>
    </row>
    <row r="1143" spans="1:7" x14ac:dyDescent="0.2">
      <c r="A1143">
        <v>1141</v>
      </c>
      <c r="B1143" t="s">
        <v>1955</v>
      </c>
      <c r="C1143" t="s">
        <v>9415</v>
      </c>
      <c r="D1143" t="b">
        <v>0</v>
      </c>
      <c r="E1143" t="b">
        <v>0</v>
      </c>
      <c r="F1143" t="b">
        <v>0</v>
      </c>
      <c r="G1143" t="b">
        <v>1</v>
      </c>
    </row>
    <row r="1144" spans="1:7" x14ac:dyDescent="0.2">
      <c r="A1144">
        <v>1142</v>
      </c>
      <c r="B1144" t="s">
        <v>9375</v>
      </c>
      <c r="C1144" t="s">
        <v>9376</v>
      </c>
      <c r="D1144" t="b">
        <v>0</v>
      </c>
      <c r="E1144" t="b">
        <v>0</v>
      </c>
      <c r="F1144" t="b">
        <v>0</v>
      </c>
      <c r="G1144" t="b">
        <v>1</v>
      </c>
    </row>
    <row r="1145" spans="1:7" x14ac:dyDescent="0.2">
      <c r="A1145">
        <v>1143</v>
      </c>
      <c r="B1145" t="s">
        <v>9377</v>
      </c>
      <c r="C1145" t="s">
        <v>9416</v>
      </c>
      <c r="D1145" t="b">
        <v>0</v>
      </c>
      <c r="E1145" t="b">
        <v>0</v>
      </c>
      <c r="F1145" t="b">
        <v>0</v>
      </c>
      <c r="G1145" t="b">
        <v>1</v>
      </c>
    </row>
    <row r="1146" spans="1:7" x14ac:dyDescent="0.2">
      <c r="A1146">
        <v>1144</v>
      </c>
      <c r="B1146" t="s">
        <v>9378</v>
      </c>
      <c r="C1146" t="s">
        <v>9379</v>
      </c>
      <c r="D1146" t="b">
        <v>0</v>
      </c>
      <c r="E1146" t="b">
        <v>0</v>
      </c>
      <c r="F1146" t="b">
        <v>0</v>
      </c>
      <c r="G1146" t="b">
        <v>1</v>
      </c>
    </row>
    <row r="1147" spans="1:7" x14ac:dyDescent="0.2">
      <c r="A1147">
        <v>1145</v>
      </c>
      <c r="B1147" t="s">
        <v>9380</v>
      </c>
      <c r="C1147" t="s">
        <v>9381</v>
      </c>
      <c r="D1147" t="b">
        <v>0</v>
      </c>
      <c r="E1147" t="b">
        <v>0</v>
      </c>
      <c r="F1147" t="b">
        <v>0</v>
      </c>
      <c r="G1147" t="b">
        <v>1</v>
      </c>
    </row>
    <row r="1148" spans="1:7" x14ac:dyDescent="0.2">
      <c r="A1148">
        <v>1146</v>
      </c>
      <c r="B1148" t="s">
        <v>9382</v>
      </c>
      <c r="C1148" t="s">
        <v>9383</v>
      </c>
      <c r="D1148" t="b">
        <v>0</v>
      </c>
      <c r="E1148" t="b">
        <v>0</v>
      </c>
      <c r="F1148" t="b">
        <v>0</v>
      </c>
      <c r="G1148" t="b">
        <v>1</v>
      </c>
    </row>
    <row r="1149" spans="1:7" x14ac:dyDescent="0.2">
      <c r="A1149">
        <v>1147</v>
      </c>
      <c r="B1149" t="s">
        <v>9384</v>
      </c>
      <c r="C1149" t="s">
        <v>9385</v>
      </c>
      <c r="D1149" t="b">
        <v>0</v>
      </c>
      <c r="E1149" t="b">
        <v>0</v>
      </c>
      <c r="F1149" t="b">
        <v>0</v>
      </c>
      <c r="G1149" t="b">
        <v>1</v>
      </c>
    </row>
    <row r="1150" spans="1:7" x14ac:dyDescent="0.2">
      <c r="A1150">
        <v>1148</v>
      </c>
      <c r="B1150" t="s">
        <v>9386</v>
      </c>
      <c r="C1150" t="s">
        <v>9387</v>
      </c>
      <c r="D1150" t="b">
        <v>0</v>
      </c>
      <c r="E1150" t="b">
        <v>0</v>
      </c>
      <c r="F1150" t="b">
        <v>0</v>
      </c>
      <c r="G1150" t="b">
        <v>1</v>
      </c>
    </row>
    <row r="1151" spans="1:7" x14ac:dyDescent="0.2">
      <c r="A1151">
        <v>1149</v>
      </c>
      <c r="B1151" t="s">
        <v>1957</v>
      </c>
      <c r="C1151" t="s">
        <v>3596</v>
      </c>
      <c r="D1151" t="b">
        <v>0</v>
      </c>
      <c r="E1151" t="b">
        <v>0</v>
      </c>
      <c r="F1151" t="b">
        <v>0</v>
      </c>
      <c r="G1151" t="b">
        <v>1</v>
      </c>
    </row>
    <row r="1152" spans="1:7" x14ac:dyDescent="0.2">
      <c r="A1152">
        <v>1150</v>
      </c>
      <c r="B1152" t="s">
        <v>9388</v>
      </c>
      <c r="C1152" t="s">
        <v>9389</v>
      </c>
      <c r="D1152" t="b">
        <v>0</v>
      </c>
      <c r="E1152" t="b">
        <v>0</v>
      </c>
      <c r="F1152" t="b">
        <v>0</v>
      </c>
      <c r="G1152" t="b">
        <v>1</v>
      </c>
    </row>
    <row r="1153" spans="1:7" x14ac:dyDescent="0.2">
      <c r="A1153">
        <v>1151</v>
      </c>
      <c r="B1153" t="s">
        <v>1958</v>
      </c>
      <c r="C1153" t="s">
        <v>9417</v>
      </c>
      <c r="D1153" t="b">
        <v>0</v>
      </c>
      <c r="E1153" t="b">
        <v>0</v>
      </c>
      <c r="F1153" t="b">
        <v>0</v>
      </c>
      <c r="G1153" t="b">
        <v>1</v>
      </c>
    </row>
    <row r="1154" spans="1:7" x14ac:dyDescent="0.2">
      <c r="A1154">
        <v>1152</v>
      </c>
      <c r="B1154" t="s">
        <v>9390</v>
      </c>
      <c r="C1154" t="s">
        <v>9391</v>
      </c>
      <c r="D1154" t="b">
        <v>0</v>
      </c>
      <c r="E1154" t="b">
        <v>0</v>
      </c>
      <c r="F1154" t="b">
        <v>0</v>
      </c>
      <c r="G1154" t="b">
        <v>1</v>
      </c>
    </row>
    <row r="1155" spans="1:7" x14ac:dyDescent="0.2">
      <c r="A1155">
        <v>1153</v>
      </c>
      <c r="B1155" t="s">
        <v>9392</v>
      </c>
      <c r="C1155" s="1" t="s">
        <v>9393</v>
      </c>
      <c r="D1155" t="b">
        <v>0</v>
      </c>
      <c r="E1155" t="b">
        <v>0</v>
      </c>
      <c r="F1155" t="b">
        <v>0</v>
      </c>
      <c r="G1155" t="b">
        <v>1</v>
      </c>
    </row>
    <row r="1156" spans="1:7" x14ac:dyDescent="0.2">
      <c r="A1156">
        <v>1154</v>
      </c>
      <c r="B1156" t="s">
        <v>1491</v>
      </c>
      <c r="C1156" t="s">
        <v>1492</v>
      </c>
      <c r="D1156" t="b">
        <v>0</v>
      </c>
      <c r="E1156" t="b">
        <v>0</v>
      </c>
      <c r="F1156" t="b">
        <v>0</v>
      </c>
      <c r="G1156" t="b">
        <v>1</v>
      </c>
    </row>
    <row r="1157" spans="1:7" x14ac:dyDescent="0.2">
      <c r="A1157">
        <v>1155</v>
      </c>
      <c r="B1157" t="s">
        <v>1153</v>
      </c>
      <c r="C1157" t="s">
        <v>9418</v>
      </c>
      <c r="D1157" t="b">
        <v>0</v>
      </c>
      <c r="E1157" t="b">
        <v>0</v>
      </c>
      <c r="F1157" t="b">
        <v>0</v>
      </c>
      <c r="G1157" t="b">
        <v>1</v>
      </c>
    </row>
    <row r="1158" spans="1:7" x14ac:dyDescent="0.2">
      <c r="A1158">
        <v>1156</v>
      </c>
      <c r="B1158" t="s">
        <v>9394</v>
      </c>
      <c r="C1158" t="s">
        <v>9395</v>
      </c>
      <c r="D1158" t="b">
        <v>0</v>
      </c>
      <c r="E1158" t="b">
        <v>0</v>
      </c>
      <c r="F1158" t="b">
        <v>0</v>
      </c>
      <c r="G1158" t="b">
        <v>1</v>
      </c>
    </row>
  </sheetData>
  <conditionalFormatting sqref="A1:XFD1048576">
    <cfRule type="dataBar" priority="2">
      <dataBar>
        <cfvo type="formula" val="FALSE"/>
        <cfvo type="formula" val="TRUE"/>
        <color theme="9"/>
      </dataBar>
      <extLst>
        <ext xmlns:x14="http://schemas.microsoft.com/office/spreadsheetml/2009/9/main" uri="{B025F937-C7B1-47D3-B67F-A62EFF666E3E}">
          <x14:id>{2A6BB239-74C2-DC46-88B0-986F816E022E}</x14:id>
        </ext>
      </extLst>
    </cfRule>
  </conditionalFormatting>
  <conditionalFormatting sqref="F1:F1048576">
    <cfRule type="colorScale" priority="1">
      <colorScale>
        <cfvo type="formula" val="$F:$F=&quot;TRUE&quot;"/>
        <cfvo type="formula" val="$F:$F=&quot;FALSE&quot;"/>
        <color rgb="FFFF7128"/>
        <color rgb="FFFFEF9C"/>
      </colorScale>
    </cfRule>
  </conditionalFormatting>
  <conditionalFormatting sqref="G1:G1048576">
    <cfRule type="colorScale" priority="3">
      <colorScale>
        <cfvo type="formula" val="$G:$G=TRUE"/>
        <cfvo type="formula" val="$G:$G=FALSE"/>
        <color rgb="FFFF0000"/>
        <color theme="9"/>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2A6BB239-74C2-DC46-88B0-986F816E022E}">
            <x14:dataBar minLength="0" maxLength="100" gradient="0">
              <x14:cfvo type="formula">
                <xm:f>FALSE</xm:f>
              </x14:cfvo>
              <x14:cfvo type="formula">
                <xm:f>TRUE</xm:f>
              </x14:cfvo>
              <x14:negativeFillColor rgb="FFFF0000"/>
              <x14:axisColor rgb="FF000000"/>
            </x14:dataBar>
          </x14:cfRule>
          <xm:sqref>A1:XFD1048576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54C38-AFBE-4B4D-9CE2-6CA596FEF7EB}">
  <dimension ref="A1:H797"/>
  <sheetViews>
    <sheetView workbookViewId="0">
      <selection activeCell="I8" sqref="I8"/>
    </sheetView>
  </sheetViews>
  <sheetFormatPr baseColWidth="10" defaultRowHeight="16" x14ac:dyDescent="0.2"/>
  <sheetData>
    <row r="1" spans="1:8" x14ac:dyDescent="0.2">
      <c r="A1" s="2"/>
      <c r="B1" t="s">
        <v>0</v>
      </c>
      <c r="C1" t="s">
        <v>1</v>
      </c>
      <c r="D1" t="s">
        <v>2</v>
      </c>
      <c r="E1" t="s">
        <v>3</v>
      </c>
      <c r="F1" t="s">
        <v>4</v>
      </c>
      <c r="G1" t="s">
        <v>5</v>
      </c>
      <c r="H1" t="s">
        <v>6</v>
      </c>
    </row>
    <row r="2" spans="1:8" x14ac:dyDescent="0.2">
      <c r="A2" s="2">
        <v>0</v>
      </c>
      <c r="B2" t="s">
        <v>7</v>
      </c>
      <c r="C2" t="s">
        <v>8</v>
      </c>
      <c r="D2" t="b">
        <v>1</v>
      </c>
      <c r="E2" t="b">
        <v>0</v>
      </c>
      <c r="F2" t="b">
        <v>0</v>
      </c>
      <c r="G2" t="b">
        <v>1</v>
      </c>
      <c r="H2" t="b">
        <v>0</v>
      </c>
    </row>
    <row r="3" spans="1:8" x14ac:dyDescent="0.2">
      <c r="A3" s="2">
        <v>1</v>
      </c>
      <c r="B3" t="s">
        <v>9</v>
      </c>
      <c r="C3" t="s">
        <v>10</v>
      </c>
      <c r="D3" t="b">
        <v>0</v>
      </c>
      <c r="E3" t="b">
        <v>1</v>
      </c>
      <c r="F3" t="b">
        <v>1</v>
      </c>
      <c r="G3" t="b">
        <v>0</v>
      </c>
      <c r="H3" t="b">
        <v>1</v>
      </c>
    </row>
    <row r="4" spans="1:8" x14ac:dyDescent="0.2">
      <c r="A4" s="2">
        <v>2</v>
      </c>
      <c r="B4" t="s">
        <v>11</v>
      </c>
      <c r="C4" t="s">
        <v>12</v>
      </c>
      <c r="D4" t="b">
        <v>0</v>
      </c>
      <c r="E4" t="b">
        <v>0</v>
      </c>
      <c r="F4" t="b">
        <v>1</v>
      </c>
      <c r="G4" t="b">
        <v>0</v>
      </c>
      <c r="H4" t="b">
        <v>0</v>
      </c>
    </row>
    <row r="5" spans="1:8" x14ac:dyDescent="0.2">
      <c r="A5" s="2">
        <v>3</v>
      </c>
      <c r="B5" t="s">
        <v>13</v>
      </c>
      <c r="C5" t="s">
        <v>14</v>
      </c>
      <c r="D5" t="b">
        <v>0</v>
      </c>
      <c r="E5" t="b">
        <v>0</v>
      </c>
      <c r="F5" t="b">
        <v>1</v>
      </c>
      <c r="G5" t="b">
        <v>0</v>
      </c>
      <c r="H5" t="b">
        <v>0</v>
      </c>
    </row>
    <row r="6" spans="1:8" x14ac:dyDescent="0.2">
      <c r="A6" s="2">
        <v>4</v>
      </c>
      <c r="B6" t="s">
        <v>15</v>
      </c>
      <c r="C6" t="s">
        <v>16</v>
      </c>
      <c r="D6" t="b">
        <v>0</v>
      </c>
      <c r="E6" t="b">
        <v>0</v>
      </c>
      <c r="F6" t="b">
        <v>1</v>
      </c>
      <c r="G6" t="b">
        <v>0</v>
      </c>
      <c r="H6" t="b">
        <v>0</v>
      </c>
    </row>
    <row r="7" spans="1:8" x14ac:dyDescent="0.2">
      <c r="A7" s="2">
        <v>5</v>
      </c>
      <c r="B7" t="s">
        <v>17</v>
      </c>
      <c r="C7" t="s">
        <v>18</v>
      </c>
      <c r="D7" t="b">
        <v>0</v>
      </c>
      <c r="E7" t="b">
        <v>0</v>
      </c>
      <c r="F7" t="b">
        <v>1</v>
      </c>
      <c r="G7" t="b">
        <v>0</v>
      </c>
      <c r="H7" t="b">
        <v>1</v>
      </c>
    </row>
    <row r="8" spans="1:8" x14ac:dyDescent="0.2">
      <c r="A8" s="2">
        <v>6</v>
      </c>
      <c r="B8" t="s">
        <v>19</v>
      </c>
      <c r="C8" t="s">
        <v>20</v>
      </c>
      <c r="D8" t="b">
        <v>0</v>
      </c>
      <c r="E8" t="b">
        <v>0</v>
      </c>
      <c r="F8" t="b">
        <v>1</v>
      </c>
      <c r="G8" t="b">
        <v>0</v>
      </c>
      <c r="H8" t="b">
        <v>0</v>
      </c>
    </row>
    <row r="9" spans="1:8" x14ac:dyDescent="0.2">
      <c r="A9" s="2">
        <v>7</v>
      </c>
      <c r="B9" t="s">
        <v>21</v>
      </c>
      <c r="C9" t="s">
        <v>22</v>
      </c>
      <c r="D9" t="b">
        <v>0</v>
      </c>
      <c r="E9" t="b">
        <v>0</v>
      </c>
      <c r="F9" t="b">
        <v>1</v>
      </c>
      <c r="G9" t="b">
        <v>0</v>
      </c>
      <c r="H9" t="b">
        <v>0</v>
      </c>
    </row>
    <row r="10" spans="1:8" x14ac:dyDescent="0.2">
      <c r="A10" s="2">
        <v>8</v>
      </c>
      <c r="B10" t="s">
        <v>23</v>
      </c>
      <c r="C10" t="s">
        <v>24</v>
      </c>
      <c r="D10" t="b">
        <v>0</v>
      </c>
      <c r="E10" t="b">
        <v>0</v>
      </c>
      <c r="F10" t="b">
        <v>1</v>
      </c>
      <c r="G10" t="b">
        <v>0</v>
      </c>
      <c r="H10" t="b">
        <v>0</v>
      </c>
    </row>
    <row r="11" spans="1:8" x14ac:dyDescent="0.2">
      <c r="A11" s="2">
        <v>9</v>
      </c>
      <c r="B11" t="s">
        <v>25</v>
      </c>
      <c r="C11" t="s">
        <v>26</v>
      </c>
      <c r="D11" t="b">
        <v>0</v>
      </c>
      <c r="E11" t="b">
        <v>0</v>
      </c>
      <c r="F11" t="b">
        <v>1</v>
      </c>
      <c r="G11" t="b">
        <v>0</v>
      </c>
      <c r="H11" t="b">
        <v>0</v>
      </c>
    </row>
    <row r="12" spans="1:8" x14ac:dyDescent="0.2">
      <c r="A12" s="2">
        <v>10</v>
      </c>
      <c r="B12" t="s">
        <v>27</v>
      </c>
      <c r="C12" t="s">
        <v>28</v>
      </c>
      <c r="D12" t="b">
        <v>0</v>
      </c>
      <c r="E12" t="b">
        <v>0</v>
      </c>
      <c r="F12" t="b">
        <v>1</v>
      </c>
      <c r="G12" t="b">
        <v>0</v>
      </c>
      <c r="H12" t="b">
        <v>1</v>
      </c>
    </row>
    <row r="13" spans="1:8" x14ac:dyDescent="0.2">
      <c r="A13" s="2">
        <v>11</v>
      </c>
      <c r="B13" t="s">
        <v>29</v>
      </c>
      <c r="C13" t="s">
        <v>30</v>
      </c>
      <c r="D13" t="b">
        <v>0</v>
      </c>
      <c r="E13" t="b">
        <v>0</v>
      </c>
      <c r="F13" t="b">
        <v>1</v>
      </c>
      <c r="G13" t="b">
        <v>0</v>
      </c>
      <c r="H13" t="b">
        <v>0</v>
      </c>
    </row>
    <row r="14" spans="1:8" x14ac:dyDescent="0.2">
      <c r="A14" s="2">
        <v>12</v>
      </c>
      <c r="B14" t="s">
        <v>31</v>
      </c>
      <c r="C14" t="s">
        <v>32</v>
      </c>
      <c r="D14" t="b">
        <v>0</v>
      </c>
      <c r="E14" t="b">
        <v>0</v>
      </c>
      <c r="F14" t="b">
        <v>1</v>
      </c>
      <c r="G14" t="b">
        <v>0</v>
      </c>
      <c r="H14" t="b">
        <v>0</v>
      </c>
    </row>
    <row r="15" spans="1:8" x14ac:dyDescent="0.2">
      <c r="A15" s="2">
        <v>13</v>
      </c>
      <c r="B15" t="s">
        <v>33</v>
      </c>
      <c r="C15" t="s">
        <v>34</v>
      </c>
      <c r="D15" t="b">
        <v>0</v>
      </c>
      <c r="E15" t="b">
        <v>0</v>
      </c>
      <c r="F15" t="b">
        <v>1</v>
      </c>
      <c r="G15" t="b">
        <v>0</v>
      </c>
      <c r="H15" t="b">
        <v>0</v>
      </c>
    </row>
    <row r="16" spans="1:8" x14ac:dyDescent="0.2">
      <c r="A16" s="2">
        <v>14</v>
      </c>
      <c r="B16" t="s">
        <v>35</v>
      </c>
      <c r="C16" t="s">
        <v>36</v>
      </c>
      <c r="D16" t="b">
        <v>0</v>
      </c>
      <c r="E16" t="b">
        <v>0</v>
      </c>
      <c r="F16" t="b">
        <v>1</v>
      </c>
      <c r="G16" t="b">
        <v>0</v>
      </c>
      <c r="H16" t="b">
        <v>0</v>
      </c>
    </row>
    <row r="17" spans="1:8" x14ac:dyDescent="0.2">
      <c r="A17" s="2">
        <v>15</v>
      </c>
      <c r="B17" t="s">
        <v>37</v>
      </c>
      <c r="C17" t="s">
        <v>38</v>
      </c>
      <c r="D17" t="b">
        <v>0</v>
      </c>
      <c r="E17" t="b">
        <v>0</v>
      </c>
      <c r="F17" t="b">
        <v>1</v>
      </c>
      <c r="G17" t="b">
        <v>0</v>
      </c>
      <c r="H17" t="b">
        <v>0</v>
      </c>
    </row>
    <row r="18" spans="1:8" x14ac:dyDescent="0.2">
      <c r="A18" s="2">
        <v>16</v>
      </c>
      <c r="B18" t="s">
        <v>39</v>
      </c>
      <c r="C18" t="s">
        <v>40</v>
      </c>
      <c r="D18" t="b">
        <v>0</v>
      </c>
      <c r="E18" t="b">
        <v>0</v>
      </c>
      <c r="F18" t="b">
        <v>1</v>
      </c>
      <c r="G18" t="b">
        <v>0</v>
      </c>
      <c r="H18" t="b">
        <v>0</v>
      </c>
    </row>
    <row r="19" spans="1:8" x14ac:dyDescent="0.2">
      <c r="A19" s="2">
        <v>17</v>
      </c>
      <c r="B19" t="s">
        <v>41</v>
      </c>
      <c r="C19" t="s">
        <v>42</v>
      </c>
      <c r="D19" t="b">
        <v>0</v>
      </c>
      <c r="E19" t="b">
        <v>0</v>
      </c>
      <c r="F19" t="b">
        <v>1</v>
      </c>
      <c r="G19" t="b">
        <v>0</v>
      </c>
      <c r="H19" t="b">
        <v>0</v>
      </c>
    </row>
    <row r="20" spans="1:8" x14ac:dyDescent="0.2">
      <c r="A20" s="2">
        <v>18</v>
      </c>
      <c r="B20" t="s">
        <v>43</v>
      </c>
      <c r="C20" t="s">
        <v>44</v>
      </c>
      <c r="D20" t="b">
        <v>0</v>
      </c>
      <c r="E20" t="b">
        <v>0</v>
      </c>
      <c r="F20" t="b">
        <v>1</v>
      </c>
      <c r="G20" t="b">
        <v>0</v>
      </c>
      <c r="H20" t="b">
        <v>0</v>
      </c>
    </row>
    <row r="21" spans="1:8" x14ac:dyDescent="0.2">
      <c r="A21" s="2">
        <v>19</v>
      </c>
      <c r="B21" t="s">
        <v>45</v>
      </c>
      <c r="C21" t="s">
        <v>46</v>
      </c>
      <c r="D21" t="b">
        <v>0</v>
      </c>
      <c r="E21" t="b">
        <v>0</v>
      </c>
      <c r="F21" t="b">
        <v>1</v>
      </c>
      <c r="G21" t="b">
        <v>0</v>
      </c>
      <c r="H21" t="b">
        <v>0</v>
      </c>
    </row>
    <row r="22" spans="1:8" x14ac:dyDescent="0.2">
      <c r="A22" s="2">
        <v>20</v>
      </c>
      <c r="B22" t="s">
        <v>47</v>
      </c>
      <c r="C22" t="s">
        <v>48</v>
      </c>
      <c r="D22" t="b">
        <v>0</v>
      </c>
      <c r="E22" t="b">
        <v>0</v>
      </c>
      <c r="F22" t="b">
        <v>1</v>
      </c>
      <c r="G22" t="b">
        <v>0</v>
      </c>
      <c r="H22" t="b">
        <v>0</v>
      </c>
    </row>
    <row r="23" spans="1:8" x14ac:dyDescent="0.2">
      <c r="A23" s="2">
        <v>21</v>
      </c>
      <c r="B23" t="s">
        <v>49</v>
      </c>
      <c r="C23" t="s">
        <v>50</v>
      </c>
      <c r="D23" t="b">
        <v>0</v>
      </c>
      <c r="E23" t="b">
        <v>0</v>
      </c>
      <c r="F23" t="b">
        <v>1</v>
      </c>
      <c r="G23" t="b">
        <v>0</v>
      </c>
      <c r="H23" t="b">
        <v>0</v>
      </c>
    </row>
    <row r="24" spans="1:8" x14ac:dyDescent="0.2">
      <c r="A24" s="2">
        <v>22</v>
      </c>
      <c r="B24" t="s">
        <v>51</v>
      </c>
      <c r="C24" t="s">
        <v>52</v>
      </c>
      <c r="D24" t="b">
        <v>0</v>
      </c>
      <c r="E24" t="b">
        <v>0</v>
      </c>
      <c r="F24" t="b">
        <v>1</v>
      </c>
      <c r="G24" t="b">
        <v>0</v>
      </c>
      <c r="H24" t="b">
        <v>0</v>
      </c>
    </row>
    <row r="25" spans="1:8" x14ac:dyDescent="0.2">
      <c r="A25" s="2">
        <v>23</v>
      </c>
      <c r="B25" t="s">
        <v>53</v>
      </c>
      <c r="C25" t="s">
        <v>54</v>
      </c>
      <c r="D25" t="b">
        <v>0</v>
      </c>
      <c r="E25" t="b">
        <v>0</v>
      </c>
      <c r="F25" t="b">
        <v>1</v>
      </c>
      <c r="G25" t="b">
        <v>0</v>
      </c>
      <c r="H25" t="b">
        <v>0</v>
      </c>
    </row>
    <row r="26" spans="1:8" x14ac:dyDescent="0.2">
      <c r="A26" s="2">
        <v>24</v>
      </c>
      <c r="B26" t="s">
        <v>55</v>
      </c>
      <c r="C26" t="s">
        <v>56</v>
      </c>
      <c r="D26" t="b">
        <v>0</v>
      </c>
      <c r="E26" t="b">
        <v>0</v>
      </c>
      <c r="F26" t="b">
        <v>1</v>
      </c>
      <c r="G26" t="b">
        <v>0</v>
      </c>
      <c r="H26" t="b">
        <v>0</v>
      </c>
    </row>
    <row r="27" spans="1:8" x14ac:dyDescent="0.2">
      <c r="A27" s="2">
        <v>25</v>
      </c>
      <c r="B27" t="s">
        <v>57</v>
      </c>
      <c r="C27" t="s">
        <v>58</v>
      </c>
      <c r="D27" t="b">
        <v>0</v>
      </c>
      <c r="E27" t="b">
        <v>0</v>
      </c>
      <c r="F27" t="b">
        <v>1</v>
      </c>
      <c r="G27" t="b">
        <v>0</v>
      </c>
      <c r="H27" t="b">
        <v>0</v>
      </c>
    </row>
    <row r="28" spans="1:8" x14ac:dyDescent="0.2">
      <c r="A28" s="2">
        <v>26</v>
      </c>
      <c r="B28" t="s">
        <v>59</v>
      </c>
      <c r="C28" t="s">
        <v>60</v>
      </c>
      <c r="D28" t="b">
        <v>0</v>
      </c>
      <c r="E28" t="b">
        <v>0</v>
      </c>
      <c r="F28" t="b">
        <v>1</v>
      </c>
      <c r="G28" t="b">
        <v>0</v>
      </c>
      <c r="H28" t="b">
        <v>0</v>
      </c>
    </row>
    <row r="29" spans="1:8" x14ac:dyDescent="0.2">
      <c r="A29" s="2">
        <v>27</v>
      </c>
      <c r="B29" t="s">
        <v>61</v>
      </c>
      <c r="C29" t="s">
        <v>62</v>
      </c>
      <c r="D29" t="b">
        <v>0</v>
      </c>
      <c r="E29" t="b">
        <v>0</v>
      </c>
      <c r="F29" t="b">
        <v>1</v>
      </c>
      <c r="G29" t="b">
        <v>0</v>
      </c>
      <c r="H29" t="b">
        <v>0</v>
      </c>
    </row>
    <row r="30" spans="1:8" x14ac:dyDescent="0.2">
      <c r="A30" s="2">
        <v>28</v>
      </c>
      <c r="B30" t="s">
        <v>63</v>
      </c>
      <c r="C30" t="s">
        <v>64</v>
      </c>
      <c r="D30" t="b">
        <v>0</v>
      </c>
      <c r="E30" t="b">
        <v>0</v>
      </c>
      <c r="F30" t="b">
        <v>1</v>
      </c>
      <c r="G30" t="b">
        <v>0</v>
      </c>
      <c r="H30" t="b">
        <v>0</v>
      </c>
    </row>
    <row r="31" spans="1:8" x14ac:dyDescent="0.2">
      <c r="A31" s="2">
        <v>29</v>
      </c>
      <c r="B31" t="s">
        <v>65</v>
      </c>
      <c r="C31" s="1" t="s">
        <v>66</v>
      </c>
      <c r="D31" t="b">
        <v>0</v>
      </c>
      <c r="E31" t="b">
        <v>0</v>
      </c>
      <c r="F31" t="b">
        <v>1</v>
      </c>
      <c r="G31" t="b">
        <v>0</v>
      </c>
      <c r="H31" t="b">
        <v>0</v>
      </c>
    </row>
    <row r="32" spans="1:8" x14ac:dyDescent="0.2">
      <c r="A32" s="2">
        <v>30</v>
      </c>
      <c r="B32" t="s">
        <v>67</v>
      </c>
      <c r="C32" t="s">
        <v>68</v>
      </c>
      <c r="D32" t="b">
        <v>0</v>
      </c>
      <c r="E32" t="b">
        <v>0</v>
      </c>
      <c r="F32" t="b">
        <v>1</v>
      </c>
      <c r="G32" t="b">
        <v>0</v>
      </c>
      <c r="H32" t="b">
        <v>0</v>
      </c>
    </row>
    <row r="33" spans="1:8" x14ac:dyDescent="0.2">
      <c r="A33" s="2">
        <v>31</v>
      </c>
      <c r="B33" t="s">
        <v>69</v>
      </c>
      <c r="C33" t="s">
        <v>70</v>
      </c>
      <c r="D33" t="b">
        <v>0</v>
      </c>
      <c r="E33" t="b">
        <v>0</v>
      </c>
      <c r="F33" t="b">
        <v>1</v>
      </c>
      <c r="G33" t="b">
        <v>0</v>
      </c>
      <c r="H33" t="b">
        <v>0</v>
      </c>
    </row>
    <row r="34" spans="1:8" x14ac:dyDescent="0.2">
      <c r="A34" s="2">
        <v>32</v>
      </c>
      <c r="B34" t="s">
        <v>71</v>
      </c>
      <c r="C34" t="s">
        <v>72</v>
      </c>
      <c r="D34" t="b">
        <v>0</v>
      </c>
      <c r="E34" t="b">
        <v>0</v>
      </c>
      <c r="F34" t="b">
        <v>1</v>
      </c>
      <c r="G34" t="b">
        <v>0</v>
      </c>
      <c r="H34" t="b">
        <v>0</v>
      </c>
    </row>
    <row r="35" spans="1:8" x14ac:dyDescent="0.2">
      <c r="A35" s="2">
        <v>33</v>
      </c>
      <c r="B35" t="s">
        <v>73</v>
      </c>
      <c r="C35" t="s">
        <v>74</v>
      </c>
      <c r="D35" t="b">
        <v>0</v>
      </c>
      <c r="E35" t="b">
        <v>0</v>
      </c>
      <c r="F35" t="b">
        <v>1</v>
      </c>
      <c r="G35" t="b">
        <v>0</v>
      </c>
      <c r="H35" t="b">
        <v>0</v>
      </c>
    </row>
    <row r="36" spans="1:8" x14ac:dyDescent="0.2">
      <c r="A36" s="2">
        <v>34</v>
      </c>
      <c r="B36" t="s">
        <v>75</v>
      </c>
      <c r="C36" t="s">
        <v>76</v>
      </c>
      <c r="D36" t="b">
        <v>0</v>
      </c>
      <c r="E36" t="b">
        <v>0</v>
      </c>
      <c r="F36" t="b">
        <v>1</v>
      </c>
      <c r="G36" t="b">
        <v>0</v>
      </c>
      <c r="H36" t="b">
        <v>0</v>
      </c>
    </row>
    <row r="37" spans="1:8" x14ac:dyDescent="0.2">
      <c r="A37" s="2">
        <v>35</v>
      </c>
      <c r="B37" t="s">
        <v>77</v>
      </c>
      <c r="C37" t="s">
        <v>78</v>
      </c>
      <c r="D37" t="b">
        <v>0</v>
      </c>
      <c r="E37" t="b">
        <v>0</v>
      </c>
      <c r="F37" t="b">
        <v>1</v>
      </c>
      <c r="G37" t="b">
        <v>0</v>
      </c>
      <c r="H37" t="b">
        <v>0</v>
      </c>
    </row>
    <row r="38" spans="1:8" x14ac:dyDescent="0.2">
      <c r="A38" s="2">
        <v>36</v>
      </c>
      <c r="B38" t="s">
        <v>79</v>
      </c>
      <c r="C38" t="s">
        <v>80</v>
      </c>
      <c r="D38" t="b">
        <v>0</v>
      </c>
      <c r="E38" t="b">
        <v>0</v>
      </c>
      <c r="F38" t="b">
        <v>1</v>
      </c>
      <c r="G38" t="b">
        <v>0</v>
      </c>
      <c r="H38" t="b">
        <v>0</v>
      </c>
    </row>
    <row r="39" spans="1:8" x14ac:dyDescent="0.2">
      <c r="A39" s="2">
        <v>37</v>
      </c>
      <c r="B39" t="s">
        <v>81</v>
      </c>
      <c r="C39" t="s">
        <v>82</v>
      </c>
      <c r="D39" t="b">
        <v>0</v>
      </c>
      <c r="E39" t="b">
        <v>0</v>
      </c>
      <c r="F39" t="b">
        <v>1</v>
      </c>
      <c r="G39" t="b">
        <v>0</v>
      </c>
      <c r="H39" t="b">
        <v>0</v>
      </c>
    </row>
    <row r="40" spans="1:8" x14ac:dyDescent="0.2">
      <c r="A40" s="2">
        <v>38</v>
      </c>
      <c r="B40" t="s">
        <v>83</v>
      </c>
      <c r="C40" t="s">
        <v>84</v>
      </c>
      <c r="D40" t="b">
        <v>0</v>
      </c>
      <c r="E40" t="b">
        <v>0</v>
      </c>
      <c r="F40" t="b">
        <v>1</v>
      </c>
      <c r="G40" t="b">
        <v>0</v>
      </c>
      <c r="H40" t="b">
        <v>0</v>
      </c>
    </row>
    <row r="41" spans="1:8" x14ac:dyDescent="0.2">
      <c r="A41" s="2">
        <v>39</v>
      </c>
      <c r="B41" t="s">
        <v>85</v>
      </c>
      <c r="C41" t="s">
        <v>86</v>
      </c>
      <c r="D41" t="b">
        <v>0</v>
      </c>
      <c r="E41" t="b">
        <v>0</v>
      </c>
      <c r="F41" t="b">
        <v>1</v>
      </c>
      <c r="G41" t="b">
        <v>0</v>
      </c>
      <c r="H41" t="b">
        <v>0</v>
      </c>
    </row>
    <row r="42" spans="1:8" x14ac:dyDescent="0.2">
      <c r="A42" s="2">
        <v>40</v>
      </c>
      <c r="B42" t="s">
        <v>87</v>
      </c>
      <c r="C42" t="s">
        <v>88</v>
      </c>
      <c r="D42" t="b">
        <v>0</v>
      </c>
      <c r="E42" t="b">
        <v>0</v>
      </c>
      <c r="F42" t="b">
        <v>1</v>
      </c>
      <c r="G42" t="b">
        <v>0</v>
      </c>
      <c r="H42" t="b">
        <v>0</v>
      </c>
    </row>
    <row r="43" spans="1:8" x14ac:dyDescent="0.2">
      <c r="A43" s="2">
        <v>41</v>
      </c>
      <c r="B43" t="s">
        <v>89</v>
      </c>
      <c r="C43" s="1" t="s">
        <v>90</v>
      </c>
      <c r="D43" t="b">
        <v>0</v>
      </c>
      <c r="E43" t="b">
        <v>0</v>
      </c>
      <c r="F43" t="b">
        <v>1</v>
      </c>
      <c r="G43" t="b">
        <v>0</v>
      </c>
      <c r="H43" t="b">
        <v>0</v>
      </c>
    </row>
    <row r="44" spans="1:8" x14ac:dyDescent="0.2">
      <c r="A44" s="2">
        <v>42</v>
      </c>
      <c r="B44" t="s">
        <v>91</v>
      </c>
      <c r="C44" t="s">
        <v>92</v>
      </c>
      <c r="D44" t="b">
        <v>0</v>
      </c>
      <c r="E44" t="b">
        <v>0</v>
      </c>
      <c r="F44" t="b">
        <v>1</v>
      </c>
      <c r="G44" t="b">
        <v>0</v>
      </c>
      <c r="H44" t="b">
        <v>0</v>
      </c>
    </row>
    <row r="45" spans="1:8" x14ac:dyDescent="0.2">
      <c r="A45" s="2">
        <v>43</v>
      </c>
      <c r="B45" t="s">
        <v>93</v>
      </c>
      <c r="C45" t="s">
        <v>94</v>
      </c>
      <c r="D45" t="b">
        <v>0</v>
      </c>
      <c r="E45" t="b">
        <v>0</v>
      </c>
      <c r="F45" t="b">
        <v>1</v>
      </c>
      <c r="G45" t="b">
        <v>0</v>
      </c>
      <c r="H45" t="b">
        <v>0</v>
      </c>
    </row>
    <row r="46" spans="1:8" x14ac:dyDescent="0.2">
      <c r="A46" s="2">
        <v>44</v>
      </c>
      <c r="B46" t="s">
        <v>95</v>
      </c>
      <c r="C46" t="s">
        <v>96</v>
      </c>
      <c r="D46" t="b">
        <v>0</v>
      </c>
      <c r="E46" t="b">
        <v>0</v>
      </c>
      <c r="F46" t="b">
        <v>1</v>
      </c>
      <c r="G46" t="b">
        <v>0</v>
      </c>
      <c r="H46" t="b">
        <v>0</v>
      </c>
    </row>
    <row r="47" spans="1:8" x14ac:dyDescent="0.2">
      <c r="A47" s="2">
        <v>45</v>
      </c>
      <c r="B47" t="s">
        <v>97</v>
      </c>
      <c r="C47" t="s">
        <v>98</v>
      </c>
      <c r="D47" t="b">
        <v>0</v>
      </c>
      <c r="E47" t="b">
        <v>0</v>
      </c>
      <c r="F47" t="b">
        <v>1</v>
      </c>
      <c r="G47" t="b">
        <v>0</v>
      </c>
      <c r="H47" t="b">
        <v>1</v>
      </c>
    </row>
    <row r="48" spans="1:8" x14ac:dyDescent="0.2">
      <c r="A48" s="2">
        <v>46</v>
      </c>
      <c r="B48" t="s">
        <v>99</v>
      </c>
      <c r="C48" t="s">
        <v>100</v>
      </c>
      <c r="D48" t="b">
        <v>0</v>
      </c>
      <c r="E48" t="b">
        <v>0</v>
      </c>
      <c r="F48" t="b">
        <v>1</v>
      </c>
      <c r="G48" t="b">
        <v>0</v>
      </c>
      <c r="H48" t="b">
        <v>0</v>
      </c>
    </row>
    <row r="49" spans="1:8" x14ac:dyDescent="0.2">
      <c r="A49" s="2">
        <v>47</v>
      </c>
      <c r="B49" t="s">
        <v>101</v>
      </c>
      <c r="C49" s="1" t="s">
        <v>102</v>
      </c>
      <c r="D49" t="b">
        <v>0</v>
      </c>
      <c r="E49" t="b">
        <v>0</v>
      </c>
      <c r="F49" t="b">
        <v>1</v>
      </c>
      <c r="G49" t="b">
        <v>0</v>
      </c>
      <c r="H49" t="b">
        <v>0</v>
      </c>
    </row>
    <row r="50" spans="1:8" x14ac:dyDescent="0.2">
      <c r="A50" s="2">
        <v>48</v>
      </c>
      <c r="B50" t="s">
        <v>103</v>
      </c>
      <c r="C50" t="s">
        <v>104</v>
      </c>
      <c r="D50" t="b">
        <v>0</v>
      </c>
      <c r="E50" t="b">
        <v>0</v>
      </c>
      <c r="F50" t="b">
        <v>1</v>
      </c>
      <c r="G50" t="b">
        <v>0</v>
      </c>
      <c r="H50" t="b">
        <v>0</v>
      </c>
    </row>
    <row r="51" spans="1:8" x14ac:dyDescent="0.2">
      <c r="A51" s="2">
        <v>49</v>
      </c>
      <c r="B51" t="s">
        <v>105</v>
      </c>
      <c r="C51" t="s">
        <v>106</v>
      </c>
      <c r="D51" t="b">
        <v>0</v>
      </c>
      <c r="E51" t="b">
        <v>0</v>
      </c>
      <c r="F51" t="b">
        <v>1</v>
      </c>
      <c r="G51" t="b">
        <v>0</v>
      </c>
      <c r="H51" t="b">
        <v>0</v>
      </c>
    </row>
    <row r="52" spans="1:8" x14ac:dyDescent="0.2">
      <c r="A52" s="2">
        <v>50</v>
      </c>
      <c r="B52" t="s">
        <v>107</v>
      </c>
      <c r="C52" t="s">
        <v>108</v>
      </c>
      <c r="D52" t="b">
        <v>0</v>
      </c>
      <c r="E52" t="b">
        <v>0</v>
      </c>
      <c r="F52" t="b">
        <v>1</v>
      </c>
      <c r="G52" t="b">
        <v>0</v>
      </c>
      <c r="H52" t="b">
        <v>0</v>
      </c>
    </row>
    <row r="53" spans="1:8" x14ac:dyDescent="0.2">
      <c r="A53" s="2">
        <v>51</v>
      </c>
      <c r="B53" t="s">
        <v>109</v>
      </c>
      <c r="C53" t="s">
        <v>110</v>
      </c>
      <c r="D53" t="b">
        <v>0</v>
      </c>
      <c r="E53" t="b">
        <v>0</v>
      </c>
      <c r="F53" t="b">
        <v>1</v>
      </c>
      <c r="G53" t="b">
        <v>0</v>
      </c>
      <c r="H53" t="b">
        <v>0</v>
      </c>
    </row>
    <row r="54" spans="1:8" x14ac:dyDescent="0.2">
      <c r="A54" s="2">
        <v>52</v>
      </c>
      <c r="B54" t="s">
        <v>111</v>
      </c>
      <c r="C54" t="s">
        <v>112</v>
      </c>
      <c r="D54" t="b">
        <v>0</v>
      </c>
      <c r="E54" t="b">
        <v>0</v>
      </c>
      <c r="F54" t="b">
        <v>1</v>
      </c>
      <c r="G54" t="b">
        <v>0</v>
      </c>
      <c r="H54" t="b">
        <v>0</v>
      </c>
    </row>
    <row r="55" spans="1:8" x14ac:dyDescent="0.2">
      <c r="A55" s="2">
        <v>53</v>
      </c>
      <c r="B55" t="s">
        <v>113</v>
      </c>
      <c r="C55" t="s">
        <v>114</v>
      </c>
      <c r="D55" t="b">
        <v>0</v>
      </c>
      <c r="E55" t="b">
        <v>0</v>
      </c>
      <c r="F55" t="b">
        <v>1</v>
      </c>
      <c r="G55" t="b">
        <v>0</v>
      </c>
      <c r="H55" t="b">
        <v>0</v>
      </c>
    </row>
    <row r="56" spans="1:8" x14ac:dyDescent="0.2">
      <c r="A56" s="2">
        <v>54</v>
      </c>
      <c r="B56" t="s">
        <v>115</v>
      </c>
      <c r="C56" t="s">
        <v>116</v>
      </c>
      <c r="D56" t="b">
        <v>0</v>
      </c>
      <c r="E56" t="b">
        <v>0</v>
      </c>
      <c r="F56" t="b">
        <v>1</v>
      </c>
      <c r="G56" t="b">
        <v>0</v>
      </c>
      <c r="H56" t="b">
        <v>0</v>
      </c>
    </row>
    <row r="57" spans="1:8" x14ac:dyDescent="0.2">
      <c r="A57" s="2">
        <v>55</v>
      </c>
      <c r="B57" t="s">
        <v>117</v>
      </c>
      <c r="C57" t="s">
        <v>118</v>
      </c>
      <c r="D57" t="b">
        <v>0</v>
      </c>
      <c r="E57" t="b">
        <v>0</v>
      </c>
      <c r="F57" t="b">
        <v>1</v>
      </c>
      <c r="G57" t="b">
        <v>0</v>
      </c>
      <c r="H57" t="b">
        <v>0</v>
      </c>
    </row>
    <row r="58" spans="1:8" x14ac:dyDescent="0.2">
      <c r="A58" s="2">
        <v>56</v>
      </c>
      <c r="B58" t="s">
        <v>119</v>
      </c>
      <c r="C58" t="s">
        <v>120</v>
      </c>
      <c r="D58" t="b">
        <v>0</v>
      </c>
      <c r="E58" t="b">
        <v>0</v>
      </c>
      <c r="F58" t="b">
        <v>1</v>
      </c>
      <c r="G58" t="b">
        <v>0</v>
      </c>
      <c r="H58" t="b">
        <v>0</v>
      </c>
    </row>
    <row r="59" spans="1:8" x14ac:dyDescent="0.2">
      <c r="A59" s="2">
        <v>57</v>
      </c>
      <c r="B59" t="s">
        <v>121</v>
      </c>
      <c r="C59" t="s">
        <v>122</v>
      </c>
      <c r="D59" t="b">
        <v>0</v>
      </c>
      <c r="E59" t="b">
        <v>0</v>
      </c>
      <c r="F59" t="b">
        <v>1</v>
      </c>
      <c r="G59" t="b">
        <v>0</v>
      </c>
      <c r="H59" t="b">
        <v>0</v>
      </c>
    </row>
    <row r="60" spans="1:8" x14ac:dyDescent="0.2">
      <c r="A60" s="2">
        <v>58</v>
      </c>
      <c r="B60" t="s">
        <v>123</v>
      </c>
      <c r="C60" t="s">
        <v>124</v>
      </c>
      <c r="D60" t="b">
        <v>0</v>
      </c>
      <c r="E60" t="b">
        <v>0</v>
      </c>
      <c r="F60" t="b">
        <v>1</v>
      </c>
      <c r="G60" t="b">
        <v>0</v>
      </c>
      <c r="H60" t="b">
        <v>0</v>
      </c>
    </row>
    <row r="61" spans="1:8" x14ac:dyDescent="0.2">
      <c r="A61" s="2">
        <v>59</v>
      </c>
      <c r="B61" t="s">
        <v>125</v>
      </c>
      <c r="C61" t="s">
        <v>126</v>
      </c>
      <c r="D61" t="b">
        <v>0</v>
      </c>
      <c r="E61" t="b">
        <v>0</v>
      </c>
      <c r="F61" t="b">
        <v>1</v>
      </c>
      <c r="G61" t="b">
        <v>0</v>
      </c>
      <c r="H61" t="b">
        <v>0</v>
      </c>
    </row>
    <row r="62" spans="1:8" x14ac:dyDescent="0.2">
      <c r="A62" s="2">
        <v>60</v>
      </c>
      <c r="B62" t="s">
        <v>127</v>
      </c>
      <c r="C62" t="s">
        <v>128</v>
      </c>
      <c r="D62" t="b">
        <v>0</v>
      </c>
      <c r="E62" t="b">
        <v>0</v>
      </c>
      <c r="F62" t="b">
        <v>1</v>
      </c>
      <c r="G62" t="b">
        <v>0</v>
      </c>
      <c r="H62" t="b">
        <v>0</v>
      </c>
    </row>
    <row r="63" spans="1:8" x14ac:dyDescent="0.2">
      <c r="A63" s="2">
        <v>61</v>
      </c>
      <c r="B63" t="s">
        <v>129</v>
      </c>
      <c r="C63" t="s">
        <v>130</v>
      </c>
      <c r="D63" t="b">
        <v>0</v>
      </c>
      <c r="E63" t="b">
        <v>0</v>
      </c>
      <c r="F63" t="b">
        <v>1</v>
      </c>
      <c r="G63" t="b">
        <v>0</v>
      </c>
      <c r="H63" t="b">
        <v>1</v>
      </c>
    </row>
    <row r="64" spans="1:8" x14ac:dyDescent="0.2">
      <c r="A64" s="2">
        <v>62</v>
      </c>
      <c r="B64" t="s">
        <v>131</v>
      </c>
      <c r="C64" t="s">
        <v>132</v>
      </c>
      <c r="D64" t="b">
        <v>0</v>
      </c>
      <c r="E64" t="b">
        <v>0</v>
      </c>
      <c r="F64" t="b">
        <v>1</v>
      </c>
      <c r="G64" t="b">
        <v>0</v>
      </c>
      <c r="H64" t="b">
        <v>0</v>
      </c>
    </row>
    <row r="65" spans="1:8" x14ac:dyDescent="0.2">
      <c r="A65" s="2">
        <v>63</v>
      </c>
      <c r="B65" t="s">
        <v>133</v>
      </c>
      <c r="C65" t="s">
        <v>134</v>
      </c>
      <c r="D65" t="b">
        <v>0</v>
      </c>
      <c r="E65" t="b">
        <v>1</v>
      </c>
      <c r="F65" t="b">
        <v>1</v>
      </c>
      <c r="G65" t="b">
        <v>0</v>
      </c>
      <c r="H65" t="b">
        <v>0</v>
      </c>
    </row>
    <row r="66" spans="1:8" x14ac:dyDescent="0.2">
      <c r="A66" s="2">
        <v>64</v>
      </c>
      <c r="B66" t="s">
        <v>135</v>
      </c>
      <c r="C66" t="s">
        <v>136</v>
      </c>
      <c r="D66" t="b">
        <v>0</v>
      </c>
      <c r="E66" t="b">
        <v>0</v>
      </c>
      <c r="F66" t="b">
        <v>1</v>
      </c>
      <c r="G66" t="b">
        <v>0</v>
      </c>
      <c r="H66" t="b">
        <v>0</v>
      </c>
    </row>
    <row r="67" spans="1:8" x14ac:dyDescent="0.2">
      <c r="A67" s="2">
        <v>65</v>
      </c>
      <c r="B67" t="s">
        <v>137</v>
      </c>
      <c r="C67" t="s">
        <v>138</v>
      </c>
      <c r="D67" t="b">
        <v>0</v>
      </c>
      <c r="E67" t="b">
        <v>0</v>
      </c>
      <c r="F67" t="b">
        <v>1</v>
      </c>
      <c r="G67" t="b">
        <v>0</v>
      </c>
      <c r="H67" t="b">
        <v>0</v>
      </c>
    </row>
    <row r="68" spans="1:8" x14ac:dyDescent="0.2">
      <c r="A68" s="2">
        <v>66</v>
      </c>
      <c r="B68" t="s">
        <v>139</v>
      </c>
      <c r="C68" t="s">
        <v>140</v>
      </c>
      <c r="D68" t="b">
        <v>1</v>
      </c>
      <c r="E68" t="b">
        <v>0</v>
      </c>
      <c r="F68" t="b">
        <v>0</v>
      </c>
      <c r="G68" t="b">
        <v>0</v>
      </c>
      <c r="H68" t="b">
        <v>0</v>
      </c>
    </row>
    <row r="69" spans="1:8" x14ac:dyDescent="0.2">
      <c r="A69" s="2">
        <v>67</v>
      </c>
      <c r="B69" t="s">
        <v>141</v>
      </c>
      <c r="C69" t="s">
        <v>142</v>
      </c>
      <c r="D69" t="b">
        <v>1</v>
      </c>
      <c r="E69" t="b">
        <v>0</v>
      </c>
      <c r="F69" t="b">
        <v>0</v>
      </c>
      <c r="G69" t="b">
        <v>0</v>
      </c>
      <c r="H69" t="b">
        <v>0</v>
      </c>
    </row>
    <row r="70" spans="1:8" x14ac:dyDescent="0.2">
      <c r="A70" s="2">
        <v>68</v>
      </c>
      <c r="B70" t="s">
        <v>143</v>
      </c>
      <c r="C70" t="s">
        <v>144</v>
      </c>
      <c r="D70" t="b">
        <v>1</v>
      </c>
      <c r="E70" t="b">
        <v>0</v>
      </c>
      <c r="F70" t="b">
        <v>0</v>
      </c>
      <c r="G70" t="b">
        <v>0</v>
      </c>
      <c r="H70" t="b">
        <v>0</v>
      </c>
    </row>
    <row r="71" spans="1:8" x14ac:dyDescent="0.2">
      <c r="A71" s="2">
        <v>69</v>
      </c>
      <c r="B71" t="s">
        <v>145</v>
      </c>
      <c r="C71" t="s">
        <v>146</v>
      </c>
      <c r="D71" t="b">
        <v>1</v>
      </c>
      <c r="E71" t="b">
        <v>0</v>
      </c>
      <c r="F71" t="b">
        <v>0</v>
      </c>
      <c r="G71" t="b">
        <v>1</v>
      </c>
      <c r="H71" t="b">
        <v>1</v>
      </c>
    </row>
    <row r="72" spans="1:8" x14ac:dyDescent="0.2">
      <c r="A72" s="2">
        <v>70</v>
      </c>
      <c r="B72" t="s">
        <v>147</v>
      </c>
      <c r="C72" t="s">
        <v>148</v>
      </c>
      <c r="D72" t="b">
        <v>0</v>
      </c>
      <c r="E72" t="b">
        <v>0</v>
      </c>
      <c r="F72" t="b">
        <v>1</v>
      </c>
      <c r="G72" t="b">
        <v>0</v>
      </c>
      <c r="H72" t="b">
        <v>1</v>
      </c>
    </row>
    <row r="73" spans="1:8" x14ac:dyDescent="0.2">
      <c r="A73" s="2">
        <v>71</v>
      </c>
      <c r="B73" t="s">
        <v>149</v>
      </c>
      <c r="C73" t="s">
        <v>150</v>
      </c>
      <c r="D73" t="b">
        <v>0</v>
      </c>
      <c r="E73" t="b">
        <v>0</v>
      </c>
      <c r="F73" t="b">
        <v>1</v>
      </c>
      <c r="G73" t="b">
        <v>0</v>
      </c>
      <c r="H73" t="b">
        <v>0</v>
      </c>
    </row>
    <row r="74" spans="1:8" x14ac:dyDescent="0.2">
      <c r="A74" s="2">
        <v>72</v>
      </c>
      <c r="B74" t="s">
        <v>151</v>
      </c>
      <c r="C74" t="s">
        <v>152</v>
      </c>
      <c r="D74" t="b">
        <v>0</v>
      </c>
      <c r="E74" t="b">
        <v>0</v>
      </c>
      <c r="F74" t="b">
        <v>1</v>
      </c>
      <c r="G74" t="b">
        <v>0</v>
      </c>
      <c r="H74" t="b">
        <v>1</v>
      </c>
    </row>
    <row r="75" spans="1:8" x14ac:dyDescent="0.2">
      <c r="A75" s="2">
        <v>73</v>
      </c>
      <c r="B75" t="s">
        <v>153</v>
      </c>
      <c r="C75" t="s">
        <v>154</v>
      </c>
      <c r="D75" t="b">
        <v>0</v>
      </c>
      <c r="E75" t="b">
        <v>0</v>
      </c>
      <c r="F75" t="b">
        <v>1</v>
      </c>
      <c r="G75" t="b">
        <v>0</v>
      </c>
      <c r="H75" t="b">
        <v>0</v>
      </c>
    </row>
    <row r="76" spans="1:8" x14ac:dyDescent="0.2">
      <c r="A76" s="2">
        <v>74</v>
      </c>
      <c r="B76" t="s">
        <v>155</v>
      </c>
      <c r="C76" t="s">
        <v>156</v>
      </c>
      <c r="D76" t="b">
        <v>0</v>
      </c>
      <c r="E76" t="b">
        <v>0</v>
      </c>
      <c r="F76" t="b">
        <v>1</v>
      </c>
      <c r="G76" t="b">
        <v>0</v>
      </c>
      <c r="H76" t="b">
        <v>1</v>
      </c>
    </row>
    <row r="77" spans="1:8" x14ac:dyDescent="0.2">
      <c r="A77" s="2">
        <v>75</v>
      </c>
      <c r="B77" t="s">
        <v>157</v>
      </c>
      <c r="C77" t="s">
        <v>158</v>
      </c>
      <c r="D77" t="b">
        <v>0</v>
      </c>
      <c r="E77" t="b">
        <v>0</v>
      </c>
      <c r="F77" t="b">
        <v>1</v>
      </c>
      <c r="G77" t="b">
        <v>0</v>
      </c>
      <c r="H77" t="b">
        <v>0</v>
      </c>
    </row>
    <row r="78" spans="1:8" x14ac:dyDescent="0.2">
      <c r="A78" s="2">
        <v>76</v>
      </c>
      <c r="B78" t="s">
        <v>159</v>
      </c>
      <c r="C78" t="s">
        <v>160</v>
      </c>
      <c r="D78" t="b">
        <v>0</v>
      </c>
      <c r="E78" t="b">
        <v>1</v>
      </c>
      <c r="F78" t="b">
        <v>0</v>
      </c>
      <c r="G78" t="b">
        <v>0</v>
      </c>
      <c r="H78" t="b">
        <v>0</v>
      </c>
    </row>
    <row r="79" spans="1:8" x14ac:dyDescent="0.2">
      <c r="A79" s="2">
        <v>77</v>
      </c>
      <c r="B79" t="s">
        <v>161</v>
      </c>
      <c r="C79" t="s">
        <v>162</v>
      </c>
      <c r="D79" t="b">
        <v>1</v>
      </c>
      <c r="E79" t="b">
        <v>0</v>
      </c>
      <c r="F79" t="b">
        <v>0</v>
      </c>
      <c r="G79" t="b">
        <v>1</v>
      </c>
      <c r="H79" t="b">
        <v>0</v>
      </c>
    </row>
    <row r="80" spans="1:8" x14ac:dyDescent="0.2">
      <c r="A80" s="2">
        <v>78</v>
      </c>
      <c r="B80" t="s">
        <v>163</v>
      </c>
      <c r="C80" s="1" t="s">
        <v>164</v>
      </c>
      <c r="D80" t="b">
        <v>0</v>
      </c>
      <c r="E80" t="b">
        <v>0</v>
      </c>
      <c r="F80" t="b">
        <v>1</v>
      </c>
      <c r="G80" t="b">
        <v>0</v>
      </c>
      <c r="H80" t="b">
        <v>0</v>
      </c>
    </row>
    <row r="81" spans="1:8" x14ac:dyDescent="0.2">
      <c r="A81" s="2">
        <v>79</v>
      </c>
      <c r="B81" t="s">
        <v>165</v>
      </c>
      <c r="C81" t="s">
        <v>166</v>
      </c>
      <c r="D81" t="b">
        <v>0</v>
      </c>
      <c r="E81" t="b">
        <v>0</v>
      </c>
      <c r="F81" t="b">
        <v>1</v>
      </c>
      <c r="G81" t="b">
        <v>0</v>
      </c>
      <c r="H81" t="b">
        <v>0</v>
      </c>
    </row>
    <row r="82" spans="1:8" x14ac:dyDescent="0.2">
      <c r="A82" s="2">
        <v>80</v>
      </c>
      <c r="B82" t="s">
        <v>167</v>
      </c>
      <c r="C82" t="s">
        <v>168</v>
      </c>
      <c r="D82" t="b">
        <v>1</v>
      </c>
      <c r="E82" t="b">
        <v>0</v>
      </c>
      <c r="F82" t="b">
        <v>0</v>
      </c>
      <c r="G82" t="b">
        <v>0</v>
      </c>
      <c r="H82" t="b">
        <v>0</v>
      </c>
    </row>
    <row r="83" spans="1:8" x14ac:dyDescent="0.2">
      <c r="A83" s="2">
        <v>81</v>
      </c>
      <c r="B83" t="s">
        <v>169</v>
      </c>
      <c r="C83" t="s">
        <v>170</v>
      </c>
      <c r="D83" t="b">
        <v>1</v>
      </c>
      <c r="E83" t="b">
        <v>0</v>
      </c>
      <c r="F83" t="b">
        <v>0</v>
      </c>
      <c r="G83" t="b">
        <v>1</v>
      </c>
      <c r="H83" t="b">
        <v>0</v>
      </c>
    </row>
    <row r="84" spans="1:8" x14ac:dyDescent="0.2">
      <c r="A84" s="2">
        <v>82</v>
      </c>
      <c r="B84" t="s">
        <v>171</v>
      </c>
      <c r="C84" t="s">
        <v>172</v>
      </c>
      <c r="D84" t="b">
        <v>0</v>
      </c>
      <c r="E84" t="b">
        <v>0</v>
      </c>
      <c r="F84" t="b">
        <v>1</v>
      </c>
      <c r="G84" t="b">
        <v>0</v>
      </c>
      <c r="H84" t="b">
        <v>1</v>
      </c>
    </row>
    <row r="85" spans="1:8" x14ac:dyDescent="0.2">
      <c r="A85" s="2">
        <v>83</v>
      </c>
      <c r="B85" t="s">
        <v>173</v>
      </c>
      <c r="C85" t="s">
        <v>174</v>
      </c>
      <c r="D85" t="b">
        <v>0</v>
      </c>
      <c r="E85" t="b">
        <v>0</v>
      </c>
      <c r="F85" t="b">
        <v>1</v>
      </c>
      <c r="G85" t="b">
        <v>0</v>
      </c>
      <c r="H85" t="b">
        <v>0</v>
      </c>
    </row>
    <row r="86" spans="1:8" x14ac:dyDescent="0.2">
      <c r="A86" s="2">
        <v>84</v>
      </c>
      <c r="B86" t="s">
        <v>175</v>
      </c>
      <c r="C86" t="s">
        <v>176</v>
      </c>
      <c r="D86" t="b">
        <v>0</v>
      </c>
      <c r="E86" t="b">
        <v>0</v>
      </c>
      <c r="F86" t="b">
        <v>1</v>
      </c>
      <c r="G86" t="b">
        <v>0</v>
      </c>
      <c r="H86" t="b">
        <v>0</v>
      </c>
    </row>
    <row r="87" spans="1:8" x14ac:dyDescent="0.2">
      <c r="A87" s="2">
        <v>85</v>
      </c>
      <c r="B87" t="s">
        <v>177</v>
      </c>
      <c r="C87" t="s">
        <v>178</v>
      </c>
      <c r="D87" t="b">
        <v>0</v>
      </c>
      <c r="E87" t="b">
        <v>0</v>
      </c>
      <c r="F87" t="b">
        <v>1</v>
      </c>
      <c r="G87" t="b">
        <v>0</v>
      </c>
      <c r="H87" t="b">
        <v>1</v>
      </c>
    </row>
    <row r="88" spans="1:8" x14ac:dyDescent="0.2">
      <c r="A88" s="2">
        <v>86</v>
      </c>
      <c r="B88" t="s">
        <v>179</v>
      </c>
      <c r="C88" t="s">
        <v>180</v>
      </c>
      <c r="D88" t="b">
        <v>0</v>
      </c>
      <c r="E88" t="b">
        <v>0</v>
      </c>
      <c r="F88" t="b">
        <v>1</v>
      </c>
      <c r="G88" t="b">
        <v>0</v>
      </c>
      <c r="H88" t="b">
        <v>0</v>
      </c>
    </row>
    <row r="89" spans="1:8" x14ac:dyDescent="0.2">
      <c r="A89" s="2">
        <v>87</v>
      </c>
      <c r="B89" t="s">
        <v>181</v>
      </c>
      <c r="C89" t="s">
        <v>182</v>
      </c>
      <c r="D89" t="b">
        <v>0</v>
      </c>
      <c r="E89" t="b">
        <v>0</v>
      </c>
      <c r="F89" t="b">
        <v>1</v>
      </c>
      <c r="G89" t="b">
        <v>0</v>
      </c>
      <c r="H89" t="b">
        <v>0</v>
      </c>
    </row>
    <row r="90" spans="1:8" x14ac:dyDescent="0.2">
      <c r="A90" s="2">
        <v>88</v>
      </c>
      <c r="B90" t="s">
        <v>183</v>
      </c>
      <c r="C90" t="s">
        <v>184</v>
      </c>
      <c r="D90" t="b">
        <v>0</v>
      </c>
      <c r="E90" t="b">
        <v>0</v>
      </c>
      <c r="F90" t="b">
        <v>1</v>
      </c>
      <c r="G90" t="b">
        <v>0</v>
      </c>
      <c r="H90" t="b">
        <v>0</v>
      </c>
    </row>
    <row r="91" spans="1:8" x14ac:dyDescent="0.2">
      <c r="A91" s="2">
        <v>89</v>
      </c>
      <c r="B91" t="s">
        <v>185</v>
      </c>
      <c r="C91" t="s">
        <v>186</v>
      </c>
      <c r="D91" t="b">
        <v>0</v>
      </c>
      <c r="E91" t="b">
        <v>0</v>
      </c>
      <c r="F91" t="b">
        <v>1</v>
      </c>
      <c r="G91" t="b">
        <v>0</v>
      </c>
      <c r="H91" t="b">
        <v>0</v>
      </c>
    </row>
    <row r="92" spans="1:8" x14ac:dyDescent="0.2">
      <c r="A92" s="2">
        <v>90</v>
      </c>
      <c r="B92" t="s">
        <v>187</v>
      </c>
      <c r="C92" t="s">
        <v>188</v>
      </c>
      <c r="D92" t="b">
        <v>0</v>
      </c>
      <c r="E92" t="b">
        <v>1</v>
      </c>
      <c r="F92" t="b">
        <v>1</v>
      </c>
      <c r="G92" t="b">
        <v>0</v>
      </c>
      <c r="H92" t="b">
        <v>0</v>
      </c>
    </row>
    <row r="93" spans="1:8" x14ac:dyDescent="0.2">
      <c r="A93" s="2">
        <v>91</v>
      </c>
      <c r="B93" t="s">
        <v>189</v>
      </c>
      <c r="C93" t="s">
        <v>190</v>
      </c>
      <c r="D93" t="b">
        <v>0</v>
      </c>
      <c r="E93" t="b">
        <v>0</v>
      </c>
      <c r="F93" t="b">
        <v>1</v>
      </c>
      <c r="G93" t="b">
        <v>0</v>
      </c>
      <c r="H93" t="b">
        <v>0</v>
      </c>
    </row>
    <row r="94" spans="1:8" x14ac:dyDescent="0.2">
      <c r="A94" s="2">
        <v>92</v>
      </c>
      <c r="B94" t="s">
        <v>191</v>
      </c>
      <c r="C94" t="s">
        <v>192</v>
      </c>
      <c r="D94" t="b">
        <v>0</v>
      </c>
      <c r="E94" t="b">
        <v>0</v>
      </c>
      <c r="F94" t="b">
        <v>1</v>
      </c>
      <c r="G94" t="b">
        <v>0</v>
      </c>
      <c r="H94" t="b">
        <v>0</v>
      </c>
    </row>
    <row r="95" spans="1:8" x14ac:dyDescent="0.2">
      <c r="A95" s="2">
        <v>93</v>
      </c>
      <c r="B95" t="s">
        <v>193</v>
      </c>
      <c r="C95" t="s">
        <v>194</v>
      </c>
      <c r="D95" t="b">
        <v>0</v>
      </c>
      <c r="E95" t="b">
        <v>0</v>
      </c>
      <c r="F95" t="b">
        <v>1</v>
      </c>
      <c r="G95" t="b">
        <v>0</v>
      </c>
      <c r="H95" t="b">
        <v>1</v>
      </c>
    </row>
    <row r="96" spans="1:8" x14ac:dyDescent="0.2">
      <c r="A96" s="2">
        <v>94</v>
      </c>
      <c r="B96" t="s">
        <v>195</v>
      </c>
      <c r="C96" t="s">
        <v>196</v>
      </c>
      <c r="D96" t="b">
        <v>0</v>
      </c>
      <c r="E96" t="b">
        <v>0</v>
      </c>
      <c r="F96" t="b">
        <v>1</v>
      </c>
      <c r="G96" t="b">
        <v>0</v>
      </c>
      <c r="H96" t="b">
        <v>0</v>
      </c>
    </row>
    <row r="97" spans="1:8" x14ac:dyDescent="0.2">
      <c r="A97" s="2">
        <v>95</v>
      </c>
      <c r="B97" t="s">
        <v>197</v>
      </c>
      <c r="C97" t="s">
        <v>198</v>
      </c>
      <c r="D97" t="b">
        <v>0</v>
      </c>
      <c r="E97" t="b">
        <v>0</v>
      </c>
      <c r="F97" t="b">
        <v>1</v>
      </c>
      <c r="G97" t="b">
        <v>0</v>
      </c>
      <c r="H97" t="b">
        <v>0</v>
      </c>
    </row>
    <row r="98" spans="1:8" x14ac:dyDescent="0.2">
      <c r="A98" s="2">
        <v>96</v>
      </c>
      <c r="B98" t="s">
        <v>199</v>
      </c>
      <c r="C98" t="s">
        <v>200</v>
      </c>
      <c r="D98" t="b">
        <v>1</v>
      </c>
      <c r="E98" t="b">
        <v>0</v>
      </c>
      <c r="F98" t="b">
        <v>0</v>
      </c>
      <c r="G98" t="b">
        <v>1</v>
      </c>
      <c r="H98" t="b">
        <v>0</v>
      </c>
    </row>
    <row r="99" spans="1:8" x14ac:dyDescent="0.2">
      <c r="A99" s="2">
        <v>97</v>
      </c>
      <c r="B99" t="s">
        <v>201</v>
      </c>
      <c r="C99" t="s">
        <v>202</v>
      </c>
      <c r="D99" t="b">
        <v>0</v>
      </c>
      <c r="E99" t="b">
        <v>0</v>
      </c>
      <c r="F99" t="b">
        <v>1</v>
      </c>
      <c r="G99" t="b">
        <v>0</v>
      </c>
      <c r="H99" t="b">
        <v>1</v>
      </c>
    </row>
    <row r="100" spans="1:8" x14ac:dyDescent="0.2">
      <c r="A100" s="2">
        <v>98</v>
      </c>
      <c r="B100" t="s">
        <v>203</v>
      </c>
      <c r="C100" t="s">
        <v>204</v>
      </c>
      <c r="D100" t="b">
        <v>0</v>
      </c>
      <c r="E100" t="b">
        <v>0</v>
      </c>
      <c r="F100" t="b">
        <v>1</v>
      </c>
      <c r="G100" t="b">
        <v>0</v>
      </c>
      <c r="H100" t="b">
        <v>1</v>
      </c>
    </row>
    <row r="101" spans="1:8" x14ac:dyDescent="0.2">
      <c r="A101" s="2">
        <v>99</v>
      </c>
      <c r="B101" t="s">
        <v>205</v>
      </c>
      <c r="C101" t="s">
        <v>206</v>
      </c>
      <c r="D101" t="b">
        <v>0</v>
      </c>
      <c r="E101" t="b">
        <v>0</v>
      </c>
      <c r="F101" t="b">
        <v>1</v>
      </c>
      <c r="G101" t="b">
        <v>0</v>
      </c>
      <c r="H101" t="b">
        <v>1</v>
      </c>
    </row>
    <row r="102" spans="1:8" x14ac:dyDescent="0.2">
      <c r="A102" s="2">
        <v>100</v>
      </c>
      <c r="B102" t="s">
        <v>207</v>
      </c>
      <c r="C102" t="s">
        <v>208</v>
      </c>
      <c r="D102" t="b">
        <v>0</v>
      </c>
      <c r="E102" t="b">
        <v>0</v>
      </c>
      <c r="F102" t="b">
        <v>1</v>
      </c>
      <c r="G102" t="b">
        <v>0</v>
      </c>
      <c r="H102" t="b">
        <v>1</v>
      </c>
    </row>
    <row r="103" spans="1:8" x14ac:dyDescent="0.2">
      <c r="A103" s="2">
        <v>101</v>
      </c>
      <c r="B103" t="s">
        <v>209</v>
      </c>
      <c r="C103" t="s">
        <v>210</v>
      </c>
      <c r="D103" t="b">
        <v>0</v>
      </c>
      <c r="E103" t="b">
        <v>0</v>
      </c>
      <c r="F103" t="b">
        <v>1</v>
      </c>
      <c r="G103" t="b">
        <v>0</v>
      </c>
      <c r="H103" t="b">
        <v>0</v>
      </c>
    </row>
    <row r="104" spans="1:8" x14ac:dyDescent="0.2">
      <c r="A104" s="2">
        <v>102</v>
      </c>
      <c r="B104" t="s">
        <v>211</v>
      </c>
      <c r="C104" t="s">
        <v>212</v>
      </c>
      <c r="D104" t="b">
        <v>0</v>
      </c>
      <c r="E104" t="b">
        <v>0</v>
      </c>
      <c r="F104" t="b">
        <v>1</v>
      </c>
      <c r="G104" t="b">
        <v>0</v>
      </c>
      <c r="H104" t="b">
        <v>1</v>
      </c>
    </row>
    <row r="105" spans="1:8" x14ac:dyDescent="0.2">
      <c r="A105" s="2">
        <v>103</v>
      </c>
      <c r="B105" t="s">
        <v>213</v>
      </c>
      <c r="C105" t="s">
        <v>214</v>
      </c>
      <c r="D105" t="b">
        <v>0</v>
      </c>
      <c r="E105" t="b">
        <v>0</v>
      </c>
      <c r="F105" t="b">
        <v>1</v>
      </c>
      <c r="G105" t="b">
        <v>0</v>
      </c>
      <c r="H105" t="b">
        <v>0</v>
      </c>
    </row>
    <row r="106" spans="1:8" x14ac:dyDescent="0.2">
      <c r="A106" s="2">
        <v>104</v>
      </c>
      <c r="B106" t="s">
        <v>215</v>
      </c>
      <c r="C106" t="s">
        <v>216</v>
      </c>
      <c r="D106" t="b">
        <v>0</v>
      </c>
      <c r="E106" t="b">
        <v>0</v>
      </c>
      <c r="F106" t="b">
        <v>1</v>
      </c>
      <c r="G106" t="b">
        <v>0</v>
      </c>
      <c r="H106" t="b">
        <v>1</v>
      </c>
    </row>
    <row r="107" spans="1:8" x14ac:dyDescent="0.2">
      <c r="A107" s="2">
        <v>105</v>
      </c>
      <c r="B107" t="s">
        <v>217</v>
      </c>
      <c r="C107" t="s">
        <v>218</v>
      </c>
      <c r="D107" t="b">
        <v>0</v>
      </c>
      <c r="E107" t="b">
        <v>0</v>
      </c>
      <c r="F107" t="b">
        <v>1</v>
      </c>
      <c r="G107" t="b">
        <v>0</v>
      </c>
      <c r="H107" t="b">
        <v>0</v>
      </c>
    </row>
    <row r="108" spans="1:8" x14ac:dyDescent="0.2">
      <c r="A108" s="2">
        <v>106</v>
      </c>
      <c r="B108" t="s">
        <v>219</v>
      </c>
      <c r="C108" t="s">
        <v>220</v>
      </c>
      <c r="D108" t="b">
        <v>0</v>
      </c>
      <c r="E108" t="b">
        <v>0</v>
      </c>
      <c r="F108" t="b">
        <v>1</v>
      </c>
      <c r="G108" t="b">
        <v>0</v>
      </c>
      <c r="H108" t="b">
        <v>1</v>
      </c>
    </row>
    <row r="109" spans="1:8" x14ac:dyDescent="0.2">
      <c r="A109" s="2">
        <v>107</v>
      </c>
      <c r="B109" t="s">
        <v>221</v>
      </c>
      <c r="C109" t="s">
        <v>222</v>
      </c>
      <c r="D109" t="b">
        <v>0</v>
      </c>
      <c r="E109" t="b">
        <v>0</v>
      </c>
      <c r="F109" t="b">
        <v>1</v>
      </c>
      <c r="G109" t="b">
        <v>0</v>
      </c>
      <c r="H109" t="b">
        <v>0</v>
      </c>
    </row>
    <row r="110" spans="1:8" x14ac:dyDescent="0.2">
      <c r="A110" s="2">
        <v>108</v>
      </c>
      <c r="B110" t="s">
        <v>223</v>
      </c>
      <c r="C110" t="s">
        <v>224</v>
      </c>
      <c r="D110" t="b">
        <v>0</v>
      </c>
      <c r="E110" t="b">
        <v>0</v>
      </c>
      <c r="F110" t="b">
        <v>1</v>
      </c>
      <c r="G110" t="b">
        <v>0</v>
      </c>
      <c r="H110" t="b">
        <v>0</v>
      </c>
    </row>
    <row r="111" spans="1:8" x14ac:dyDescent="0.2">
      <c r="A111" s="2">
        <v>109</v>
      </c>
      <c r="B111" t="s">
        <v>225</v>
      </c>
      <c r="C111" t="s">
        <v>226</v>
      </c>
      <c r="D111" t="b">
        <v>0</v>
      </c>
      <c r="E111" t="b">
        <v>0</v>
      </c>
      <c r="F111" t="b">
        <v>1</v>
      </c>
      <c r="G111" t="b">
        <v>0</v>
      </c>
      <c r="H111" t="b">
        <v>0</v>
      </c>
    </row>
    <row r="112" spans="1:8" x14ac:dyDescent="0.2">
      <c r="A112" s="2">
        <v>110</v>
      </c>
      <c r="B112" t="s">
        <v>227</v>
      </c>
      <c r="C112" t="s">
        <v>228</v>
      </c>
      <c r="D112" t="b">
        <v>0</v>
      </c>
      <c r="E112" t="b">
        <v>0</v>
      </c>
      <c r="F112" t="b">
        <v>1</v>
      </c>
      <c r="G112" t="b">
        <v>0</v>
      </c>
      <c r="H112" t="b">
        <v>0</v>
      </c>
    </row>
    <row r="113" spans="1:8" x14ac:dyDescent="0.2">
      <c r="A113" s="2">
        <v>111</v>
      </c>
      <c r="B113" t="s">
        <v>229</v>
      </c>
      <c r="C113" s="1" t="s">
        <v>230</v>
      </c>
      <c r="D113" t="b">
        <v>0</v>
      </c>
      <c r="E113" t="b">
        <v>0</v>
      </c>
      <c r="F113" t="b">
        <v>1</v>
      </c>
      <c r="G113" t="b">
        <v>0</v>
      </c>
      <c r="H113" t="b">
        <v>1</v>
      </c>
    </row>
    <row r="114" spans="1:8" x14ac:dyDescent="0.2">
      <c r="A114" s="2">
        <v>112</v>
      </c>
      <c r="B114" t="s">
        <v>231</v>
      </c>
      <c r="C114" t="s">
        <v>232</v>
      </c>
      <c r="D114" t="b">
        <v>0</v>
      </c>
      <c r="E114" t="b">
        <v>0</v>
      </c>
      <c r="F114" t="b">
        <v>1</v>
      </c>
      <c r="G114" t="b">
        <v>0</v>
      </c>
      <c r="H114" t="b">
        <v>1</v>
      </c>
    </row>
    <row r="115" spans="1:8" x14ac:dyDescent="0.2">
      <c r="A115" s="2">
        <v>113</v>
      </c>
      <c r="B115" t="s">
        <v>233</v>
      </c>
      <c r="C115" t="s">
        <v>234</v>
      </c>
      <c r="D115" t="b">
        <v>1</v>
      </c>
      <c r="E115" t="b">
        <v>0</v>
      </c>
      <c r="F115" t="b">
        <v>0</v>
      </c>
      <c r="G115" t="b">
        <v>0</v>
      </c>
      <c r="H115" t="b">
        <v>0</v>
      </c>
    </row>
    <row r="116" spans="1:8" x14ac:dyDescent="0.2">
      <c r="A116" s="2">
        <v>114</v>
      </c>
      <c r="B116" t="s">
        <v>235</v>
      </c>
      <c r="C116" t="s">
        <v>236</v>
      </c>
      <c r="D116" t="b">
        <v>1</v>
      </c>
      <c r="E116" t="b">
        <v>0</v>
      </c>
      <c r="F116" t="b">
        <v>0</v>
      </c>
      <c r="G116" t="b">
        <v>0</v>
      </c>
      <c r="H116" t="b">
        <v>1</v>
      </c>
    </row>
    <row r="117" spans="1:8" x14ac:dyDescent="0.2">
      <c r="A117" s="2">
        <v>115</v>
      </c>
      <c r="B117" t="s">
        <v>237</v>
      </c>
      <c r="C117" t="s">
        <v>238</v>
      </c>
      <c r="D117" t="b">
        <v>1</v>
      </c>
      <c r="E117" t="b">
        <v>0</v>
      </c>
      <c r="F117" t="b">
        <v>0</v>
      </c>
      <c r="G117" t="b">
        <v>1</v>
      </c>
      <c r="H117" t="b">
        <v>0</v>
      </c>
    </row>
    <row r="118" spans="1:8" x14ac:dyDescent="0.2">
      <c r="A118" s="2">
        <v>116</v>
      </c>
      <c r="B118" t="s">
        <v>239</v>
      </c>
      <c r="C118" t="s">
        <v>240</v>
      </c>
      <c r="D118" t="b">
        <v>0</v>
      </c>
      <c r="E118" t="b">
        <v>0</v>
      </c>
      <c r="F118" t="b">
        <v>1</v>
      </c>
      <c r="G118" t="b">
        <v>0</v>
      </c>
      <c r="H118" t="b">
        <v>1</v>
      </c>
    </row>
    <row r="119" spans="1:8" x14ac:dyDescent="0.2">
      <c r="A119" s="2">
        <v>117</v>
      </c>
      <c r="B119" t="s">
        <v>241</v>
      </c>
      <c r="C119" t="s">
        <v>242</v>
      </c>
      <c r="D119" t="b">
        <v>0</v>
      </c>
      <c r="E119" t="b">
        <v>0</v>
      </c>
      <c r="F119" t="b">
        <v>1</v>
      </c>
      <c r="G119" t="b">
        <v>0</v>
      </c>
      <c r="H119" t="b">
        <v>1</v>
      </c>
    </row>
    <row r="120" spans="1:8" x14ac:dyDescent="0.2">
      <c r="A120" s="2">
        <v>118</v>
      </c>
      <c r="B120" t="s">
        <v>243</v>
      </c>
      <c r="C120" t="s">
        <v>244</v>
      </c>
      <c r="D120" t="b">
        <v>0</v>
      </c>
      <c r="E120" t="b">
        <v>0</v>
      </c>
      <c r="F120" t="b">
        <v>1</v>
      </c>
      <c r="G120" t="b">
        <v>0</v>
      </c>
      <c r="H120" t="b">
        <v>1</v>
      </c>
    </row>
    <row r="121" spans="1:8" x14ac:dyDescent="0.2">
      <c r="A121" s="2">
        <v>119</v>
      </c>
      <c r="B121" t="s">
        <v>245</v>
      </c>
      <c r="C121" t="s">
        <v>246</v>
      </c>
      <c r="D121" t="b">
        <v>0</v>
      </c>
      <c r="E121" t="b">
        <v>0</v>
      </c>
      <c r="F121" t="b">
        <v>1</v>
      </c>
      <c r="G121" t="b">
        <v>0</v>
      </c>
      <c r="H121" t="b">
        <v>0</v>
      </c>
    </row>
    <row r="122" spans="1:8" x14ac:dyDescent="0.2">
      <c r="A122" s="2">
        <v>120</v>
      </c>
      <c r="B122" t="s">
        <v>247</v>
      </c>
      <c r="C122" t="s">
        <v>248</v>
      </c>
      <c r="D122" t="b">
        <v>0</v>
      </c>
      <c r="E122" t="b">
        <v>0</v>
      </c>
      <c r="F122" t="b">
        <v>1</v>
      </c>
      <c r="G122" t="b">
        <v>0</v>
      </c>
      <c r="H122" t="b">
        <v>1</v>
      </c>
    </row>
    <row r="123" spans="1:8" x14ac:dyDescent="0.2">
      <c r="A123" s="2">
        <v>121</v>
      </c>
      <c r="B123" t="s">
        <v>249</v>
      </c>
      <c r="C123" t="s">
        <v>250</v>
      </c>
      <c r="D123" t="b">
        <v>0</v>
      </c>
      <c r="E123" t="b">
        <v>0</v>
      </c>
      <c r="F123" t="b">
        <v>1</v>
      </c>
      <c r="G123" t="b">
        <v>0</v>
      </c>
      <c r="H123" t="b">
        <v>1</v>
      </c>
    </row>
    <row r="124" spans="1:8" x14ac:dyDescent="0.2">
      <c r="A124" s="2">
        <v>122</v>
      </c>
      <c r="B124" t="s">
        <v>251</v>
      </c>
      <c r="C124" t="s">
        <v>252</v>
      </c>
      <c r="D124" t="b">
        <v>0</v>
      </c>
      <c r="E124" t="b">
        <v>0</v>
      </c>
      <c r="F124" t="b">
        <v>1</v>
      </c>
      <c r="G124" t="b">
        <v>0</v>
      </c>
      <c r="H124" t="b">
        <v>1</v>
      </c>
    </row>
    <row r="125" spans="1:8" x14ac:dyDescent="0.2">
      <c r="A125" s="2">
        <v>123</v>
      </c>
      <c r="B125" t="s">
        <v>253</v>
      </c>
      <c r="C125" s="1" t="s">
        <v>254</v>
      </c>
      <c r="D125" t="b">
        <v>0</v>
      </c>
      <c r="E125" t="b">
        <v>0</v>
      </c>
      <c r="F125" t="b">
        <v>1</v>
      </c>
      <c r="G125" t="b">
        <v>0</v>
      </c>
      <c r="H125" t="b">
        <v>0</v>
      </c>
    </row>
    <row r="126" spans="1:8" x14ac:dyDescent="0.2">
      <c r="A126" s="2">
        <v>124</v>
      </c>
      <c r="B126" t="s">
        <v>255</v>
      </c>
      <c r="C126" t="s">
        <v>256</v>
      </c>
      <c r="D126" t="b">
        <v>0</v>
      </c>
      <c r="E126" t="b">
        <v>0</v>
      </c>
      <c r="F126" t="b">
        <v>1</v>
      </c>
      <c r="G126" t="b">
        <v>0</v>
      </c>
      <c r="H126" t="b">
        <v>1</v>
      </c>
    </row>
    <row r="127" spans="1:8" x14ac:dyDescent="0.2">
      <c r="A127" s="2">
        <v>125</v>
      </c>
      <c r="B127" t="s">
        <v>257</v>
      </c>
      <c r="C127" t="s">
        <v>258</v>
      </c>
      <c r="D127" t="b">
        <v>0</v>
      </c>
      <c r="E127" t="b">
        <v>0</v>
      </c>
      <c r="F127" t="b">
        <v>1</v>
      </c>
      <c r="G127" t="b">
        <v>0</v>
      </c>
      <c r="H127" t="b">
        <v>1</v>
      </c>
    </row>
    <row r="128" spans="1:8" x14ac:dyDescent="0.2">
      <c r="A128" s="2">
        <v>126</v>
      </c>
      <c r="B128" t="s">
        <v>259</v>
      </c>
      <c r="C128" t="s">
        <v>260</v>
      </c>
      <c r="D128" t="b">
        <v>0</v>
      </c>
      <c r="E128" t="b">
        <v>0</v>
      </c>
      <c r="F128" t="b">
        <v>1</v>
      </c>
      <c r="G128" t="b">
        <v>0</v>
      </c>
      <c r="H128" t="b">
        <v>1</v>
      </c>
    </row>
    <row r="129" spans="1:8" x14ac:dyDescent="0.2">
      <c r="A129" s="2">
        <v>127</v>
      </c>
      <c r="B129" t="s">
        <v>261</v>
      </c>
      <c r="C129" t="s">
        <v>262</v>
      </c>
      <c r="D129" t="b">
        <v>0</v>
      </c>
      <c r="E129" t="b">
        <v>0</v>
      </c>
      <c r="F129" t="b">
        <v>1</v>
      </c>
      <c r="G129" t="b">
        <v>0</v>
      </c>
      <c r="H129" t="b">
        <v>1</v>
      </c>
    </row>
    <row r="130" spans="1:8" x14ac:dyDescent="0.2">
      <c r="A130" s="2">
        <v>128</v>
      </c>
      <c r="B130" t="s">
        <v>263</v>
      </c>
      <c r="C130" t="s">
        <v>264</v>
      </c>
      <c r="D130" t="b">
        <v>1</v>
      </c>
      <c r="E130" t="b">
        <v>0</v>
      </c>
      <c r="F130" t="b">
        <v>0</v>
      </c>
      <c r="G130" t="b">
        <v>1</v>
      </c>
      <c r="H130" t="b">
        <v>0</v>
      </c>
    </row>
    <row r="131" spans="1:8" x14ac:dyDescent="0.2">
      <c r="A131" s="2">
        <v>129</v>
      </c>
      <c r="B131" t="s">
        <v>265</v>
      </c>
      <c r="C131" t="s">
        <v>266</v>
      </c>
      <c r="D131" t="b">
        <v>0</v>
      </c>
      <c r="E131" t="b">
        <v>0</v>
      </c>
      <c r="F131" t="b">
        <v>1</v>
      </c>
      <c r="G131" t="b">
        <v>0</v>
      </c>
      <c r="H131" t="b">
        <v>0</v>
      </c>
    </row>
    <row r="132" spans="1:8" x14ac:dyDescent="0.2">
      <c r="A132" s="2">
        <v>130</v>
      </c>
      <c r="B132" t="s">
        <v>267</v>
      </c>
      <c r="C132" t="s">
        <v>268</v>
      </c>
      <c r="D132" t="b">
        <v>1</v>
      </c>
      <c r="E132" t="b">
        <v>0</v>
      </c>
      <c r="F132" t="b">
        <v>0</v>
      </c>
      <c r="G132" t="b">
        <v>1</v>
      </c>
      <c r="H132" t="b">
        <v>0</v>
      </c>
    </row>
    <row r="133" spans="1:8" x14ac:dyDescent="0.2">
      <c r="A133" s="2">
        <v>131</v>
      </c>
      <c r="B133" t="s">
        <v>269</v>
      </c>
      <c r="C133" t="s">
        <v>270</v>
      </c>
      <c r="D133" t="b">
        <v>0</v>
      </c>
      <c r="E133" t="b">
        <v>0</v>
      </c>
      <c r="F133" t="b">
        <v>1</v>
      </c>
      <c r="G133" t="b">
        <v>0</v>
      </c>
      <c r="H133" t="b">
        <v>1</v>
      </c>
    </row>
    <row r="134" spans="1:8" x14ac:dyDescent="0.2">
      <c r="A134" s="2">
        <v>132</v>
      </c>
      <c r="B134" t="s">
        <v>271</v>
      </c>
      <c r="C134" t="s">
        <v>272</v>
      </c>
      <c r="D134" t="b">
        <v>0</v>
      </c>
      <c r="E134" t="b">
        <v>0</v>
      </c>
      <c r="F134" t="b">
        <v>1</v>
      </c>
      <c r="G134" t="b">
        <v>0</v>
      </c>
      <c r="H134" t="b">
        <v>0</v>
      </c>
    </row>
    <row r="135" spans="1:8" x14ac:dyDescent="0.2">
      <c r="A135" s="2">
        <v>133</v>
      </c>
      <c r="B135" t="s">
        <v>273</v>
      </c>
      <c r="C135" t="s">
        <v>274</v>
      </c>
      <c r="D135" t="b">
        <v>0</v>
      </c>
      <c r="E135" t="b">
        <v>0</v>
      </c>
      <c r="F135" t="b">
        <v>1</v>
      </c>
      <c r="G135" t="b">
        <v>0</v>
      </c>
      <c r="H135" t="b">
        <v>1</v>
      </c>
    </row>
    <row r="136" spans="1:8" x14ac:dyDescent="0.2">
      <c r="A136" s="2">
        <v>134</v>
      </c>
      <c r="B136" t="s">
        <v>275</v>
      </c>
      <c r="C136" t="s">
        <v>276</v>
      </c>
      <c r="D136" t="b">
        <v>0</v>
      </c>
      <c r="E136" t="b">
        <v>0</v>
      </c>
      <c r="F136" t="b">
        <v>1</v>
      </c>
      <c r="G136" t="b">
        <v>0</v>
      </c>
      <c r="H136" t="b">
        <v>1</v>
      </c>
    </row>
    <row r="137" spans="1:8" x14ac:dyDescent="0.2">
      <c r="A137" s="2">
        <v>135</v>
      </c>
      <c r="B137" t="s">
        <v>277</v>
      </c>
      <c r="C137" s="1" t="s">
        <v>278</v>
      </c>
      <c r="D137" t="b">
        <v>0</v>
      </c>
      <c r="E137" t="b">
        <v>1</v>
      </c>
      <c r="F137" t="b">
        <v>1</v>
      </c>
      <c r="G137" t="b">
        <v>0</v>
      </c>
      <c r="H137" t="b">
        <v>0</v>
      </c>
    </row>
    <row r="138" spans="1:8" x14ac:dyDescent="0.2">
      <c r="A138" s="2">
        <v>136</v>
      </c>
      <c r="B138" t="s">
        <v>279</v>
      </c>
      <c r="C138" t="s">
        <v>280</v>
      </c>
      <c r="D138" t="b">
        <v>0</v>
      </c>
      <c r="E138" t="b">
        <v>0</v>
      </c>
      <c r="F138" t="b">
        <v>1</v>
      </c>
      <c r="G138" t="b">
        <v>0</v>
      </c>
      <c r="H138" t="b">
        <v>1</v>
      </c>
    </row>
    <row r="139" spans="1:8" x14ac:dyDescent="0.2">
      <c r="A139" s="2">
        <v>137</v>
      </c>
      <c r="B139" t="s">
        <v>281</v>
      </c>
      <c r="C139" t="s">
        <v>282</v>
      </c>
      <c r="D139" t="b">
        <v>0</v>
      </c>
      <c r="E139" t="b">
        <v>1</v>
      </c>
      <c r="F139" t="b">
        <v>1</v>
      </c>
      <c r="G139" t="b">
        <v>0</v>
      </c>
      <c r="H139" t="b">
        <v>0</v>
      </c>
    </row>
    <row r="140" spans="1:8" x14ac:dyDescent="0.2">
      <c r="A140" s="2">
        <v>138</v>
      </c>
      <c r="B140" t="s">
        <v>283</v>
      </c>
      <c r="C140" t="s">
        <v>284</v>
      </c>
      <c r="D140" t="b">
        <v>0</v>
      </c>
      <c r="E140" t="b">
        <v>0</v>
      </c>
      <c r="F140" t="b">
        <v>1</v>
      </c>
      <c r="G140" t="b">
        <v>0</v>
      </c>
      <c r="H140" t="b">
        <v>1</v>
      </c>
    </row>
    <row r="141" spans="1:8" x14ac:dyDescent="0.2">
      <c r="A141" s="2">
        <v>139</v>
      </c>
      <c r="B141" t="s">
        <v>285</v>
      </c>
      <c r="C141" t="s">
        <v>286</v>
      </c>
      <c r="D141" t="b">
        <v>0</v>
      </c>
      <c r="E141" t="b">
        <v>1</v>
      </c>
      <c r="F141" t="b">
        <v>1</v>
      </c>
      <c r="G141" t="b">
        <v>0</v>
      </c>
      <c r="H141" t="b">
        <v>0</v>
      </c>
    </row>
    <row r="142" spans="1:8" x14ac:dyDescent="0.2">
      <c r="A142" s="2">
        <v>140</v>
      </c>
      <c r="B142" t="s">
        <v>287</v>
      </c>
      <c r="C142" t="s">
        <v>288</v>
      </c>
      <c r="D142" t="b">
        <v>0</v>
      </c>
      <c r="E142" t="b">
        <v>0</v>
      </c>
      <c r="F142" t="b">
        <v>1</v>
      </c>
      <c r="G142" t="b">
        <v>0</v>
      </c>
      <c r="H142" t="b">
        <v>1</v>
      </c>
    </row>
    <row r="143" spans="1:8" x14ac:dyDescent="0.2">
      <c r="A143" s="2">
        <v>141</v>
      </c>
      <c r="B143" t="s">
        <v>289</v>
      </c>
      <c r="C143" t="s">
        <v>290</v>
      </c>
      <c r="D143" t="b">
        <v>0</v>
      </c>
      <c r="E143" t="b">
        <v>0</v>
      </c>
      <c r="F143" t="b">
        <v>1</v>
      </c>
      <c r="G143" t="b">
        <v>0</v>
      </c>
      <c r="H143" t="b">
        <v>1</v>
      </c>
    </row>
    <row r="144" spans="1:8" x14ac:dyDescent="0.2">
      <c r="A144" s="2">
        <v>142</v>
      </c>
      <c r="B144" t="s">
        <v>291</v>
      </c>
      <c r="C144" t="s">
        <v>292</v>
      </c>
      <c r="D144" t="b">
        <v>0</v>
      </c>
      <c r="E144" t="b">
        <v>0</v>
      </c>
      <c r="F144" t="b">
        <v>1</v>
      </c>
      <c r="G144" t="b">
        <v>0</v>
      </c>
      <c r="H144" t="b">
        <v>1</v>
      </c>
    </row>
    <row r="145" spans="1:8" x14ac:dyDescent="0.2">
      <c r="A145" s="2">
        <v>143</v>
      </c>
      <c r="B145" t="s">
        <v>293</v>
      </c>
      <c r="C145" t="s">
        <v>294</v>
      </c>
      <c r="D145" t="b">
        <v>0</v>
      </c>
      <c r="E145" t="b">
        <v>0</v>
      </c>
      <c r="F145" t="b">
        <v>1</v>
      </c>
      <c r="G145" t="b">
        <v>0</v>
      </c>
      <c r="H145" t="b">
        <v>1</v>
      </c>
    </row>
    <row r="146" spans="1:8" x14ac:dyDescent="0.2">
      <c r="A146" s="2">
        <v>144</v>
      </c>
      <c r="B146" t="s">
        <v>295</v>
      </c>
      <c r="C146" t="s">
        <v>296</v>
      </c>
      <c r="D146" t="b">
        <v>0</v>
      </c>
      <c r="E146" t="b">
        <v>0</v>
      </c>
      <c r="F146" t="b">
        <v>1</v>
      </c>
      <c r="G146" t="b">
        <v>0</v>
      </c>
      <c r="H146" t="b">
        <v>1</v>
      </c>
    </row>
    <row r="147" spans="1:8" x14ac:dyDescent="0.2">
      <c r="A147" s="2">
        <v>145</v>
      </c>
      <c r="B147" t="s">
        <v>297</v>
      </c>
      <c r="C147" s="1" t="s">
        <v>298</v>
      </c>
      <c r="D147" t="b">
        <v>0</v>
      </c>
      <c r="E147" t="b">
        <v>0</v>
      </c>
      <c r="F147" t="b">
        <v>1</v>
      </c>
      <c r="G147" t="b">
        <v>0</v>
      </c>
      <c r="H147" t="b">
        <v>1</v>
      </c>
    </row>
    <row r="148" spans="1:8" x14ac:dyDescent="0.2">
      <c r="A148" s="2">
        <v>146</v>
      </c>
      <c r="B148" t="s">
        <v>299</v>
      </c>
      <c r="C148" t="s">
        <v>300</v>
      </c>
      <c r="D148" t="b">
        <v>0</v>
      </c>
      <c r="E148" t="b">
        <v>0</v>
      </c>
      <c r="F148" t="b">
        <v>1</v>
      </c>
      <c r="G148" t="b">
        <v>0</v>
      </c>
      <c r="H148" t="b">
        <v>0</v>
      </c>
    </row>
    <row r="149" spans="1:8" x14ac:dyDescent="0.2">
      <c r="A149" s="2">
        <v>147</v>
      </c>
      <c r="B149" t="s">
        <v>301</v>
      </c>
      <c r="C149" t="s">
        <v>302</v>
      </c>
      <c r="D149" t="b">
        <v>0</v>
      </c>
      <c r="E149" t="b">
        <v>1</v>
      </c>
      <c r="F149" t="b">
        <v>1</v>
      </c>
      <c r="G149" t="b">
        <v>0</v>
      </c>
      <c r="H149" t="b">
        <v>0</v>
      </c>
    </row>
    <row r="150" spans="1:8" x14ac:dyDescent="0.2">
      <c r="A150" s="2">
        <v>148</v>
      </c>
      <c r="B150" t="s">
        <v>303</v>
      </c>
      <c r="C150" t="s">
        <v>304</v>
      </c>
      <c r="D150" t="b">
        <v>0</v>
      </c>
      <c r="E150" t="b">
        <v>0</v>
      </c>
      <c r="F150" t="b">
        <v>1</v>
      </c>
      <c r="G150" t="b">
        <v>0</v>
      </c>
      <c r="H150" t="b">
        <v>0</v>
      </c>
    </row>
    <row r="151" spans="1:8" x14ac:dyDescent="0.2">
      <c r="A151" s="2">
        <v>149</v>
      </c>
      <c r="B151" t="s">
        <v>305</v>
      </c>
      <c r="C151" t="s">
        <v>306</v>
      </c>
      <c r="D151" t="b">
        <v>0</v>
      </c>
      <c r="E151" t="b">
        <v>0</v>
      </c>
      <c r="F151" t="b">
        <v>1</v>
      </c>
      <c r="G151" t="b">
        <v>0</v>
      </c>
      <c r="H151" t="b">
        <v>0</v>
      </c>
    </row>
    <row r="152" spans="1:8" x14ac:dyDescent="0.2">
      <c r="A152" s="2">
        <v>150</v>
      </c>
      <c r="B152" t="s">
        <v>307</v>
      </c>
      <c r="C152" t="s">
        <v>308</v>
      </c>
      <c r="D152" t="b">
        <v>0</v>
      </c>
      <c r="E152" t="b">
        <v>1</v>
      </c>
      <c r="F152" t="b">
        <v>1</v>
      </c>
      <c r="G152" t="b">
        <v>0</v>
      </c>
      <c r="H152" t="b">
        <v>0</v>
      </c>
    </row>
    <row r="153" spans="1:8" x14ac:dyDescent="0.2">
      <c r="A153" s="2">
        <v>151</v>
      </c>
      <c r="B153" t="s">
        <v>309</v>
      </c>
      <c r="C153" t="s">
        <v>310</v>
      </c>
      <c r="D153" t="b">
        <v>0</v>
      </c>
      <c r="E153" t="b">
        <v>1</v>
      </c>
      <c r="F153" t="b">
        <v>1</v>
      </c>
      <c r="G153" t="b">
        <v>0</v>
      </c>
      <c r="H153" t="b">
        <v>0</v>
      </c>
    </row>
    <row r="154" spans="1:8" x14ac:dyDescent="0.2">
      <c r="A154" s="2">
        <v>152</v>
      </c>
      <c r="B154" t="s">
        <v>311</v>
      </c>
      <c r="C154" t="s">
        <v>312</v>
      </c>
      <c r="D154" t="b">
        <v>0</v>
      </c>
      <c r="E154" t="b">
        <v>0</v>
      </c>
      <c r="F154" t="b">
        <v>1</v>
      </c>
      <c r="G154" t="b">
        <v>0</v>
      </c>
      <c r="H154" t="b">
        <v>1</v>
      </c>
    </row>
    <row r="155" spans="1:8" x14ac:dyDescent="0.2">
      <c r="A155" s="2">
        <v>153</v>
      </c>
      <c r="B155" t="s">
        <v>313</v>
      </c>
      <c r="C155" t="s">
        <v>314</v>
      </c>
      <c r="D155" t="b">
        <v>0</v>
      </c>
      <c r="E155" t="b">
        <v>1</v>
      </c>
      <c r="F155" t="b">
        <v>1</v>
      </c>
      <c r="G155" t="b">
        <v>0</v>
      </c>
      <c r="H155" t="b">
        <v>0</v>
      </c>
    </row>
    <row r="156" spans="1:8" x14ac:dyDescent="0.2">
      <c r="A156" s="2">
        <v>154</v>
      </c>
      <c r="B156" t="s">
        <v>315</v>
      </c>
      <c r="C156" t="s">
        <v>316</v>
      </c>
      <c r="D156" t="b">
        <v>0</v>
      </c>
      <c r="E156" t="b">
        <v>1</v>
      </c>
      <c r="F156" t="b">
        <v>1</v>
      </c>
      <c r="G156" t="b">
        <v>0</v>
      </c>
      <c r="H156" t="b">
        <v>0</v>
      </c>
    </row>
    <row r="157" spans="1:8" x14ac:dyDescent="0.2">
      <c r="A157" s="2">
        <v>155</v>
      </c>
      <c r="B157" t="s">
        <v>317</v>
      </c>
      <c r="C157" t="s">
        <v>318</v>
      </c>
      <c r="D157" t="b">
        <v>0</v>
      </c>
      <c r="E157" t="b">
        <v>0</v>
      </c>
      <c r="F157" t="b">
        <v>1</v>
      </c>
      <c r="G157" t="b">
        <v>0</v>
      </c>
      <c r="H157" t="b">
        <v>1</v>
      </c>
    </row>
    <row r="158" spans="1:8" x14ac:dyDescent="0.2">
      <c r="A158" s="2">
        <v>156</v>
      </c>
      <c r="B158" t="s">
        <v>319</v>
      </c>
      <c r="C158" t="s">
        <v>320</v>
      </c>
      <c r="D158" t="b">
        <v>0</v>
      </c>
      <c r="E158" t="b">
        <v>0</v>
      </c>
      <c r="F158" t="b">
        <v>1</v>
      </c>
      <c r="G158" t="b">
        <v>0</v>
      </c>
      <c r="H158" t="b">
        <v>1</v>
      </c>
    </row>
    <row r="159" spans="1:8" x14ac:dyDescent="0.2">
      <c r="A159" s="2">
        <v>157</v>
      </c>
      <c r="B159" t="s">
        <v>321</v>
      </c>
      <c r="C159" t="s">
        <v>322</v>
      </c>
      <c r="D159" t="b">
        <v>0</v>
      </c>
      <c r="E159" t="b">
        <v>0</v>
      </c>
      <c r="F159" t="b">
        <v>1</v>
      </c>
      <c r="G159" t="b">
        <v>0</v>
      </c>
      <c r="H159" t="b">
        <v>1</v>
      </c>
    </row>
    <row r="160" spans="1:8" x14ac:dyDescent="0.2">
      <c r="A160" s="2">
        <v>158</v>
      </c>
      <c r="B160" t="s">
        <v>323</v>
      </c>
      <c r="C160" t="s">
        <v>324</v>
      </c>
      <c r="D160" t="b">
        <v>0</v>
      </c>
      <c r="E160" t="b">
        <v>0</v>
      </c>
      <c r="F160" t="b">
        <v>1</v>
      </c>
      <c r="G160" t="b">
        <v>0</v>
      </c>
      <c r="H160" t="b">
        <v>1</v>
      </c>
    </row>
    <row r="161" spans="1:8" x14ac:dyDescent="0.2">
      <c r="A161" s="2">
        <v>159</v>
      </c>
      <c r="B161" t="s">
        <v>325</v>
      </c>
      <c r="C161" t="s">
        <v>326</v>
      </c>
      <c r="D161" t="b">
        <v>0</v>
      </c>
      <c r="E161" t="b">
        <v>1</v>
      </c>
      <c r="F161" t="b">
        <v>1</v>
      </c>
      <c r="G161" t="b">
        <v>0</v>
      </c>
      <c r="H161" t="b">
        <v>0</v>
      </c>
    </row>
    <row r="162" spans="1:8" x14ac:dyDescent="0.2">
      <c r="A162" s="2">
        <v>160</v>
      </c>
      <c r="B162" t="s">
        <v>327</v>
      </c>
      <c r="C162" t="s">
        <v>328</v>
      </c>
      <c r="D162" t="b">
        <v>0</v>
      </c>
      <c r="E162" t="b">
        <v>1</v>
      </c>
      <c r="F162" t="b">
        <v>1</v>
      </c>
      <c r="G162" t="b">
        <v>0</v>
      </c>
      <c r="H162" t="b">
        <v>0</v>
      </c>
    </row>
    <row r="163" spans="1:8" x14ac:dyDescent="0.2">
      <c r="A163" s="2">
        <v>161</v>
      </c>
      <c r="B163" t="s">
        <v>329</v>
      </c>
      <c r="C163" t="s">
        <v>330</v>
      </c>
      <c r="D163" t="b">
        <v>0</v>
      </c>
      <c r="E163" t="b">
        <v>1</v>
      </c>
      <c r="F163" t="b">
        <v>1</v>
      </c>
      <c r="G163" t="b">
        <v>0</v>
      </c>
      <c r="H163" t="b">
        <v>0</v>
      </c>
    </row>
    <row r="164" spans="1:8" x14ac:dyDescent="0.2">
      <c r="A164" s="2">
        <v>162</v>
      </c>
      <c r="B164" t="s">
        <v>331</v>
      </c>
      <c r="C164" t="s">
        <v>332</v>
      </c>
      <c r="D164" t="b">
        <v>0</v>
      </c>
      <c r="E164" t="b">
        <v>1</v>
      </c>
      <c r="F164" t="b">
        <v>1</v>
      </c>
      <c r="G164" t="b">
        <v>0</v>
      </c>
      <c r="H164" t="b">
        <v>0</v>
      </c>
    </row>
    <row r="165" spans="1:8" x14ac:dyDescent="0.2">
      <c r="A165" s="2">
        <v>163</v>
      </c>
      <c r="B165" t="s">
        <v>333</v>
      </c>
      <c r="C165" t="s">
        <v>334</v>
      </c>
      <c r="D165" t="b">
        <v>0</v>
      </c>
      <c r="E165" t="b">
        <v>0</v>
      </c>
      <c r="F165" t="b">
        <v>1</v>
      </c>
      <c r="G165" t="b">
        <v>0</v>
      </c>
      <c r="H165" t="b">
        <v>0</v>
      </c>
    </row>
    <row r="166" spans="1:8" x14ac:dyDescent="0.2">
      <c r="A166" s="2">
        <v>164</v>
      </c>
      <c r="B166" t="s">
        <v>335</v>
      </c>
      <c r="C166" t="s">
        <v>336</v>
      </c>
      <c r="D166" t="b">
        <v>0</v>
      </c>
      <c r="E166" t="b">
        <v>1</v>
      </c>
      <c r="F166" t="b">
        <v>1</v>
      </c>
      <c r="G166" t="b">
        <v>0</v>
      </c>
      <c r="H166" t="b">
        <v>0</v>
      </c>
    </row>
    <row r="167" spans="1:8" x14ac:dyDescent="0.2">
      <c r="A167" s="2">
        <v>165</v>
      </c>
      <c r="B167" t="s">
        <v>337</v>
      </c>
      <c r="C167" t="s">
        <v>338</v>
      </c>
      <c r="D167" t="b">
        <v>0</v>
      </c>
      <c r="E167" t="b">
        <v>1</v>
      </c>
      <c r="F167" t="b">
        <v>1</v>
      </c>
      <c r="G167" t="b">
        <v>0</v>
      </c>
      <c r="H167" t="b">
        <v>0</v>
      </c>
    </row>
    <row r="168" spans="1:8" x14ac:dyDescent="0.2">
      <c r="A168" s="2">
        <v>166</v>
      </c>
      <c r="B168" t="s">
        <v>339</v>
      </c>
      <c r="C168" t="s">
        <v>340</v>
      </c>
      <c r="D168" t="b">
        <v>0</v>
      </c>
      <c r="E168" t="b">
        <v>0</v>
      </c>
      <c r="F168" t="b">
        <v>1</v>
      </c>
      <c r="G168" t="b">
        <v>0</v>
      </c>
      <c r="H168" t="b">
        <v>1</v>
      </c>
    </row>
    <row r="169" spans="1:8" x14ac:dyDescent="0.2">
      <c r="A169" s="2">
        <v>167</v>
      </c>
      <c r="B169" t="s">
        <v>341</v>
      </c>
      <c r="C169" t="s">
        <v>342</v>
      </c>
      <c r="D169" t="b">
        <v>0</v>
      </c>
      <c r="E169" t="b">
        <v>1</v>
      </c>
      <c r="F169" t="b">
        <v>1</v>
      </c>
      <c r="G169" t="b">
        <v>0</v>
      </c>
      <c r="H169" t="b">
        <v>0</v>
      </c>
    </row>
    <row r="170" spans="1:8" x14ac:dyDescent="0.2">
      <c r="A170" s="2">
        <v>168</v>
      </c>
      <c r="B170" t="s">
        <v>343</v>
      </c>
      <c r="C170" t="s">
        <v>344</v>
      </c>
      <c r="D170" t="b">
        <v>0</v>
      </c>
      <c r="E170" t="b">
        <v>0</v>
      </c>
      <c r="F170" t="b">
        <v>1</v>
      </c>
      <c r="G170" t="b">
        <v>0</v>
      </c>
      <c r="H170" t="b">
        <v>0</v>
      </c>
    </row>
    <row r="171" spans="1:8" x14ac:dyDescent="0.2">
      <c r="A171" s="2">
        <v>169</v>
      </c>
      <c r="B171" t="s">
        <v>345</v>
      </c>
      <c r="C171" t="s">
        <v>346</v>
      </c>
      <c r="D171" t="b">
        <v>0</v>
      </c>
      <c r="E171" t="b">
        <v>0</v>
      </c>
      <c r="F171" t="b">
        <v>1</v>
      </c>
      <c r="G171" t="b">
        <v>0</v>
      </c>
      <c r="H171" t="b">
        <v>0</v>
      </c>
    </row>
    <row r="172" spans="1:8" x14ac:dyDescent="0.2">
      <c r="A172" s="2">
        <v>170</v>
      </c>
      <c r="B172" t="s">
        <v>347</v>
      </c>
      <c r="C172" s="1" t="s">
        <v>348</v>
      </c>
      <c r="D172" t="b">
        <v>0</v>
      </c>
      <c r="E172" t="b">
        <v>0</v>
      </c>
      <c r="F172" t="b">
        <v>1</v>
      </c>
      <c r="G172" t="b">
        <v>0</v>
      </c>
      <c r="H172" t="b">
        <v>1</v>
      </c>
    </row>
    <row r="173" spans="1:8" x14ac:dyDescent="0.2">
      <c r="A173" s="2">
        <v>171</v>
      </c>
      <c r="B173" t="s">
        <v>349</v>
      </c>
      <c r="C173" t="s">
        <v>350</v>
      </c>
      <c r="D173" t="b">
        <v>0</v>
      </c>
      <c r="E173" t="b">
        <v>1</v>
      </c>
      <c r="F173" t="b">
        <v>1</v>
      </c>
      <c r="G173" t="b">
        <v>0</v>
      </c>
      <c r="H173" t="b">
        <v>0</v>
      </c>
    </row>
    <row r="174" spans="1:8" x14ac:dyDescent="0.2">
      <c r="A174" s="2">
        <v>172</v>
      </c>
      <c r="B174" t="s">
        <v>351</v>
      </c>
      <c r="C174" t="s">
        <v>352</v>
      </c>
      <c r="D174" t="b">
        <v>0</v>
      </c>
      <c r="E174" t="b">
        <v>1</v>
      </c>
      <c r="F174" t="b">
        <v>1</v>
      </c>
      <c r="G174" t="b">
        <v>0</v>
      </c>
      <c r="H174" t="b">
        <v>0</v>
      </c>
    </row>
    <row r="175" spans="1:8" x14ac:dyDescent="0.2">
      <c r="A175" s="2">
        <v>173</v>
      </c>
      <c r="B175" t="s">
        <v>353</v>
      </c>
      <c r="C175" t="s">
        <v>354</v>
      </c>
      <c r="D175" t="b">
        <v>0</v>
      </c>
      <c r="E175" t="b">
        <v>1</v>
      </c>
      <c r="F175" t="b">
        <v>1</v>
      </c>
      <c r="G175" t="b">
        <v>0</v>
      </c>
      <c r="H175" t="b">
        <v>0</v>
      </c>
    </row>
    <row r="176" spans="1:8" x14ac:dyDescent="0.2">
      <c r="A176" s="2">
        <v>174</v>
      </c>
      <c r="B176" t="s">
        <v>355</v>
      </c>
      <c r="C176" t="s">
        <v>356</v>
      </c>
      <c r="D176" t="b">
        <v>0</v>
      </c>
      <c r="E176" t="b">
        <v>0</v>
      </c>
      <c r="F176" t="b">
        <v>1</v>
      </c>
      <c r="G176" t="b">
        <v>0</v>
      </c>
      <c r="H176" t="b">
        <v>1</v>
      </c>
    </row>
    <row r="177" spans="1:8" x14ac:dyDescent="0.2">
      <c r="A177" s="2">
        <v>175</v>
      </c>
      <c r="B177" t="s">
        <v>357</v>
      </c>
      <c r="C177" t="s">
        <v>358</v>
      </c>
      <c r="D177" t="b">
        <v>0</v>
      </c>
      <c r="E177" t="b">
        <v>1</v>
      </c>
      <c r="F177" t="b">
        <v>1</v>
      </c>
      <c r="G177" t="b">
        <v>0</v>
      </c>
      <c r="H177" t="b">
        <v>0</v>
      </c>
    </row>
    <row r="178" spans="1:8" x14ac:dyDescent="0.2">
      <c r="A178" s="2">
        <v>176</v>
      </c>
      <c r="B178" t="s">
        <v>359</v>
      </c>
      <c r="C178" t="s">
        <v>360</v>
      </c>
      <c r="D178" t="b">
        <v>0</v>
      </c>
      <c r="E178" t="b">
        <v>0</v>
      </c>
      <c r="F178" t="b">
        <v>1</v>
      </c>
      <c r="G178" t="b">
        <v>0</v>
      </c>
      <c r="H178" t="b">
        <v>0</v>
      </c>
    </row>
    <row r="179" spans="1:8" x14ac:dyDescent="0.2">
      <c r="A179" s="2">
        <v>177</v>
      </c>
      <c r="B179" t="s">
        <v>361</v>
      </c>
      <c r="C179" t="s">
        <v>362</v>
      </c>
      <c r="D179" t="b">
        <v>0</v>
      </c>
      <c r="E179" t="b">
        <v>1</v>
      </c>
      <c r="F179" t="b">
        <v>1</v>
      </c>
      <c r="G179" t="b">
        <v>0</v>
      </c>
      <c r="H179" t="b">
        <v>0</v>
      </c>
    </row>
    <row r="180" spans="1:8" x14ac:dyDescent="0.2">
      <c r="A180" s="2">
        <v>178</v>
      </c>
      <c r="B180" t="s">
        <v>363</v>
      </c>
      <c r="C180" t="s">
        <v>364</v>
      </c>
      <c r="D180" t="b">
        <v>0</v>
      </c>
      <c r="E180" t="b">
        <v>0</v>
      </c>
      <c r="F180" t="b">
        <v>1</v>
      </c>
      <c r="G180" t="b">
        <v>0</v>
      </c>
      <c r="H180" t="b">
        <v>1</v>
      </c>
    </row>
    <row r="181" spans="1:8" x14ac:dyDescent="0.2">
      <c r="A181" s="2">
        <v>179</v>
      </c>
      <c r="B181" t="s">
        <v>365</v>
      </c>
      <c r="C181" t="s">
        <v>366</v>
      </c>
      <c r="D181" t="b">
        <v>0</v>
      </c>
      <c r="E181" t="b">
        <v>0</v>
      </c>
      <c r="F181" t="b">
        <v>1</v>
      </c>
      <c r="G181" t="b">
        <v>0</v>
      </c>
      <c r="H181" t="b">
        <v>1</v>
      </c>
    </row>
    <row r="182" spans="1:8" x14ac:dyDescent="0.2">
      <c r="A182" s="2">
        <v>180</v>
      </c>
      <c r="B182" t="s">
        <v>367</v>
      </c>
      <c r="C182" t="s">
        <v>368</v>
      </c>
      <c r="D182" t="b">
        <v>1</v>
      </c>
      <c r="E182" t="b">
        <v>0</v>
      </c>
      <c r="F182" t="b">
        <v>0</v>
      </c>
      <c r="G182" t="b">
        <v>0</v>
      </c>
      <c r="H182" t="b">
        <v>0</v>
      </c>
    </row>
    <row r="183" spans="1:8" x14ac:dyDescent="0.2">
      <c r="A183" s="2">
        <v>181</v>
      </c>
      <c r="B183" t="s">
        <v>369</v>
      </c>
      <c r="C183" t="s">
        <v>370</v>
      </c>
      <c r="D183" t="b">
        <v>1</v>
      </c>
      <c r="E183" t="b">
        <v>0</v>
      </c>
      <c r="F183" t="b">
        <v>0</v>
      </c>
      <c r="G183" t="b">
        <v>0</v>
      </c>
      <c r="H183" t="b">
        <v>0</v>
      </c>
    </row>
    <row r="184" spans="1:8" x14ac:dyDescent="0.2">
      <c r="A184" s="2">
        <v>182</v>
      </c>
      <c r="B184" t="s">
        <v>371</v>
      </c>
      <c r="C184" t="s">
        <v>372</v>
      </c>
      <c r="D184" t="b">
        <v>1</v>
      </c>
      <c r="E184" t="b">
        <v>0</v>
      </c>
      <c r="F184" t="b">
        <v>0</v>
      </c>
      <c r="G184" t="b">
        <v>0</v>
      </c>
      <c r="H184" t="b">
        <v>0</v>
      </c>
    </row>
    <row r="185" spans="1:8" x14ac:dyDescent="0.2">
      <c r="A185" s="2">
        <v>183</v>
      </c>
      <c r="B185" t="s">
        <v>373</v>
      </c>
      <c r="C185" t="s">
        <v>160</v>
      </c>
      <c r="D185" t="b">
        <v>0</v>
      </c>
      <c r="E185" t="b">
        <v>1</v>
      </c>
      <c r="F185" t="b">
        <v>1</v>
      </c>
      <c r="G185" t="b">
        <v>0</v>
      </c>
      <c r="H185" t="b">
        <v>0</v>
      </c>
    </row>
    <row r="186" spans="1:8" x14ac:dyDescent="0.2">
      <c r="A186" s="2">
        <v>184</v>
      </c>
      <c r="B186" t="s">
        <v>374</v>
      </c>
      <c r="C186" t="s">
        <v>375</v>
      </c>
      <c r="D186" t="b">
        <v>1</v>
      </c>
      <c r="E186" t="b">
        <v>0</v>
      </c>
      <c r="F186" t="b">
        <v>0</v>
      </c>
      <c r="G186" t="b">
        <v>0</v>
      </c>
      <c r="H186" t="b">
        <v>0</v>
      </c>
    </row>
    <row r="187" spans="1:8" x14ac:dyDescent="0.2">
      <c r="A187" s="2">
        <v>185</v>
      </c>
      <c r="B187" t="s">
        <v>376</v>
      </c>
      <c r="C187" t="s">
        <v>377</v>
      </c>
      <c r="D187" t="b">
        <v>1</v>
      </c>
      <c r="E187" t="b">
        <v>0</v>
      </c>
      <c r="F187" t="b">
        <v>0</v>
      </c>
      <c r="G187" t="b">
        <v>0</v>
      </c>
      <c r="H187" t="b">
        <v>0</v>
      </c>
    </row>
    <row r="188" spans="1:8" x14ac:dyDescent="0.2">
      <c r="A188" s="2">
        <v>186</v>
      </c>
      <c r="B188" t="s">
        <v>378</v>
      </c>
      <c r="C188" t="s">
        <v>379</v>
      </c>
      <c r="D188" t="b">
        <v>1</v>
      </c>
      <c r="E188" t="b">
        <v>0</v>
      </c>
      <c r="F188" t="b">
        <v>0</v>
      </c>
      <c r="G188" t="b">
        <v>0</v>
      </c>
      <c r="H188" t="b">
        <v>1</v>
      </c>
    </row>
    <row r="189" spans="1:8" x14ac:dyDescent="0.2">
      <c r="A189" s="2">
        <v>187</v>
      </c>
      <c r="B189" t="s">
        <v>380</v>
      </c>
      <c r="C189" t="s">
        <v>381</v>
      </c>
      <c r="D189" t="b">
        <v>1</v>
      </c>
      <c r="E189" t="b">
        <v>0</v>
      </c>
      <c r="F189" t="b">
        <v>0</v>
      </c>
      <c r="G189" t="b">
        <v>1</v>
      </c>
      <c r="H189" t="b">
        <v>0</v>
      </c>
    </row>
    <row r="190" spans="1:8" x14ac:dyDescent="0.2">
      <c r="A190" s="2">
        <v>188</v>
      </c>
      <c r="B190" t="s">
        <v>382</v>
      </c>
      <c r="C190" t="s">
        <v>383</v>
      </c>
      <c r="D190" t="b">
        <v>0</v>
      </c>
      <c r="E190" t="b">
        <v>0</v>
      </c>
      <c r="F190" t="b">
        <v>1</v>
      </c>
      <c r="G190" t="b">
        <v>0</v>
      </c>
      <c r="H190" t="b">
        <v>0</v>
      </c>
    </row>
    <row r="191" spans="1:8" x14ac:dyDescent="0.2">
      <c r="A191" s="2">
        <v>189</v>
      </c>
      <c r="B191" t="s">
        <v>384</v>
      </c>
      <c r="C191" t="s">
        <v>385</v>
      </c>
      <c r="D191" t="b">
        <v>0</v>
      </c>
      <c r="E191" t="b">
        <v>0</v>
      </c>
      <c r="F191" t="b">
        <v>1</v>
      </c>
      <c r="G191" t="b">
        <v>0</v>
      </c>
      <c r="H191" t="b">
        <v>0</v>
      </c>
    </row>
    <row r="192" spans="1:8" x14ac:dyDescent="0.2">
      <c r="A192" s="2">
        <v>190</v>
      </c>
      <c r="B192" t="s">
        <v>386</v>
      </c>
      <c r="C192" t="s">
        <v>387</v>
      </c>
      <c r="D192" t="b">
        <v>0</v>
      </c>
      <c r="E192" t="b">
        <v>0</v>
      </c>
      <c r="F192" t="b">
        <v>1</v>
      </c>
      <c r="G192" t="b">
        <v>0</v>
      </c>
      <c r="H192" t="b">
        <v>1</v>
      </c>
    </row>
    <row r="193" spans="1:8" x14ac:dyDescent="0.2">
      <c r="A193" s="2">
        <v>191</v>
      </c>
      <c r="B193" t="s">
        <v>388</v>
      </c>
      <c r="C193" t="s">
        <v>389</v>
      </c>
      <c r="D193" t="b">
        <v>0</v>
      </c>
      <c r="E193" t="b">
        <v>1</v>
      </c>
      <c r="F193" t="b">
        <v>1</v>
      </c>
      <c r="G193" t="b">
        <v>0</v>
      </c>
      <c r="H193" t="b">
        <v>0</v>
      </c>
    </row>
    <row r="194" spans="1:8" x14ac:dyDescent="0.2">
      <c r="A194" s="2">
        <v>192</v>
      </c>
      <c r="B194" t="s">
        <v>390</v>
      </c>
      <c r="C194" t="s">
        <v>391</v>
      </c>
      <c r="D194" t="b">
        <v>0</v>
      </c>
      <c r="E194" t="b">
        <v>0</v>
      </c>
      <c r="F194" t="b">
        <v>1</v>
      </c>
      <c r="G194" t="b">
        <v>0</v>
      </c>
      <c r="H194" t="b">
        <v>0</v>
      </c>
    </row>
    <row r="195" spans="1:8" x14ac:dyDescent="0.2">
      <c r="A195" s="2">
        <v>193</v>
      </c>
      <c r="B195" t="s">
        <v>392</v>
      </c>
      <c r="C195" t="s">
        <v>393</v>
      </c>
      <c r="D195" t="b">
        <v>0</v>
      </c>
      <c r="E195" t="b">
        <v>0</v>
      </c>
      <c r="F195" t="b">
        <v>1</v>
      </c>
      <c r="G195" t="b">
        <v>0</v>
      </c>
      <c r="H195" t="b">
        <v>1</v>
      </c>
    </row>
    <row r="196" spans="1:8" x14ac:dyDescent="0.2">
      <c r="A196" s="2">
        <v>194</v>
      </c>
      <c r="B196" t="s">
        <v>394</v>
      </c>
      <c r="C196" t="s">
        <v>395</v>
      </c>
      <c r="D196" t="b">
        <v>0</v>
      </c>
      <c r="E196" t="b">
        <v>0</v>
      </c>
      <c r="F196" t="b">
        <v>1</v>
      </c>
      <c r="G196" t="b">
        <v>0</v>
      </c>
      <c r="H196" t="b">
        <v>0</v>
      </c>
    </row>
    <row r="197" spans="1:8" x14ac:dyDescent="0.2">
      <c r="A197" s="2">
        <v>195</v>
      </c>
      <c r="B197" t="s">
        <v>396</v>
      </c>
      <c r="C197" t="s">
        <v>397</v>
      </c>
      <c r="D197" t="b">
        <v>0</v>
      </c>
      <c r="E197" t="b">
        <v>0</v>
      </c>
      <c r="F197" t="b">
        <v>1</v>
      </c>
      <c r="G197" t="b">
        <v>0</v>
      </c>
      <c r="H197" t="b">
        <v>0</v>
      </c>
    </row>
    <row r="198" spans="1:8" x14ac:dyDescent="0.2">
      <c r="A198" s="2">
        <v>196</v>
      </c>
      <c r="B198" t="s">
        <v>398</v>
      </c>
      <c r="C198" t="s">
        <v>399</v>
      </c>
      <c r="D198" t="b">
        <v>0</v>
      </c>
      <c r="E198" t="b">
        <v>1</v>
      </c>
      <c r="F198" t="b">
        <v>1</v>
      </c>
      <c r="G198" t="b">
        <v>0</v>
      </c>
      <c r="H198" t="b">
        <v>0</v>
      </c>
    </row>
    <row r="199" spans="1:8" x14ac:dyDescent="0.2">
      <c r="A199" s="2">
        <v>197</v>
      </c>
      <c r="B199" t="s">
        <v>400</v>
      </c>
      <c r="C199" t="s">
        <v>401</v>
      </c>
      <c r="D199" t="b">
        <v>0</v>
      </c>
      <c r="E199" t="b">
        <v>0</v>
      </c>
      <c r="F199" t="b">
        <v>1</v>
      </c>
      <c r="G199" t="b">
        <v>0</v>
      </c>
      <c r="H199" t="b">
        <v>1</v>
      </c>
    </row>
    <row r="200" spans="1:8" x14ac:dyDescent="0.2">
      <c r="A200" s="2">
        <v>198</v>
      </c>
      <c r="B200" t="s">
        <v>402</v>
      </c>
      <c r="C200" t="s">
        <v>160</v>
      </c>
      <c r="D200" t="b">
        <v>0</v>
      </c>
      <c r="E200" t="b">
        <v>1</v>
      </c>
      <c r="F200" t="b">
        <v>1</v>
      </c>
      <c r="G200" t="b">
        <v>0</v>
      </c>
      <c r="H200" t="b">
        <v>0</v>
      </c>
    </row>
    <row r="201" spans="1:8" x14ac:dyDescent="0.2">
      <c r="A201" s="2">
        <v>199</v>
      </c>
      <c r="B201" t="s">
        <v>403</v>
      </c>
      <c r="C201" t="s">
        <v>404</v>
      </c>
      <c r="D201" t="b">
        <v>0</v>
      </c>
      <c r="E201" t="b">
        <v>0</v>
      </c>
      <c r="F201" t="b">
        <v>1</v>
      </c>
      <c r="G201" t="b">
        <v>0</v>
      </c>
      <c r="H201" t="b">
        <v>0</v>
      </c>
    </row>
    <row r="202" spans="1:8" x14ac:dyDescent="0.2">
      <c r="A202" s="2">
        <v>200</v>
      </c>
      <c r="B202" t="s">
        <v>405</v>
      </c>
      <c r="C202" t="s">
        <v>406</v>
      </c>
      <c r="D202" t="b">
        <v>0</v>
      </c>
      <c r="E202" t="b">
        <v>0</v>
      </c>
      <c r="F202" t="b">
        <v>1</v>
      </c>
      <c r="G202" t="b">
        <v>0</v>
      </c>
      <c r="H202" t="b">
        <v>0</v>
      </c>
    </row>
    <row r="203" spans="1:8" x14ac:dyDescent="0.2">
      <c r="A203" s="2">
        <v>201</v>
      </c>
      <c r="B203" t="s">
        <v>407</v>
      </c>
      <c r="C203" t="s">
        <v>408</v>
      </c>
      <c r="D203" t="b">
        <v>0</v>
      </c>
      <c r="E203" t="b">
        <v>0</v>
      </c>
      <c r="F203" t="b">
        <v>1</v>
      </c>
      <c r="G203" t="b">
        <v>0</v>
      </c>
      <c r="H203" t="b">
        <v>0</v>
      </c>
    </row>
    <row r="204" spans="1:8" x14ac:dyDescent="0.2">
      <c r="A204" s="2">
        <v>202</v>
      </c>
      <c r="B204" t="s">
        <v>409</v>
      </c>
      <c r="C204" t="s">
        <v>410</v>
      </c>
      <c r="D204" t="b">
        <v>0</v>
      </c>
      <c r="E204" t="b">
        <v>0</v>
      </c>
      <c r="F204" t="b">
        <v>1</v>
      </c>
      <c r="G204" t="b">
        <v>0</v>
      </c>
      <c r="H204" t="b">
        <v>0</v>
      </c>
    </row>
    <row r="205" spans="1:8" x14ac:dyDescent="0.2">
      <c r="A205" s="2">
        <v>203</v>
      </c>
      <c r="B205" t="s">
        <v>411</v>
      </c>
      <c r="C205" t="s">
        <v>412</v>
      </c>
      <c r="D205" t="b">
        <v>0</v>
      </c>
      <c r="E205" t="b">
        <v>0</v>
      </c>
      <c r="F205" t="b">
        <v>1</v>
      </c>
      <c r="G205" t="b">
        <v>0</v>
      </c>
      <c r="H205" t="b">
        <v>0</v>
      </c>
    </row>
    <row r="206" spans="1:8" x14ac:dyDescent="0.2">
      <c r="A206" s="2">
        <v>204</v>
      </c>
      <c r="B206" t="s">
        <v>413</v>
      </c>
      <c r="C206" t="s">
        <v>414</v>
      </c>
      <c r="D206" t="b">
        <v>0</v>
      </c>
      <c r="E206" t="b">
        <v>0</v>
      </c>
      <c r="F206" t="b">
        <v>1</v>
      </c>
      <c r="G206" t="b">
        <v>0</v>
      </c>
      <c r="H206" t="b">
        <v>0</v>
      </c>
    </row>
    <row r="207" spans="1:8" x14ac:dyDescent="0.2">
      <c r="A207" s="2">
        <v>205</v>
      </c>
      <c r="B207" t="s">
        <v>415</v>
      </c>
      <c r="C207" t="s">
        <v>416</v>
      </c>
      <c r="D207" t="b">
        <v>0</v>
      </c>
      <c r="E207" t="b">
        <v>0</v>
      </c>
      <c r="F207" t="b">
        <v>1</v>
      </c>
      <c r="G207" t="b">
        <v>0</v>
      </c>
      <c r="H207" t="b">
        <v>0</v>
      </c>
    </row>
    <row r="208" spans="1:8" x14ac:dyDescent="0.2">
      <c r="A208" s="2">
        <v>206</v>
      </c>
      <c r="B208" t="s">
        <v>417</v>
      </c>
      <c r="C208" t="s">
        <v>418</v>
      </c>
      <c r="D208" t="b">
        <v>0</v>
      </c>
      <c r="E208" t="b">
        <v>1</v>
      </c>
      <c r="F208" t="b">
        <v>1</v>
      </c>
      <c r="G208" t="b">
        <v>0</v>
      </c>
      <c r="H208" t="b">
        <v>0</v>
      </c>
    </row>
    <row r="209" spans="1:8" x14ac:dyDescent="0.2">
      <c r="A209" s="2">
        <v>207</v>
      </c>
      <c r="B209" t="s">
        <v>419</v>
      </c>
      <c r="C209" t="s">
        <v>420</v>
      </c>
      <c r="D209" t="b">
        <v>0</v>
      </c>
      <c r="E209" t="b">
        <v>0</v>
      </c>
      <c r="F209" t="b">
        <v>1</v>
      </c>
      <c r="G209" t="b">
        <v>0</v>
      </c>
      <c r="H209" t="b">
        <v>0</v>
      </c>
    </row>
    <row r="210" spans="1:8" x14ac:dyDescent="0.2">
      <c r="A210" s="2">
        <v>208</v>
      </c>
      <c r="B210" t="s">
        <v>421</v>
      </c>
      <c r="C210" t="s">
        <v>422</v>
      </c>
      <c r="D210" t="b">
        <v>0</v>
      </c>
      <c r="E210" t="b">
        <v>0</v>
      </c>
      <c r="F210" t="b">
        <v>1</v>
      </c>
      <c r="G210" t="b">
        <v>0</v>
      </c>
      <c r="H210" t="b">
        <v>1</v>
      </c>
    </row>
    <row r="211" spans="1:8" x14ac:dyDescent="0.2">
      <c r="A211" s="2">
        <v>209</v>
      </c>
      <c r="B211" t="s">
        <v>423</v>
      </c>
      <c r="C211" t="s">
        <v>424</v>
      </c>
      <c r="D211" t="b">
        <v>0</v>
      </c>
      <c r="E211" t="b">
        <v>0</v>
      </c>
      <c r="F211" t="b">
        <v>1</v>
      </c>
      <c r="G211" t="b">
        <v>0</v>
      </c>
      <c r="H211" t="b">
        <v>0</v>
      </c>
    </row>
    <row r="212" spans="1:8" x14ac:dyDescent="0.2">
      <c r="A212" s="2">
        <v>210</v>
      </c>
      <c r="B212" t="s">
        <v>425</v>
      </c>
      <c r="C212" t="s">
        <v>426</v>
      </c>
      <c r="D212" t="b">
        <v>0</v>
      </c>
      <c r="E212" t="b">
        <v>0</v>
      </c>
      <c r="F212" t="b">
        <v>1</v>
      </c>
      <c r="G212" t="b">
        <v>0</v>
      </c>
      <c r="H212" t="b">
        <v>1</v>
      </c>
    </row>
    <row r="213" spans="1:8" x14ac:dyDescent="0.2">
      <c r="A213" s="2">
        <v>211</v>
      </c>
      <c r="B213" t="s">
        <v>427</v>
      </c>
      <c r="C213" t="s">
        <v>160</v>
      </c>
      <c r="D213" t="b">
        <v>0</v>
      </c>
      <c r="E213" t="b">
        <v>1</v>
      </c>
      <c r="F213" t="b">
        <v>1</v>
      </c>
      <c r="G213" t="b">
        <v>0</v>
      </c>
      <c r="H213" t="b">
        <v>0</v>
      </c>
    </row>
    <row r="214" spans="1:8" x14ac:dyDescent="0.2">
      <c r="A214" s="2">
        <v>212</v>
      </c>
      <c r="B214" t="s">
        <v>428</v>
      </c>
      <c r="C214" t="s">
        <v>429</v>
      </c>
      <c r="D214" t="b">
        <v>0</v>
      </c>
      <c r="E214" t="b">
        <v>0</v>
      </c>
      <c r="F214" t="b">
        <v>1</v>
      </c>
      <c r="G214" t="b">
        <v>0</v>
      </c>
      <c r="H214" t="b">
        <v>1</v>
      </c>
    </row>
    <row r="215" spans="1:8" x14ac:dyDescent="0.2">
      <c r="A215" s="2">
        <v>213</v>
      </c>
      <c r="B215" t="s">
        <v>430</v>
      </c>
      <c r="C215" t="s">
        <v>431</v>
      </c>
      <c r="D215" t="b">
        <v>0</v>
      </c>
      <c r="E215" t="b">
        <v>0</v>
      </c>
      <c r="F215" t="b">
        <v>1</v>
      </c>
      <c r="G215" t="b">
        <v>0</v>
      </c>
      <c r="H215" t="b">
        <v>0</v>
      </c>
    </row>
    <row r="216" spans="1:8" x14ac:dyDescent="0.2">
      <c r="A216" s="2">
        <v>214</v>
      </c>
      <c r="B216" t="s">
        <v>432</v>
      </c>
      <c r="C216" t="s">
        <v>433</v>
      </c>
      <c r="D216" t="b">
        <v>0</v>
      </c>
      <c r="E216" t="b">
        <v>0</v>
      </c>
      <c r="F216" t="b">
        <v>1</v>
      </c>
      <c r="G216" t="b">
        <v>0</v>
      </c>
      <c r="H216" t="b">
        <v>0</v>
      </c>
    </row>
    <row r="217" spans="1:8" x14ac:dyDescent="0.2">
      <c r="A217" s="2">
        <v>215</v>
      </c>
      <c r="B217" t="s">
        <v>434</v>
      </c>
      <c r="C217" t="s">
        <v>435</v>
      </c>
      <c r="D217" t="b">
        <v>0</v>
      </c>
      <c r="E217" t="b">
        <v>0</v>
      </c>
      <c r="F217" t="b">
        <v>1</v>
      </c>
      <c r="G217" t="b">
        <v>0</v>
      </c>
      <c r="H217" t="b">
        <v>1</v>
      </c>
    </row>
    <row r="218" spans="1:8" x14ac:dyDescent="0.2">
      <c r="A218" s="2">
        <v>216</v>
      </c>
      <c r="B218" t="s">
        <v>436</v>
      </c>
      <c r="C218" t="s">
        <v>437</v>
      </c>
      <c r="D218" t="b">
        <v>0</v>
      </c>
      <c r="E218" t="b">
        <v>0</v>
      </c>
      <c r="F218" t="b">
        <v>1</v>
      </c>
      <c r="G218" t="b">
        <v>0</v>
      </c>
      <c r="H218" t="b">
        <v>1</v>
      </c>
    </row>
    <row r="219" spans="1:8" x14ac:dyDescent="0.2">
      <c r="A219" s="2">
        <v>217</v>
      </c>
      <c r="B219" t="s">
        <v>438</v>
      </c>
      <c r="C219" t="s">
        <v>439</v>
      </c>
      <c r="D219" t="b">
        <v>0</v>
      </c>
      <c r="E219" t="b">
        <v>0</v>
      </c>
      <c r="F219" t="b">
        <v>1</v>
      </c>
      <c r="G219" t="b">
        <v>0</v>
      </c>
      <c r="H219" t="b">
        <v>0</v>
      </c>
    </row>
    <row r="220" spans="1:8" x14ac:dyDescent="0.2">
      <c r="A220" s="2">
        <v>218</v>
      </c>
      <c r="B220" t="s">
        <v>440</v>
      </c>
      <c r="C220" t="s">
        <v>160</v>
      </c>
      <c r="D220" t="b">
        <v>0</v>
      </c>
      <c r="E220" t="b">
        <v>1</v>
      </c>
      <c r="F220" t="b">
        <v>1</v>
      </c>
      <c r="G220" t="b">
        <v>0</v>
      </c>
      <c r="H220" t="b">
        <v>0</v>
      </c>
    </row>
    <row r="221" spans="1:8" x14ac:dyDescent="0.2">
      <c r="A221" s="2">
        <v>219</v>
      </c>
      <c r="B221" t="s">
        <v>441</v>
      </c>
      <c r="C221" t="s">
        <v>442</v>
      </c>
      <c r="D221" t="b">
        <v>0</v>
      </c>
      <c r="E221" t="b">
        <v>0</v>
      </c>
      <c r="F221" t="b">
        <v>1</v>
      </c>
      <c r="G221" t="b">
        <v>0</v>
      </c>
      <c r="H221" t="b">
        <v>0</v>
      </c>
    </row>
    <row r="222" spans="1:8" x14ac:dyDescent="0.2">
      <c r="A222" s="2">
        <v>220</v>
      </c>
      <c r="B222" t="s">
        <v>443</v>
      </c>
      <c r="C222" t="s">
        <v>444</v>
      </c>
      <c r="D222" t="b">
        <v>0</v>
      </c>
      <c r="E222" t="b">
        <v>0</v>
      </c>
      <c r="F222" t="b">
        <v>1</v>
      </c>
      <c r="G222" t="b">
        <v>0</v>
      </c>
      <c r="H222" t="b">
        <v>1</v>
      </c>
    </row>
    <row r="223" spans="1:8" x14ac:dyDescent="0.2">
      <c r="A223" s="2">
        <v>221</v>
      </c>
      <c r="B223" t="s">
        <v>445</v>
      </c>
      <c r="C223" t="s">
        <v>446</v>
      </c>
      <c r="D223" t="b">
        <v>0</v>
      </c>
      <c r="E223" t="b">
        <v>1</v>
      </c>
      <c r="F223" t="b">
        <v>1</v>
      </c>
      <c r="G223" t="b">
        <v>0</v>
      </c>
      <c r="H223" t="b">
        <v>0</v>
      </c>
    </row>
    <row r="224" spans="1:8" x14ac:dyDescent="0.2">
      <c r="A224" s="2">
        <v>222</v>
      </c>
      <c r="B224" t="s">
        <v>447</v>
      </c>
      <c r="C224" t="s">
        <v>448</v>
      </c>
      <c r="D224" t="b">
        <v>0</v>
      </c>
      <c r="E224" t="b">
        <v>0</v>
      </c>
      <c r="F224" t="b">
        <v>1</v>
      </c>
      <c r="G224" t="b">
        <v>0</v>
      </c>
      <c r="H224" t="b">
        <v>0</v>
      </c>
    </row>
    <row r="225" spans="1:8" x14ac:dyDescent="0.2">
      <c r="A225" s="2">
        <v>223</v>
      </c>
      <c r="B225" t="s">
        <v>449</v>
      </c>
      <c r="C225" t="s">
        <v>450</v>
      </c>
      <c r="D225" t="b">
        <v>0</v>
      </c>
      <c r="E225" t="b">
        <v>1</v>
      </c>
      <c r="F225" t="b">
        <v>1</v>
      </c>
      <c r="G225" t="b">
        <v>0</v>
      </c>
      <c r="H225" t="b">
        <v>0</v>
      </c>
    </row>
    <row r="226" spans="1:8" x14ac:dyDescent="0.2">
      <c r="A226" s="2">
        <v>224</v>
      </c>
      <c r="B226" t="s">
        <v>451</v>
      </c>
      <c r="C226" t="s">
        <v>452</v>
      </c>
      <c r="D226" t="b">
        <v>0</v>
      </c>
      <c r="E226" t="b">
        <v>0</v>
      </c>
      <c r="F226" t="b">
        <v>1</v>
      </c>
      <c r="G226" t="b">
        <v>0</v>
      </c>
      <c r="H226" t="b">
        <v>0</v>
      </c>
    </row>
    <row r="227" spans="1:8" x14ac:dyDescent="0.2">
      <c r="A227" s="2">
        <v>225</v>
      </c>
      <c r="B227" t="s">
        <v>453</v>
      </c>
      <c r="C227" t="s">
        <v>454</v>
      </c>
      <c r="D227" t="b">
        <v>0</v>
      </c>
      <c r="E227" t="b">
        <v>0</v>
      </c>
      <c r="F227" t="b">
        <v>1</v>
      </c>
      <c r="G227" t="b">
        <v>0</v>
      </c>
      <c r="H227" t="b">
        <v>0</v>
      </c>
    </row>
    <row r="228" spans="1:8" x14ac:dyDescent="0.2">
      <c r="A228" s="2">
        <v>226</v>
      </c>
      <c r="B228" t="s">
        <v>455</v>
      </c>
      <c r="C228" t="s">
        <v>456</v>
      </c>
      <c r="D228" t="b">
        <v>0</v>
      </c>
      <c r="E228" t="b">
        <v>0</v>
      </c>
      <c r="F228" t="b">
        <v>1</v>
      </c>
      <c r="G228" t="b">
        <v>0</v>
      </c>
      <c r="H228" t="b">
        <v>1</v>
      </c>
    </row>
    <row r="229" spans="1:8" x14ac:dyDescent="0.2">
      <c r="A229" s="2">
        <v>227</v>
      </c>
      <c r="B229" t="s">
        <v>457</v>
      </c>
      <c r="C229" t="s">
        <v>458</v>
      </c>
      <c r="D229" t="b">
        <v>0</v>
      </c>
      <c r="E229" t="b">
        <v>0</v>
      </c>
      <c r="F229" t="b">
        <v>1</v>
      </c>
      <c r="G229" t="b">
        <v>0</v>
      </c>
      <c r="H229" t="b">
        <v>0</v>
      </c>
    </row>
    <row r="230" spans="1:8" x14ac:dyDescent="0.2">
      <c r="A230" s="2">
        <v>228</v>
      </c>
      <c r="B230" t="s">
        <v>459</v>
      </c>
      <c r="C230" t="s">
        <v>460</v>
      </c>
      <c r="D230" t="b">
        <v>0</v>
      </c>
      <c r="E230" t="b">
        <v>0</v>
      </c>
      <c r="F230" t="b">
        <v>1</v>
      </c>
      <c r="G230" t="b">
        <v>0</v>
      </c>
      <c r="H230" t="b">
        <v>1</v>
      </c>
    </row>
    <row r="231" spans="1:8" x14ac:dyDescent="0.2">
      <c r="A231" s="2">
        <v>229</v>
      </c>
      <c r="B231" t="s">
        <v>461</v>
      </c>
      <c r="C231" t="s">
        <v>462</v>
      </c>
      <c r="D231" t="b">
        <v>0</v>
      </c>
      <c r="E231" t="b">
        <v>0</v>
      </c>
      <c r="F231" t="b">
        <v>1</v>
      </c>
      <c r="G231" t="b">
        <v>0</v>
      </c>
      <c r="H231" t="b">
        <v>0</v>
      </c>
    </row>
    <row r="232" spans="1:8" x14ac:dyDescent="0.2">
      <c r="A232" s="2">
        <v>230</v>
      </c>
      <c r="B232" t="s">
        <v>463</v>
      </c>
      <c r="C232" t="s">
        <v>464</v>
      </c>
      <c r="D232" t="b">
        <v>0</v>
      </c>
      <c r="E232" t="b">
        <v>0</v>
      </c>
      <c r="F232" t="b">
        <v>1</v>
      </c>
      <c r="G232" t="b">
        <v>0</v>
      </c>
      <c r="H232" t="b">
        <v>0</v>
      </c>
    </row>
    <row r="233" spans="1:8" x14ac:dyDescent="0.2">
      <c r="A233" s="2">
        <v>231</v>
      </c>
      <c r="B233" t="s">
        <v>465</v>
      </c>
      <c r="C233" t="s">
        <v>466</v>
      </c>
      <c r="D233" t="b">
        <v>0</v>
      </c>
      <c r="E233" t="b">
        <v>0</v>
      </c>
      <c r="F233" t="b">
        <v>1</v>
      </c>
      <c r="G233" t="b">
        <v>0</v>
      </c>
      <c r="H233" t="b">
        <v>0</v>
      </c>
    </row>
    <row r="234" spans="1:8" x14ac:dyDescent="0.2">
      <c r="A234" s="2">
        <v>232</v>
      </c>
      <c r="B234" t="s">
        <v>467</v>
      </c>
      <c r="C234" t="s">
        <v>468</v>
      </c>
      <c r="D234" t="b">
        <v>0</v>
      </c>
      <c r="E234" t="b">
        <v>0</v>
      </c>
      <c r="F234" t="b">
        <v>1</v>
      </c>
      <c r="G234" t="b">
        <v>0</v>
      </c>
      <c r="H234" t="b">
        <v>0</v>
      </c>
    </row>
    <row r="235" spans="1:8" x14ac:dyDescent="0.2">
      <c r="A235" s="2">
        <v>233</v>
      </c>
      <c r="B235" t="s">
        <v>469</v>
      </c>
      <c r="C235" t="s">
        <v>470</v>
      </c>
      <c r="D235" t="b">
        <v>0</v>
      </c>
      <c r="E235" t="b">
        <v>1</v>
      </c>
      <c r="F235" t="b">
        <v>1</v>
      </c>
      <c r="G235" t="b">
        <v>0</v>
      </c>
      <c r="H235" t="b">
        <v>0</v>
      </c>
    </row>
    <row r="236" spans="1:8" x14ac:dyDescent="0.2">
      <c r="A236" s="2">
        <v>234</v>
      </c>
      <c r="B236" t="s">
        <v>471</v>
      </c>
      <c r="C236" t="s">
        <v>472</v>
      </c>
      <c r="D236" t="b">
        <v>0</v>
      </c>
      <c r="E236" t="b">
        <v>0</v>
      </c>
      <c r="F236" t="b">
        <v>1</v>
      </c>
      <c r="G236" t="b">
        <v>0</v>
      </c>
      <c r="H236" t="b">
        <v>0</v>
      </c>
    </row>
    <row r="237" spans="1:8" x14ac:dyDescent="0.2">
      <c r="A237" s="2">
        <v>235</v>
      </c>
      <c r="B237" t="s">
        <v>473</v>
      </c>
      <c r="C237" t="s">
        <v>474</v>
      </c>
      <c r="D237" t="b">
        <v>0</v>
      </c>
      <c r="E237" t="b">
        <v>1</v>
      </c>
      <c r="F237" t="b">
        <v>1</v>
      </c>
      <c r="G237" t="b">
        <v>0</v>
      </c>
      <c r="H237" t="b">
        <v>0</v>
      </c>
    </row>
    <row r="238" spans="1:8" x14ac:dyDescent="0.2">
      <c r="A238" s="2">
        <v>236</v>
      </c>
      <c r="B238" t="s">
        <v>475</v>
      </c>
      <c r="C238" t="s">
        <v>476</v>
      </c>
      <c r="D238" t="b">
        <v>0</v>
      </c>
      <c r="E238" t="b">
        <v>0</v>
      </c>
      <c r="F238" t="b">
        <v>1</v>
      </c>
      <c r="G238" t="b">
        <v>0</v>
      </c>
      <c r="H238" t="b">
        <v>0</v>
      </c>
    </row>
    <row r="239" spans="1:8" x14ac:dyDescent="0.2">
      <c r="A239" s="2">
        <v>237</v>
      </c>
      <c r="B239" t="s">
        <v>477</v>
      </c>
      <c r="C239" t="s">
        <v>478</v>
      </c>
      <c r="D239" t="b">
        <v>0</v>
      </c>
      <c r="E239" t="b">
        <v>0</v>
      </c>
      <c r="F239" t="b">
        <v>1</v>
      </c>
      <c r="G239" t="b">
        <v>0</v>
      </c>
      <c r="H239" t="b">
        <v>1</v>
      </c>
    </row>
    <row r="240" spans="1:8" x14ac:dyDescent="0.2">
      <c r="A240" s="2">
        <v>238</v>
      </c>
      <c r="B240" t="s">
        <v>479</v>
      </c>
      <c r="C240" t="s">
        <v>480</v>
      </c>
      <c r="D240" t="b">
        <v>0</v>
      </c>
      <c r="E240" t="b">
        <v>0</v>
      </c>
      <c r="F240" t="b">
        <v>1</v>
      </c>
      <c r="G240" t="b">
        <v>0</v>
      </c>
      <c r="H240" t="b">
        <v>0</v>
      </c>
    </row>
    <row r="241" spans="1:8" x14ac:dyDescent="0.2">
      <c r="A241" s="2">
        <v>239</v>
      </c>
      <c r="B241" t="s">
        <v>481</v>
      </c>
      <c r="C241" t="s">
        <v>482</v>
      </c>
      <c r="D241" t="b">
        <v>0</v>
      </c>
      <c r="E241" t="b">
        <v>0</v>
      </c>
      <c r="F241" t="b">
        <v>1</v>
      </c>
      <c r="G241" t="b">
        <v>0</v>
      </c>
      <c r="H241" t="b">
        <v>0</v>
      </c>
    </row>
    <row r="242" spans="1:8" x14ac:dyDescent="0.2">
      <c r="A242" s="2">
        <v>240</v>
      </c>
      <c r="B242" t="s">
        <v>483</v>
      </c>
      <c r="C242" s="1" t="s">
        <v>484</v>
      </c>
      <c r="D242" t="b">
        <v>0</v>
      </c>
      <c r="E242" t="b">
        <v>0</v>
      </c>
      <c r="F242" t="b">
        <v>1</v>
      </c>
      <c r="G242" t="b">
        <v>0</v>
      </c>
      <c r="H242" t="b">
        <v>0</v>
      </c>
    </row>
    <row r="243" spans="1:8" x14ac:dyDescent="0.2">
      <c r="A243" s="2">
        <v>241</v>
      </c>
      <c r="B243" t="s">
        <v>485</v>
      </c>
      <c r="C243" t="s">
        <v>486</v>
      </c>
      <c r="D243" t="b">
        <v>0</v>
      </c>
      <c r="E243" t="b">
        <v>0</v>
      </c>
      <c r="F243" t="b">
        <v>1</v>
      </c>
      <c r="G243" t="b">
        <v>0</v>
      </c>
      <c r="H243" t="b">
        <v>0</v>
      </c>
    </row>
    <row r="244" spans="1:8" x14ac:dyDescent="0.2">
      <c r="A244" s="2">
        <v>242</v>
      </c>
      <c r="B244" t="s">
        <v>487</v>
      </c>
      <c r="C244" t="s">
        <v>488</v>
      </c>
      <c r="D244" t="b">
        <v>0</v>
      </c>
      <c r="E244" t="b">
        <v>0</v>
      </c>
      <c r="F244" t="b">
        <v>1</v>
      </c>
      <c r="G244" t="b">
        <v>0</v>
      </c>
      <c r="H244" t="b">
        <v>1</v>
      </c>
    </row>
    <row r="245" spans="1:8" x14ac:dyDescent="0.2">
      <c r="A245" s="2">
        <v>243</v>
      </c>
      <c r="B245" t="s">
        <v>489</v>
      </c>
      <c r="C245" t="s">
        <v>490</v>
      </c>
      <c r="D245" t="b">
        <v>0</v>
      </c>
      <c r="E245" t="b">
        <v>1</v>
      </c>
      <c r="F245" t="b">
        <v>1</v>
      </c>
      <c r="G245" t="b">
        <v>0</v>
      </c>
      <c r="H245" t="b">
        <v>0</v>
      </c>
    </row>
    <row r="246" spans="1:8" x14ac:dyDescent="0.2">
      <c r="A246" s="2">
        <v>244</v>
      </c>
      <c r="B246" t="s">
        <v>491</v>
      </c>
      <c r="C246" t="s">
        <v>492</v>
      </c>
      <c r="D246" t="b">
        <v>0</v>
      </c>
      <c r="E246" t="b">
        <v>0</v>
      </c>
      <c r="F246" t="b">
        <v>1</v>
      </c>
      <c r="G246" t="b">
        <v>0</v>
      </c>
      <c r="H246" t="b">
        <v>0</v>
      </c>
    </row>
    <row r="247" spans="1:8" x14ac:dyDescent="0.2">
      <c r="A247" s="2">
        <v>245</v>
      </c>
      <c r="B247" t="s">
        <v>493</v>
      </c>
      <c r="C247" t="s">
        <v>494</v>
      </c>
      <c r="D247" t="b">
        <v>0</v>
      </c>
      <c r="E247" t="b">
        <v>1</v>
      </c>
      <c r="F247" t="b">
        <v>1</v>
      </c>
      <c r="G247" t="b">
        <v>0</v>
      </c>
      <c r="H247" t="b">
        <v>0</v>
      </c>
    </row>
    <row r="248" spans="1:8" x14ac:dyDescent="0.2">
      <c r="A248" s="2">
        <v>246</v>
      </c>
      <c r="B248" t="s">
        <v>495</v>
      </c>
      <c r="C248" t="s">
        <v>496</v>
      </c>
      <c r="D248" t="b">
        <v>0</v>
      </c>
      <c r="E248" t="b">
        <v>0</v>
      </c>
      <c r="F248" t="b">
        <v>1</v>
      </c>
      <c r="G248" t="b">
        <v>0</v>
      </c>
      <c r="H248" t="b">
        <v>0</v>
      </c>
    </row>
    <row r="249" spans="1:8" x14ac:dyDescent="0.2">
      <c r="A249" s="2">
        <v>247</v>
      </c>
      <c r="B249" t="s">
        <v>497</v>
      </c>
      <c r="C249" t="s">
        <v>498</v>
      </c>
      <c r="D249" t="b">
        <v>0</v>
      </c>
      <c r="E249" t="b">
        <v>0</v>
      </c>
      <c r="F249" t="b">
        <v>1</v>
      </c>
      <c r="G249" t="b">
        <v>0</v>
      </c>
      <c r="H249" t="b">
        <v>0</v>
      </c>
    </row>
    <row r="250" spans="1:8" x14ac:dyDescent="0.2">
      <c r="A250" s="2">
        <v>248</v>
      </c>
      <c r="B250" t="s">
        <v>499</v>
      </c>
      <c r="C250" t="s">
        <v>500</v>
      </c>
      <c r="D250" t="b">
        <v>0</v>
      </c>
      <c r="E250" t="b">
        <v>0</v>
      </c>
      <c r="F250" t="b">
        <v>1</v>
      </c>
      <c r="G250" t="b">
        <v>0</v>
      </c>
      <c r="H250" t="b">
        <v>0</v>
      </c>
    </row>
    <row r="251" spans="1:8" x14ac:dyDescent="0.2">
      <c r="A251" s="2">
        <v>249</v>
      </c>
      <c r="B251" t="s">
        <v>501</v>
      </c>
      <c r="C251" t="s">
        <v>502</v>
      </c>
      <c r="D251" t="b">
        <v>0</v>
      </c>
      <c r="E251" t="b">
        <v>0</v>
      </c>
      <c r="F251" t="b">
        <v>1</v>
      </c>
      <c r="G251" t="b">
        <v>0</v>
      </c>
      <c r="H251" t="b">
        <v>0</v>
      </c>
    </row>
    <row r="252" spans="1:8" x14ac:dyDescent="0.2">
      <c r="A252" s="2">
        <v>250</v>
      </c>
      <c r="B252" t="s">
        <v>503</v>
      </c>
      <c r="C252" t="s">
        <v>504</v>
      </c>
      <c r="D252" t="b">
        <v>1</v>
      </c>
      <c r="E252" t="b">
        <v>0</v>
      </c>
      <c r="F252" t="b">
        <v>0</v>
      </c>
      <c r="G252" t="b">
        <v>0</v>
      </c>
      <c r="H252" t="b">
        <v>0</v>
      </c>
    </row>
    <row r="253" spans="1:8" x14ac:dyDescent="0.2">
      <c r="A253" s="2">
        <v>251</v>
      </c>
      <c r="B253" t="s">
        <v>505</v>
      </c>
      <c r="C253" t="s">
        <v>506</v>
      </c>
      <c r="D253" t="b">
        <v>1</v>
      </c>
      <c r="E253" t="b">
        <v>0</v>
      </c>
      <c r="F253" t="b">
        <v>0</v>
      </c>
      <c r="G253" t="b">
        <v>0</v>
      </c>
      <c r="H253" t="b">
        <v>0</v>
      </c>
    </row>
    <row r="254" spans="1:8" x14ac:dyDescent="0.2">
      <c r="A254" s="2">
        <v>252</v>
      </c>
      <c r="B254" t="s">
        <v>507</v>
      </c>
      <c r="C254" t="s">
        <v>160</v>
      </c>
      <c r="D254" t="b">
        <v>0</v>
      </c>
      <c r="E254" t="b">
        <v>1</v>
      </c>
      <c r="F254" t="b">
        <v>1</v>
      </c>
      <c r="G254" t="b">
        <v>0</v>
      </c>
      <c r="H254" t="b">
        <v>0</v>
      </c>
    </row>
    <row r="255" spans="1:8" x14ac:dyDescent="0.2">
      <c r="A255" s="2">
        <v>253</v>
      </c>
      <c r="B255" t="s">
        <v>508</v>
      </c>
      <c r="C255" t="s">
        <v>509</v>
      </c>
      <c r="D255" t="b">
        <v>1</v>
      </c>
      <c r="E255" t="b">
        <v>0</v>
      </c>
      <c r="F255" t="b">
        <v>0</v>
      </c>
      <c r="G255" t="b">
        <v>0</v>
      </c>
      <c r="H255" t="b">
        <v>0</v>
      </c>
    </row>
    <row r="256" spans="1:8" x14ac:dyDescent="0.2">
      <c r="A256" s="2">
        <v>254</v>
      </c>
      <c r="B256" t="s">
        <v>510</v>
      </c>
      <c r="C256" t="s">
        <v>511</v>
      </c>
      <c r="D256" t="b">
        <v>1</v>
      </c>
      <c r="E256" t="b">
        <v>0</v>
      </c>
      <c r="F256" t="b">
        <v>0</v>
      </c>
      <c r="G256" t="b">
        <v>0</v>
      </c>
      <c r="H256" t="b">
        <v>0</v>
      </c>
    </row>
    <row r="257" spans="1:8" x14ac:dyDescent="0.2">
      <c r="A257" s="2">
        <v>255</v>
      </c>
      <c r="B257" t="s">
        <v>512</v>
      </c>
      <c r="C257" t="s">
        <v>513</v>
      </c>
      <c r="D257" t="b">
        <v>1</v>
      </c>
      <c r="E257" t="b">
        <v>0</v>
      </c>
      <c r="F257" t="b">
        <v>0</v>
      </c>
      <c r="G257" t="b">
        <v>1</v>
      </c>
      <c r="H257" t="b">
        <v>0</v>
      </c>
    </row>
    <row r="258" spans="1:8" x14ac:dyDescent="0.2">
      <c r="A258" s="2">
        <v>256</v>
      </c>
      <c r="B258" t="s">
        <v>514</v>
      </c>
      <c r="C258" t="s">
        <v>515</v>
      </c>
      <c r="D258" t="b">
        <v>0</v>
      </c>
      <c r="E258" t="b">
        <v>0</v>
      </c>
      <c r="F258" t="b">
        <v>1</v>
      </c>
      <c r="G258" t="b">
        <v>0</v>
      </c>
      <c r="H258" t="b">
        <v>0</v>
      </c>
    </row>
    <row r="259" spans="1:8" x14ac:dyDescent="0.2">
      <c r="A259" s="2">
        <v>257</v>
      </c>
      <c r="B259" t="s">
        <v>516</v>
      </c>
      <c r="C259" t="s">
        <v>517</v>
      </c>
      <c r="D259" t="b">
        <v>0</v>
      </c>
      <c r="E259" t="b">
        <v>0</v>
      </c>
      <c r="F259" t="b">
        <v>1</v>
      </c>
      <c r="G259" t="b">
        <v>0</v>
      </c>
      <c r="H259" t="b">
        <v>1</v>
      </c>
    </row>
    <row r="260" spans="1:8" x14ac:dyDescent="0.2">
      <c r="A260" s="2">
        <v>258</v>
      </c>
      <c r="B260" t="s">
        <v>518</v>
      </c>
      <c r="C260" t="s">
        <v>519</v>
      </c>
      <c r="D260" t="b">
        <v>0</v>
      </c>
      <c r="E260" t="b">
        <v>0</v>
      </c>
      <c r="F260" t="b">
        <v>1</v>
      </c>
      <c r="G260" t="b">
        <v>0</v>
      </c>
      <c r="H260" t="b">
        <v>0</v>
      </c>
    </row>
    <row r="261" spans="1:8" x14ac:dyDescent="0.2">
      <c r="A261" s="2">
        <v>259</v>
      </c>
      <c r="B261" t="s">
        <v>520</v>
      </c>
      <c r="C261" t="s">
        <v>521</v>
      </c>
      <c r="D261" t="b">
        <v>0</v>
      </c>
      <c r="E261" t="b">
        <v>0</v>
      </c>
      <c r="F261" t="b">
        <v>1</v>
      </c>
      <c r="G261" t="b">
        <v>0</v>
      </c>
      <c r="H261" t="b">
        <v>0</v>
      </c>
    </row>
    <row r="262" spans="1:8" x14ac:dyDescent="0.2">
      <c r="A262" s="2">
        <v>260</v>
      </c>
      <c r="B262" t="s">
        <v>522</v>
      </c>
      <c r="C262" t="s">
        <v>523</v>
      </c>
      <c r="D262" t="b">
        <v>0</v>
      </c>
      <c r="E262" t="b">
        <v>0</v>
      </c>
      <c r="F262" t="b">
        <v>1</v>
      </c>
      <c r="G262" t="b">
        <v>0</v>
      </c>
      <c r="H262" t="b">
        <v>1</v>
      </c>
    </row>
    <row r="263" spans="1:8" x14ac:dyDescent="0.2">
      <c r="A263" s="2">
        <v>261</v>
      </c>
      <c r="B263" t="s">
        <v>524</v>
      </c>
      <c r="C263" t="s">
        <v>525</v>
      </c>
      <c r="D263" t="b">
        <v>1</v>
      </c>
      <c r="E263" t="b">
        <v>0</v>
      </c>
      <c r="F263" t="b">
        <v>0</v>
      </c>
      <c r="G263" t="b">
        <v>0</v>
      </c>
      <c r="H263" t="b">
        <v>0</v>
      </c>
    </row>
    <row r="264" spans="1:8" x14ac:dyDescent="0.2">
      <c r="A264" s="2">
        <v>262</v>
      </c>
      <c r="B264" t="s">
        <v>526</v>
      </c>
      <c r="C264" t="s">
        <v>527</v>
      </c>
      <c r="D264" t="b">
        <v>1</v>
      </c>
      <c r="E264" t="b">
        <v>0</v>
      </c>
      <c r="F264" t="b">
        <v>0</v>
      </c>
      <c r="G264" t="b">
        <v>0</v>
      </c>
      <c r="H264" t="b">
        <v>0</v>
      </c>
    </row>
    <row r="265" spans="1:8" x14ac:dyDescent="0.2">
      <c r="A265" s="2">
        <v>263</v>
      </c>
      <c r="B265" t="s">
        <v>528</v>
      </c>
      <c r="C265" t="s">
        <v>529</v>
      </c>
      <c r="D265" t="b">
        <v>1</v>
      </c>
      <c r="E265" t="b">
        <v>0</v>
      </c>
      <c r="F265" t="b">
        <v>0</v>
      </c>
      <c r="G265" t="b">
        <v>0</v>
      </c>
      <c r="H265" t="b">
        <v>0</v>
      </c>
    </row>
    <row r="266" spans="1:8" x14ac:dyDescent="0.2">
      <c r="A266" s="2">
        <v>264</v>
      </c>
      <c r="B266" t="s">
        <v>530</v>
      </c>
      <c r="C266" t="s">
        <v>531</v>
      </c>
      <c r="D266" t="b">
        <v>1</v>
      </c>
      <c r="E266" t="b">
        <v>0</v>
      </c>
      <c r="F266" t="b">
        <v>0</v>
      </c>
      <c r="G266" t="b">
        <v>0</v>
      </c>
      <c r="H266" t="b">
        <v>0</v>
      </c>
    </row>
    <row r="267" spans="1:8" x14ac:dyDescent="0.2">
      <c r="A267" s="2">
        <v>265</v>
      </c>
      <c r="B267" t="s">
        <v>539</v>
      </c>
      <c r="C267" t="s">
        <v>540</v>
      </c>
      <c r="D267" t="b">
        <v>0</v>
      </c>
      <c r="E267" t="b">
        <v>0</v>
      </c>
      <c r="F267" t="b">
        <v>1</v>
      </c>
      <c r="G267" t="b">
        <v>0</v>
      </c>
      <c r="H267" t="b">
        <v>1</v>
      </c>
    </row>
    <row r="268" spans="1:8" x14ac:dyDescent="0.2">
      <c r="A268" s="2">
        <v>266</v>
      </c>
      <c r="B268" t="s">
        <v>541</v>
      </c>
      <c r="C268" t="s">
        <v>542</v>
      </c>
      <c r="D268" t="b">
        <v>0</v>
      </c>
      <c r="E268" t="b">
        <v>0</v>
      </c>
      <c r="F268" t="b">
        <v>1</v>
      </c>
      <c r="G268" t="b">
        <v>0</v>
      </c>
      <c r="H268" t="b">
        <v>1</v>
      </c>
    </row>
    <row r="269" spans="1:8" x14ac:dyDescent="0.2">
      <c r="A269" s="2">
        <v>267</v>
      </c>
      <c r="B269" t="s">
        <v>543</v>
      </c>
      <c r="C269" t="s">
        <v>544</v>
      </c>
      <c r="D269" t="b">
        <v>0</v>
      </c>
      <c r="E269" t="b">
        <v>0</v>
      </c>
      <c r="F269" t="b">
        <v>1</v>
      </c>
      <c r="G269" t="b">
        <v>0</v>
      </c>
      <c r="H269" t="b">
        <v>1</v>
      </c>
    </row>
    <row r="270" spans="1:8" x14ac:dyDescent="0.2">
      <c r="A270" s="2">
        <v>268</v>
      </c>
      <c r="B270" t="s">
        <v>545</v>
      </c>
      <c r="C270" t="s">
        <v>546</v>
      </c>
      <c r="D270" t="b">
        <v>0</v>
      </c>
      <c r="E270" t="b">
        <v>0</v>
      </c>
      <c r="F270" t="b">
        <v>1</v>
      </c>
      <c r="G270" t="b">
        <v>0</v>
      </c>
      <c r="H270" t="b">
        <v>1</v>
      </c>
    </row>
    <row r="271" spans="1:8" x14ac:dyDescent="0.2">
      <c r="A271" s="2">
        <v>269</v>
      </c>
      <c r="B271" t="s">
        <v>547</v>
      </c>
      <c r="C271" t="s">
        <v>548</v>
      </c>
      <c r="D271" t="b">
        <v>1</v>
      </c>
      <c r="E271" t="b">
        <v>0</v>
      </c>
      <c r="F271" t="b">
        <v>0</v>
      </c>
      <c r="G271" t="b">
        <v>0</v>
      </c>
      <c r="H271" t="b">
        <v>0</v>
      </c>
    </row>
    <row r="272" spans="1:8" x14ac:dyDescent="0.2">
      <c r="A272" s="2">
        <v>270</v>
      </c>
      <c r="B272" t="s">
        <v>549</v>
      </c>
      <c r="C272" t="s">
        <v>550</v>
      </c>
      <c r="D272" t="b">
        <v>1</v>
      </c>
      <c r="E272" t="b">
        <v>0</v>
      </c>
      <c r="F272" t="b">
        <v>0</v>
      </c>
      <c r="G272" t="b">
        <v>0</v>
      </c>
      <c r="H272" t="b">
        <v>0</v>
      </c>
    </row>
    <row r="273" spans="1:8" x14ac:dyDescent="0.2">
      <c r="A273" s="2">
        <v>271</v>
      </c>
      <c r="B273" t="s">
        <v>551</v>
      </c>
      <c r="C273" t="s">
        <v>552</v>
      </c>
      <c r="D273" t="b">
        <v>1</v>
      </c>
      <c r="E273" t="b">
        <v>0</v>
      </c>
      <c r="F273" t="b">
        <v>0</v>
      </c>
      <c r="G273" t="b">
        <v>0</v>
      </c>
      <c r="H273" t="b">
        <v>0</v>
      </c>
    </row>
    <row r="274" spans="1:8" x14ac:dyDescent="0.2">
      <c r="A274" s="2">
        <v>272</v>
      </c>
      <c r="B274" t="s">
        <v>553</v>
      </c>
      <c r="C274" t="s">
        <v>554</v>
      </c>
      <c r="D274" t="b">
        <v>1</v>
      </c>
      <c r="E274" t="b">
        <v>0</v>
      </c>
      <c r="F274" t="b">
        <v>0</v>
      </c>
      <c r="G274" t="b">
        <v>1</v>
      </c>
      <c r="H274" t="b">
        <v>0</v>
      </c>
    </row>
    <row r="275" spans="1:8" x14ac:dyDescent="0.2">
      <c r="A275" s="2">
        <v>273</v>
      </c>
      <c r="B275" t="s">
        <v>555</v>
      </c>
      <c r="C275" t="s">
        <v>556</v>
      </c>
      <c r="D275" t="b">
        <v>0</v>
      </c>
      <c r="E275" t="b">
        <v>0</v>
      </c>
      <c r="F275" t="b">
        <v>1</v>
      </c>
      <c r="G275" t="b">
        <v>0</v>
      </c>
      <c r="H275" t="b">
        <v>0</v>
      </c>
    </row>
    <row r="276" spans="1:8" x14ac:dyDescent="0.2">
      <c r="A276" s="2">
        <v>274</v>
      </c>
      <c r="B276" t="s">
        <v>557</v>
      </c>
      <c r="C276" t="s">
        <v>558</v>
      </c>
      <c r="D276" t="b">
        <v>0</v>
      </c>
      <c r="E276" t="b">
        <v>0</v>
      </c>
      <c r="F276" t="b">
        <v>1</v>
      </c>
      <c r="G276" t="b">
        <v>0</v>
      </c>
      <c r="H276" t="b">
        <v>1</v>
      </c>
    </row>
    <row r="277" spans="1:8" x14ac:dyDescent="0.2">
      <c r="A277" s="2">
        <v>275</v>
      </c>
      <c r="B277" t="s">
        <v>559</v>
      </c>
      <c r="C277" t="s">
        <v>560</v>
      </c>
      <c r="D277" t="b">
        <v>1</v>
      </c>
      <c r="E277" t="b">
        <v>0</v>
      </c>
      <c r="F277" t="b">
        <v>0</v>
      </c>
      <c r="G277" t="b">
        <v>1</v>
      </c>
      <c r="H277" t="b">
        <v>0</v>
      </c>
    </row>
    <row r="278" spans="1:8" x14ac:dyDescent="0.2">
      <c r="A278" s="2">
        <v>276</v>
      </c>
      <c r="B278" t="s">
        <v>561</v>
      </c>
      <c r="C278" t="s">
        <v>562</v>
      </c>
      <c r="D278" t="b">
        <v>0</v>
      </c>
      <c r="E278" t="b">
        <v>0</v>
      </c>
      <c r="F278" t="b">
        <v>1</v>
      </c>
      <c r="G278" t="b">
        <v>0</v>
      </c>
      <c r="H278" t="b">
        <v>0</v>
      </c>
    </row>
    <row r="279" spans="1:8" x14ac:dyDescent="0.2">
      <c r="A279" s="2">
        <v>277</v>
      </c>
      <c r="B279" t="s">
        <v>563</v>
      </c>
      <c r="C279" t="s">
        <v>564</v>
      </c>
      <c r="D279" t="b">
        <v>1</v>
      </c>
      <c r="E279" t="b">
        <v>0</v>
      </c>
      <c r="F279" t="b">
        <v>0</v>
      </c>
      <c r="G279" t="b">
        <v>1</v>
      </c>
      <c r="H279" t="b">
        <v>0</v>
      </c>
    </row>
    <row r="280" spans="1:8" x14ac:dyDescent="0.2">
      <c r="A280" s="2">
        <v>278</v>
      </c>
      <c r="B280" t="s">
        <v>565</v>
      </c>
      <c r="C280" t="s">
        <v>566</v>
      </c>
      <c r="D280" t="b">
        <v>0</v>
      </c>
      <c r="E280" t="b">
        <v>1</v>
      </c>
      <c r="F280" t="b">
        <v>1</v>
      </c>
      <c r="G280" t="b">
        <v>0</v>
      </c>
      <c r="H280" t="b">
        <v>0</v>
      </c>
    </row>
    <row r="281" spans="1:8" x14ac:dyDescent="0.2">
      <c r="A281" s="2">
        <v>279</v>
      </c>
      <c r="B281" t="s">
        <v>567</v>
      </c>
      <c r="C281" t="s">
        <v>568</v>
      </c>
      <c r="D281" t="b">
        <v>0</v>
      </c>
      <c r="E281" t="b">
        <v>0</v>
      </c>
      <c r="F281" t="b">
        <v>1</v>
      </c>
      <c r="G281" t="b">
        <v>0</v>
      </c>
      <c r="H281" t="b">
        <v>1</v>
      </c>
    </row>
    <row r="282" spans="1:8" x14ac:dyDescent="0.2">
      <c r="A282" s="2">
        <v>280</v>
      </c>
      <c r="B282" t="s">
        <v>569</v>
      </c>
      <c r="C282" t="s">
        <v>570</v>
      </c>
      <c r="D282" t="b">
        <v>0</v>
      </c>
      <c r="E282" t="b">
        <v>0</v>
      </c>
      <c r="F282" t="b">
        <v>1</v>
      </c>
      <c r="G282" t="b">
        <v>0</v>
      </c>
      <c r="H282" t="b">
        <v>1</v>
      </c>
    </row>
    <row r="283" spans="1:8" x14ac:dyDescent="0.2">
      <c r="A283" s="2">
        <v>281</v>
      </c>
      <c r="B283" t="s">
        <v>571</v>
      </c>
      <c r="C283" t="s">
        <v>572</v>
      </c>
      <c r="D283" t="b">
        <v>0</v>
      </c>
      <c r="E283" t="b">
        <v>0</v>
      </c>
      <c r="F283" t="b">
        <v>1</v>
      </c>
      <c r="G283" t="b">
        <v>0</v>
      </c>
      <c r="H283" t="b">
        <v>1</v>
      </c>
    </row>
    <row r="284" spans="1:8" x14ac:dyDescent="0.2">
      <c r="A284" s="2">
        <v>282</v>
      </c>
      <c r="B284" t="s">
        <v>573</v>
      </c>
      <c r="C284" t="s">
        <v>574</v>
      </c>
      <c r="D284" t="b">
        <v>0</v>
      </c>
      <c r="E284" t="b">
        <v>0</v>
      </c>
      <c r="F284" t="b">
        <v>1</v>
      </c>
      <c r="G284" t="b">
        <v>0</v>
      </c>
      <c r="H284" t="b">
        <v>0</v>
      </c>
    </row>
    <row r="285" spans="1:8" x14ac:dyDescent="0.2">
      <c r="A285" s="2">
        <v>283</v>
      </c>
      <c r="B285" t="s">
        <v>575</v>
      </c>
      <c r="C285" t="s">
        <v>576</v>
      </c>
      <c r="D285" t="b">
        <v>0</v>
      </c>
      <c r="E285" t="b">
        <v>0</v>
      </c>
      <c r="F285" t="b">
        <v>1</v>
      </c>
      <c r="G285" t="b">
        <v>0</v>
      </c>
      <c r="H285" t="b">
        <v>0</v>
      </c>
    </row>
    <row r="286" spans="1:8" x14ac:dyDescent="0.2">
      <c r="A286" s="2">
        <v>284</v>
      </c>
      <c r="B286" t="s">
        <v>577</v>
      </c>
      <c r="C286" t="s">
        <v>578</v>
      </c>
      <c r="D286" t="b">
        <v>0</v>
      </c>
      <c r="E286" t="b">
        <v>0</v>
      </c>
      <c r="F286" t="b">
        <v>1</v>
      </c>
      <c r="G286" t="b">
        <v>0</v>
      </c>
      <c r="H286" t="b">
        <v>0</v>
      </c>
    </row>
    <row r="287" spans="1:8" x14ac:dyDescent="0.2">
      <c r="A287" s="2">
        <v>285</v>
      </c>
      <c r="B287" t="s">
        <v>579</v>
      </c>
      <c r="C287" t="s">
        <v>580</v>
      </c>
      <c r="D287" t="b">
        <v>0</v>
      </c>
      <c r="E287" t="b">
        <v>0</v>
      </c>
      <c r="F287" t="b">
        <v>1</v>
      </c>
      <c r="G287" t="b">
        <v>0</v>
      </c>
      <c r="H287" t="b">
        <v>0</v>
      </c>
    </row>
    <row r="288" spans="1:8" x14ac:dyDescent="0.2">
      <c r="A288" s="2">
        <v>286</v>
      </c>
      <c r="B288" t="s">
        <v>581</v>
      </c>
      <c r="C288" t="s">
        <v>582</v>
      </c>
      <c r="D288" t="b">
        <v>0</v>
      </c>
      <c r="E288" t="b">
        <v>1</v>
      </c>
      <c r="F288" t="b">
        <v>1</v>
      </c>
      <c r="G288" t="b">
        <v>0</v>
      </c>
      <c r="H288" t="b">
        <v>0</v>
      </c>
    </row>
    <row r="289" spans="1:8" x14ac:dyDescent="0.2">
      <c r="A289" s="2">
        <v>287</v>
      </c>
      <c r="B289" t="s">
        <v>583</v>
      </c>
      <c r="C289" t="s">
        <v>160</v>
      </c>
      <c r="D289" t="b">
        <v>0</v>
      </c>
      <c r="E289" t="b">
        <v>1</v>
      </c>
      <c r="F289" t="b">
        <v>1</v>
      </c>
      <c r="G289" t="b">
        <v>0</v>
      </c>
      <c r="H289" t="b">
        <v>0</v>
      </c>
    </row>
    <row r="290" spans="1:8" x14ac:dyDescent="0.2">
      <c r="A290" s="2">
        <v>288</v>
      </c>
      <c r="B290" t="s">
        <v>584</v>
      </c>
      <c r="C290" t="s">
        <v>585</v>
      </c>
      <c r="D290" t="b">
        <v>0</v>
      </c>
      <c r="E290" t="b">
        <v>0</v>
      </c>
      <c r="F290" t="b">
        <v>1</v>
      </c>
      <c r="G290" t="b">
        <v>0</v>
      </c>
      <c r="H290" t="b">
        <v>0</v>
      </c>
    </row>
    <row r="291" spans="1:8" x14ac:dyDescent="0.2">
      <c r="A291" s="2">
        <v>289</v>
      </c>
      <c r="B291" t="s">
        <v>586</v>
      </c>
      <c r="C291" t="s">
        <v>587</v>
      </c>
      <c r="D291" t="b">
        <v>0</v>
      </c>
      <c r="E291" t="b">
        <v>0</v>
      </c>
      <c r="F291" t="b">
        <v>1</v>
      </c>
      <c r="G291" t="b">
        <v>0</v>
      </c>
      <c r="H291" t="b">
        <v>0</v>
      </c>
    </row>
    <row r="292" spans="1:8" x14ac:dyDescent="0.2">
      <c r="A292" s="2">
        <v>290</v>
      </c>
      <c r="B292" t="s">
        <v>588</v>
      </c>
      <c r="C292" t="s">
        <v>589</v>
      </c>
      <c r="D292" t="b">
        <v>0</v>
      </c>
      <c r="E292" t="b">
        <v>0</v>
      </c>
      <c r="F292" t="b">
        <v>1</v>
      </c>
      <c r="G292" t="b">
        <v>0</v>
      </c>
      <c r="H292" t="b">
        <v>0</v>
      </c>
    </row>
    <row r="293" spans="1:8" x14ac:dyDescent="0.2">
      <c r="A293" s="2">
        <v>291</v>
      </c>
      <c r="B293" t="s">
        <v>590</v>
      </c>
      <c r="C293" t="s">
        <v>591</v>
      </c>
      <c r="D293" t="b">
        <v>0</v>
      </c>
      <c r="E293" t="b">
        <v>0</v>
      </c>
      <c r="F293" t="b">
        <v>1</v>
      </c>
      <c r="G293" t="b">
        <v>0</v>
      </c>
      <c r="H293" t="b">
        <v>0</v>
      </c>
    </row>
    <row r="294" spans="1:8" x14ac:dyDescent="0.2">
      <c r="A294" s="2">
        <v>292</v>
      </c>
      <c r="B294" t="s">
        <v>592</v>
      </c>
      <c r="C294" t="s">
        <v>593</v>
      </c>
      <c r="D294" t="b">
        <v>0</v>
      </c>
      <c r="E294" t="b">
        <v>0</v>
      </c>
      <c r="F294" t="b">
        <v>1</v>
      </c>
      <c r="G294" t="b">
        <v>0</v>
      </c>
      <c r="H294" t="b">
        <v>0</v>
      </c>
    </row>
    <row r="295" spans="1:8" x14ac:dyDescent="0.2">
      <c r="A295" s="2">
        <v>293</v>
      </c>
      <c r="B295" t="s">
        <v>594</v>
      </c>
      <c r="C295" t="s">
        <v>160</v>
      </c>
      <c r="D295" t="b">
        <v>0</v>
      </c>
      <c r="E295" t="b">
        <v>1</v>
      </c>
      <c r="F295" t="b">
        <v>1</v>
      </c>
      <c r="G295" t="b">
        <v>0</v>
      </c>
      <c r="H295" t="b">
        <v>0</v>
      </c>
    </row>
    <row r="296" spans="1:8" x14ac:dyDescent="0.2">
      <c r="A296" s="2">
        <v>294</v>
      </c>
      <c r="B296" t="s">
        <v>595</v>
      </c>
      <c r="C296" t="s">
        <v>596</v>
      </c>
      <c r="D296" t="b">
        <v>0</v>
      </c>
      <c r="E296" t="b">
        <v>0</v>
      </c>
      <c r="F296" t="b">
        <v>1</v>
      </c>
      <c r="G296" t="b">
        <v>0</v>
      </c>
      <c r="H296" t="b">
        <v>0</v>
      </c>
    </row>
    <row r="297" spans="1:8" x14ac:dyDescent="0.2">
      <c r="A297" s="2">
        <v>295</v>
      </c>
      <c r="B297" t="s">
        <v>597</v>
      </c>
      <c r="C297" t="s">
        <v>160</v>
      </c>
      <c r="D297" t="b">
        <v>0</v>
      </c>
      <c r="E297" t="b">
        <v>1</v>
      </c>
      <c r="F297" t="b">
        <v>1</v>
      </c>
      <c r="G297" t="b">
        <v>0</v>
      </c>
      <c r="H297" t="b">
        <v>0</v>
      </c>
    </row>
    <row r="298" spans="1:8" x14ac:dyDescent="0.2">
      <c r="A298" s="2">
        <v>296</v>
      </c>
      <c r="B298" t="s">
        <v>598</v>
      </c>
      <c r="C298" t="s">
        <v>599</v>
      </c>
      <c r="D298" t="b">
        <v>0</v>
      </c>
      <c r="E298" t="b">
        <v>0</v>
      </c>
      <c r="F298" t="b">
        <v>1</v>
      </c>
      <c r="G298" t="b">
        <v>0</v>
      </c>
      <c r="H298" t="b">
        <v>1</v>
      </c>
    </row>
    <row r="299" spans="1:8" x14ac:dyDescent="0.2">
      <c r="A299" s="2">
        <v>297</v>
      </c>
      <c r="B299" t="s">
        <v>600</v>
      </c>
      <c r="C299" t="s">
        <v>601</v>
      </c>
      <c r="D299" t="b">
        <v>0</v>
      </c>
      <c r="E299" t="b">
        <v>0</v>
      </c>
      <c r="F299" t="b">
        <v>1</v>
      </c>
      <c r="G299" t="b">
        <v>0</v>
      </c>
      <c r="H299" t="b">
        <v>1</v>
      </c>
    </row>
    <row r="300" spans="1:8" x14ac:dyDescent="0.2">
      <c r="A300" s="2">
        <v>298</v>
      </c>
      <c r="B300" t="s">
        <v>613</v>
      </c>
      <c r="C300" t="s">
        <v>614</v>
      </c>
      <c r="D300" t="b">
        <v>0</v>
      </c>
      <c r="E300" t="b">
        <v>0</v>
      </c>
      <c r="F300" t="b">
        <v>1</v>
      </c>
      <c r="G300" t="b">
        <v>0</v>
      </c>
      <c r="H300" t="b">
        <v>1</v>
      </c>
    </row>
    <row r="301" spans="1:8" x14ac:dyDescent="0.2">
      <c r="A301" s="2">
        <v>299</v>
      </c>
      <c r="B301" t="s">
        <v>615</v>
      </c>
      <c r="C301" t="s">
        <v>616</v>
      </c>
      <c r="D301" t="b">
        <v>1</v>
      </c>
      <c r="E301" t="b">
        <v>0</v>
      </c>
      <c r="F301" t="b">
        <v>0</v>
      </c>
      <c r="G301" t="b">
        <v>1</v>
      </c>
      <c r="H301" t="b">
        <v>1</v>
      </c>
    </row>
    <row r="302" spans="1:8" x14ac:dyDescent="0.2">
      <c r="A302" s="2">
        <v>300</v>
      </c>
      <c r="B302" t="s">
        <v>617</v>
      </c>
      <c r="C302" t="s">
        <v>160</v>
      </c>
      <c r="D302" t="b">
        <v>0</v>
      </c>
      <c r="E302" t="b">
        <v>1</v>
      </c>
      <c r="F302" t="b">
        <v>1</v>
      </c>
      <c r="G302" t="b">
        <v>0</v>
      </c>
      <c r="H302" t="b">
        <v>0</v>
      </c>
    </row>
    <row r="303" spans="1:8" x14ac:dyDescent="0.2">
      <c r="A303" s="2">
        <v>301</v>
      </c>
      <c r="B303" t="s">
        <v>618</v>
      </c>
      <c r="C303" t="s">
        <v>619</v>
      </c>
      <c r="D303" t="b">
        <v>0</v>
      </c>
      <c r="E303" t="b">
        <v>0</v>
      </c>
      <c r="F303" t="b">
        <v>1</v>
      </c>
      <c r="G303" t="b">
        <v>0</v>
      </c>
      <c r="H303" t="b">
        <v>0</v>
      </c>
    </row>
    <row r="304" spans="1:8" x14ac:dyDescent="0.2">
      <c r="A304" s="2">
        <v>302</v>
      </c>
      <c r="B304" t="s">
        <v>620</v>
      </c>
      <c r="C304" s="1" t="s">
        <v>621</v>
      </c>
      <c r="D304" t="b">
        <v>0</v>
      </c>
      <c r="E304" t="b">
        <v>0</v>
      </c>
      <c r="F304" t="b">
        <v>1</v>
      </c>
      <c r="G304" t="b">
        <v>0</v>
      </c>
      <c r="H304" t="b">
        <v>0</v>
      </c>
    </row>
    <row r="305" spans="1:8" x14ac:dyDescent="0.2">
      <c r="A305" s="2">
        <v>303</v>
      </c>
      <c r="B305" t="s">
        <v>622</v>
      </c>
      <c r="C305" t="s">
        <v>623</v>
      </c>
      <c r="D305" t="b">
        <v>0</v>
      </c>
      <c r="E305" t="b">
        <v>0</v>
      </c>
      <c r="F305" t="b">
        <v>1</v>
      </c>
      <c r="G305" t="b">
        <v>0</v>
      </c>
      <c r="H305" t="b">
        <v>0</v>
      </c>
    </row>
    <row r="306" spans="1:8" x14ac:dyDescent="0.2">
      <c r="A306" s="2">
        <v>304</v>
      </c>
      <c r="B306" t="s">
        <v>624</v>
      </c>
      <c r="C306" t="s">
        <v>625</v>
      </c>
      <c r="D306" t="b">
        <v>0</v>
      </c>
      <c r="E306" t="b">
        <v>0</v>
      </c>
      <c r="F306" t="b">
        <v>1</v>
      </c>
      <c r="G306" t="b">
        <v>0</v>
      </c>
      <c r="H306" t="b">
        <v>0</v>
      </c>
    </row>
    <row r="307" spans="1:8" x14ac:dyDescent="0.2">
      <c r="A307" s="2">
        <v>305</v>
      </c>
      <c r="B307" t="s">
        <v>626</v>
      </c>
      <c r="C307" t="s">
        <v>627</v>
      </c>
      <c r="D307" t="b">
        <v>0</v>
      </c>
      <c r="E307" t="b">
        <v>0</v>
      </c>
      <c r="F307" t="b">
        <v>1</v>
      </c>
      <c r="G307" t="b">
        <v>0</v>
      </c>
      <c r="H307" t="b">
        <v>1</v>
      </c>
    </row>
    <row r="308" spans="1:8" x14ac:dyDescent="0.2">
      <c r="A308" s="2">
        <v>306</v>
      </c>
      <c r="B308" t="s">
        <v>628</v>
      </c>
      <c r="C308" t="s">
        <v>629</v>
      </c>
      <c r="D308" t="b">
        <v>0</v>
      </c>
      <c r="E308" t="b">
        <v>0</v>
      </c>
      <c r="F308" t="b">
        <v>1</v>
      </c>
      <c r="G308" t="b">
        <v>0</v>
      </c>
      <c r="H308" t="b">
        <v>1</v>
      </c>
    </row>
    <row r="309" spans="1:8" x14ac:dyDescent="0.2">
      <c r="A309" s="2">
        <v>307</v>
      </c>
      <c r="B309" t="s">
        <v>630</v>
      </c>
      <c r="C309" t="s">
        <v>631</v>
      </c>
      <c r="D309" t="b">
        <v>0</v>
      </c>
      <c r="E309" t="b">
        <v>0</v>
      </c>
      <c r="F309" t="b">
        <v>1</v>
      </c>
      <c r="G309" t="b">
        <v>0</v>
      </c>
      <c r="H309" t="b">
        <v>0</v>
      </c>
    </row>
    <row r="310" spans="1:8" x14ac:dyDescent="0.2">
      <c r="A310" s="2">
        <v>308</v>
      </c>
      <c r="B310" t="s">
        <v>632</v>
      </c>
      <c r="C310" t="s">
        <v>633</v>
      </c>
      <c r="D310" t="b">
        <v>0</v>
      </c>
      <c r="E310" t="b">
        <v>0</v>
      </c>
      <c r="F310" t="b">
        <v>1</v>
      </c>
      <c r="G310" t="b">
        <v>0</v>
      </c>
      <c r="H310" t="b">
        <v>0</v>
      </c>
    </row>
    <row r="311" spans="1:8" x14ac:dyDescent="0.2">
      <c r="A311" s="2">
        <v>309</v>
      </c>
      <c r="B311" t="s">
        <v>634</v>
      </c>
      <c r="C311" t="s">
        <v>635</v>
      </c>
      <c r="D311" t="b">
        <v>0</v>
      </c>
      <c r="E311" t="b">
        <v>0</v>
      </c>
      <c r="F311" t="b">
        <v>1</v>
      </c>
      <c r="G311" t="b">
        <v>0</v>
      </c>
      <c r="H311" t="b">
        <v>0</v>
      </c>
    </row>
    <row r="312" spans="1:8" x14ac:dyDescent="0.2">
      <c r="A312" s="2">
        <v>310</v>
      </c>
      <c r="B312" t="s">
        <v>636</v>
      </c>
      <c r="C312" t="s">
        <v>637</v>
      </c>
      <c r="D312" t="b">
        <v>0</v>
      </c>
      <c r="E312" t="b">
        <v>0</v>
      </c>
      <c r="F312" t="b">
        <v>1</v>
      </c>
      <c r="G312" t="b">
        <v>0</v>
      </c>
      <c r="H312" t="b">
        <v>0</v>
      </c>
    </row>
    <row r="313" spans="1:8" x14ac:dyDescent="0.2">
      <c r="A313" s="2">
        <v>311</v>
      </c>
      <c r="B313" t="s">
        <v>638</v>
      </c>
      <c r="C313" t="s">
        <v>639</v>
      </c>
      <c r="D313" t="b">
        <v>0</v>
      </c>
      <c r="E313" t="b">
        <v>0</v>
      </c>
      <c r="F313" t="b">
        <v>1</v>
      </c>
      <c r="G313" t="b">
        <v>0</v>
      </c>
      <c r="H313" t="b">
        <v>0</v>
      </c>
    </row>
    <row r="314" spans="1:8" x14ac:dyDescent="0.2">
      <c r="A314" s="2">
        <v>312</v>
      </c>
      <c r="B314" t="s">
        <v>640</v>
      </c>
      <c r="C314" t="s">
        <v>641</v>
      </c>
      <c r="D314" t="b">
        <v>0</v>
      </c>
      <c r="E314" t="b">
        <v>0</v>
      </c>
      <c r="F314" t="b">
        <v>1</v>
      </c>
      <c r="G314" t="b">
        <v>0</v>
      </c>
      <c r="H314" t="b">
        <v>0</v>
      </c>
    </row>
    <row r="315" spans="1:8" x14ac:dyDescent="0.2">
      <c r="A315" s="2">
        <v>313</v>
      </c>
      <c r="B315" t="s">
        <v>642</v>
      </c>
      <c r="C315" t="s">
        <v>643</v>
      </c>
      <c r="D315" t="b">
        <v>0</v>
      </c>
      <c r="E315" t="b">
        <v>0</v>
      </c>
      <c r="F315" t="b">
        <v>1</v>
      </c>
      <c r="G315" t="b">
        <v>0</v>
      </c>
      <c r="H315" t="b">
        <v>1</v>
      </c>
    </row>
    <row r="316" spans="1:8" x14ac:dyDescent="0.2">
      <c r="A316" s="2">
        <v>314</v>
      </c>
      <c r="B316" t="s">
        <v>644</v>
      </c>
      <c r="C316" t="s">
        <v>645</v>
      </c>
      <c r="D316" t="b">
        <v>0</v>
      </c>
      <c r="E316" t="b">
        <v>0</v>
      </c>
      <c r="F316" t="b">
        <v>1</v>
      </c>
      <c r="G316" t="b">
        <v>0</v>
      </c>
      <c r="H316" t="b">
        <v>0</v>
      </c>
    </row>
    <row r="317" spans="1:8" x14ac:dyDescent="0.2">
      <c r="A317" s="2">
        <v>315</v>
      </c>
      <c r="B317" t="s">
        <v>646</v>
      </c>
      <c r="C317" t="s">
        <v>647</v>
      </c>
      <c r="D317" t="b">
        <v>0</v>
      </c>
      <c r="E317" t="b">
        <v>0</v>
      </c>
      <c r="F317" t="b">
        <v>1</v>
      </c>
      <c r="G317" t="b">
        <v>0</v>
      </c>
      <c r="H317" t="b">
        <v>0</v>
      </c>
    </row>
    <row r="318" spans="1:8" x14ac:dyDescent="0.2">
      <c r="A318" s="2">
        <v>316</v>
      </c>
      <c r="B318" t="s">
        <v>648</v>
      </c>
      <c r="C318" t="s">
        <v>649</v>
      </c>
      <c r="D318" t="b">
        <v>0</v>
      </c>
      <c r="E318" t="b">
        <v>0</v>
      </c>
      <c r="F318" t="b">
        <v>1</v>
      </c>
      <c r="G318" t="b">
        <v>0</v>
      </c>
      <c r="H318" t="b">
        <v>0</v>
      </c>
    </row>
    <row r="319" spans="1:8" x14ac:dyDescent="0.2">
      <c r="A319" s="2">
        <v>317</v>
      </c>
      <c r="B319" t="s">
        <v>650</v>
      </c>
      <c r="C319" t="s">
        <v>651</v>
      </c>
      <c r="D319" t="b">
        <v>0</v>
      </c>
      <c r="E319" t="b">
        <v>0</v>
      </c>
      <c r="F319" t="b">
        <v>1</v>
      </c>
      <c r="G319" t="b">
        <v>0</v>
      </c>
      <c r="H319" t="b">
        <v>0</v>
      </c>
    </row>
    <row r="320" spans="1:8" x14ac:dyDescent="0.2">
      <c r="A320" s="2">
        <v>318</v>
      </c>
      <c r="B320" t="s">
        <v>652</v>
      </c>
      <c r="C320" t="s">
        <v>653</v>
      </c>
      <c r="D320" t="b">
        <v>0</v>
      </c>
      <c r="E320" t="b">
        <v>0</v>
      </c>
      <c r="F320" t="b">
        <v>1</v>
      </c>
      <c r="G320" t="b">
        <v>0</v>
      </c>
      <c r="H320" t="b">
        <v>1</v>
      </c>
    </row>
    <row r="321" spans="1:8" x14ac:dyDescent="0.2">
      <c r="A321" s="2">
        <v>319</v>
      </c>
      <c r="B321" t="s">
        <v>654</v>
      </c>
      <c r="C321" t="s">
        <v>655</v>
      </c>
      <c r="D321" t="b">
        <v>0</v>
      </c>
      <c r="E321" t="b">
        <v>0</v>
      </c>
      <c r="F321" t="b">
        <v>1</v>
      </c>
      <c r="G321" t="b">
        <v>0</v>
      </c>
      <c r="H321" t="b">
        <v>0</v>
      </c>
    </row>
    <row r="322" spans="1:8" x14ac:dyDescent="0.2">
      <c r="A322" s="2">
        <v>320</v>
      </c>
      <c r="B322" t="s">
        <v>656</v>
      </c>
      <c r="C322" t="s">
        <v>657</v>
      </c>
      <c r="D322" t="b">
        <v>0</v>
      </c>
      <c r="E322" t="b">
        <v>0</v>
      </c>
      <c r="F322" t="b">
        <v>1</v>
      </c>
      <c r="G322" t="b">
        <v>0</v>
      </c>
      <c r="H322" t="b">
        <v>0</v>
      </c>
    </row>
    <row r="323" spans="1:8" x14ac:dyDescent="0.2">
      <c r="A323" s="2">
        <v>321</v>
      </c>
      <c r="B323" t="s">
        <v>658</v>
      </c>
      <c r="C323" t="s">
        <v>659</v>
      </c>
      <c r="D323" t="b">
        <v>0</v>
      </c>
      <c r="E323" t="b">
        <v>0</v>
      </c>
      <c r="F323" t="b">
        <v>1</v>
      </c>
      <c r="G323" t="b">
        <v>0</v>
      </c>
      <c r="H323" t="b">
        <v>1</v>
      </c>
    </row>
    <row r="324" spans="1:8" x14ac:dyDescent="0.2">
      <c r="A324" s="2">
        <v>322</v>
      </c>
      <c r="B324" t="s">
        <v>660</v>
      </c>
      <c r="C324" t="s">
        <v>661</v>
      </c>
      <c r="D324" t="b">
        <v>0</v>
      </c>
      <c r="E324" t="b">
        <v>0</v>
      </c>
      <c r="F324" t="b">
        <v>1</v>
      </c>
      <c r="G324" t="b">
        <v>0</v>
      </c>
      <c r="H324" t="b">
        <v>0</v>
      </c>
    </row>
    <row r="325" spans="1:8" x14ac:dyDescent="0.2">
      <c r="A325" s="2">
        <v>323</v>
      </c>
      <c r="B325" t="s">
        <v>662</v>
      </c>
      <c r="C325" t="s">
        <v>663</v>
      </c>
      <c r="D325" t="b">
        <v>1</v>
      </c>
      <c r="E325" t="b">
        <v>0</v>
      </c>
      <c r="F325" t="b">
        <v>0</v>
      </c>
      <c r="G325" t="b">
        <v>0</v>
      </c>
      <c r="H325" t="b">
        <v>0</v>
      </c>
    </row>
    <row r="326" spans="1:8" x14ac:dyDescent="0.2">
      <c r="A326" s="2">
        <v>324</v>
      </c>
      <c r="B326" t="s">
        <v>664</v>
      </c>
      <c r="C326" t="s">
        <v>665</v>
      </c>
      <c r="D326" t="b">
        <v>1</v>
      </c>
      <c r="E326" t="b">
        <v>0</v>
      </c>
      <c r="F326" t="b">
        <v>0</v>
      </c>
      <c r="G326" t="b">
        <v>0</v>
      </c>
      <c r="H326" t="b">
        <v>0</v>
      </c>
    </row>
    <row r="327" spans="1:8" x14ac:dyDescent="0.2">
      <c r="A327" s="2">
        <v>325</v>
      </c>
      <c r="B327" t="s">
        <v>666</v>
      </c>
      <c r="C327" t="s">
        <v>667</v>
      </c>
      <c r="D327" t="b">
        <v>1</v>
      </c>
      <c r="E327" t="b">
        <v>0</v>
      </c>
      <c r="F327" t="b">
        <v>0</v>
      </c>
      <c r="G327" t="b">
        <v>0</v>
      </c>
      <c r="H327" t="b">
        <v>0</v>
      </c>
    </row>
    <row r="328" spans="1:8" x14ac:dyDescent="0.2">
      <c r="A328" s="2">
        <v>326</v>
      </c>
      <c r="B328" t="s">
        <v>668</v>
      </c>
      <c r="C328" s="1" t="s">
        <v>669</v>
      </c>
      <c r="D328" t="b">
        <v>0</v>
      </c>
      <c r="E328" t="b">
        <v>0</v>
      </c>
      <c r="F328" t="b">
        <v>1</v>
      </c>
      <c r="G328" t="b">
        <v>0</v>
      </c>
      <c r="H328" t="b">
        <v>1</v>
      </c>
    </row>
    <row r="329" spans="1:8" x14ac:dyDescent="0.2">
      <c r="A329" s="2">
        <v>327</v>
      </c>
      <c r="B329" t="s">
        <v>670</v>
      </c>
      <c r="C329" t="s">
        <v>671</v>
      </c>
      <c r="D329" t="b">
        <v>1</v>
      </c>
      <c r="E329" t="b">
        <v>0</v>
      </c>
      <c r="F329" t="b">
        <v>0</v>
      </c>
      <c r="G329" t="b">
        <v>0</v>
      </c>
      <c r="H329" t="b">
        <v>1</v>
      </c>
    </row>
    <row r="330" spans="1:8" x14ac:dyDescent="0.2">
      <c r="A330" s="2">
        <v>328</v>
      </c>
      <c r="B330" t="s">
        <v>672</v>
      </c>
      <c r="C330" t="s">
        <v>673</v>
      </c>
      <c r="D330" t="b">
        <v>1</v>
      </c>
      <c r="E330" t="b">
        <v>0</v>
      </c>
      <c r="F330" t="b">
        <v>0</v>
      </c>
      <c r="G330" t="b">
        <v>1</v>
      </c>
      <c r="H330" t="b">
        <v>0</v>
      </c>
    </row>
    <row r="331" spans="1:8" x14ac:dyDescent="0.2">
      <c r="A331" s="2">
        <v>329</v>
      </c>
      <c r="B331" t="s">
        <v>674</v>
      </c>
      <c r="C331" t="s">
        <v>675</v>
      </c>
      <c r="D331" t="b">
        <v>0</v>
      </c>
      <c r="E331" t="b">
        <v>0</v>
      </c>
      <c r="F331" t="b">
        <v>1</v>
      </c>
      <c r="G331" t="b">
        <v>0</v>
      </c>
      <c r="H331" t="b">
        <v>0</v>
      </c>
    </row>
    <row r="332" spans="1:8" x14ac:dyDescent="0.2">
      <c r="A332" s="2">
        <v>330</v>
      </c>
      <c r="B332" t="s">
        <v>676</v>
      </c>
      <c r="C332" t="s">
        <v>677</v>
      </c>
      <c r="D332" t="b">
        <v>0</v>
      </c>
      <c r="E332" t="b">
        <v>0</v>
      </c>
      <c r="F332" t="b">
        <v>1</v>
      </c>
      <c r="G332" t="b">
        <v>0</v>
      </c>
      <c r="H332" t="b">
        <v>0</v>
      </c>
    </row>
    <row r="333" spans="1:8" x14ac:dyDescent="0.2">
      <c r="A333" s="2">
        <v>331</v>
      </c>
      <c r="B333" t="s">
        <v>678</v>
      </c>
      <c r="C333" t="s">
        <v>679</v>
      </c>
      <c r="D333" t="b">
        <v>0</v>
      </c>
      <c r="E333" t="b">
        <v>0</v>
      </c>
      <c r="F333" t="b">
        <v>1</v>
      </c>
      <c r="G333" t="b">
        <v>0</v>
      </c>
      <c r="H333" t="b">
        <v>0</v>
      </c>
    </row>
    <row r="334" spans="1:8" x14ac:dyDescent="0.2">
      <c r="A334" s="2">
        <v>332</v>
      </c>
      <c r="B334" t="s">
        <v>680</v>
      </c>
      <c r="C334" t="s">
        <v>681</v>
      </c>
      <c r="D334" t="b">
        <v>0</v>
      </c>
      <c r="E334" t="b">
        <v>0</v>
      </c>
      <c r="F334" t="b">
        <v>1</v>
      </c>
      <c r="G334" t="b">
        <v>0</v>
      </c>
      <c r="H334" t="b">
        <v>0</v>
      </c>
    </row>
    <row r="335" spans="1:8" x14ac:dyDescent="0.2">
      <c r="A335" s="2">
        <v>333</v>
      </c>
      <c r="B335" t="s">
        <v>682</v>
      </c>
      <c r="C335" t="s">
        <v>683</v>
      </c>
      <c r="D335" t="b">
        <v>0</v>
      </c>
      <c r="E335" t="b">
        <v>0</v>
      </c>
      <c r="F335" t="b">
        <v>1</v>
      </c>
      <c r="G335" t="b">
        <v>0</v>
      </c>
      <c r="H335" t="b">
        <v>0</v>
      </c>
    </row>
    <row r="336" spans="1:8" x14ac:dyDescent="0.2">
      <c r="A336" s="2">
        <v>334</v>
      </c>
      <c r="B336" t="s">
        <v>684</v>
      </c>
      <c r="C336" t="s">
        <v>685</v>
      </c>
      <c r="D336" t="b">
        <v>0</v>
      </c>
      <c r="E336" t="b">
        <v>0</v>
      </c>
      <c r="F336" t="b">
        <v>1</v>
      </c>
      <c r="G336" t="b">
        <v>0</v>
      </c>
      <c r="H336" t="b">
        <v>0</v>
      </c>
    </row>
    <row r="337" spans="1:8" x14ac:dyDescent="0.2">
      <c r="A337" s="2">
        <v>335</v>
      </c>
      <c r="B337" t="s">
        <v>686</v>
      </c>
      <c r="C337" t="s">
        <v>687</v>
      </c>
      <c r="D337" t="b">
        <v>0</v>
      </c>
      <c r="E337" t="b">
        <v>0</v>
      </c>
      <c r="F337" t="b">
        <v>1</v>
      </c>
      <c r="G337" t="b">
        <v>0</v>
      </c>
      <c r="H337" t="b">
        <v>0</v>
      </c>
    </row>
    <row r="338" spans="1:8" x14ac:dyDescent="0.2">
      <c r="A338" s="2">
        <v>336</v>
      </c>
      <c r="B338" t="s">
        <v>688</v>
      </c>
      <c r="C338" t="s">
        <v>689</v>
      </c>
      <c r="D338" t="b">
        <v>0</v>
      </c>
      <c r="E338" t="b">
        <v>0</v>
      </c>
      <c r="F338" t="b">
        <v>1</v>
      </c>
      <c r="G338" t="b">
        <v>0</v>
      </c>
      <c r="H338" t="b">
        <v>1</v>
      </c>
    </row>
    <row r="339" spans="1:8" x14ac:dyDescent="0.2">
      <c r="A339" s="2">
        <v>337</v>
      </c>
      <c r="B339" t="s">
        <v>690</v>
      </c>
      <c r="C339" t="s">
        <v>691</v>
      </c>
      <c r="D339" t="b">
        <v>0</v>
      </c>
      <c r="E339" t="b">
        <v>0</v>
      </c>
      <c r="F339" t="b">
        <v>1</v>
      </c>
      <c r="G339" t="b">
        <v>0</v>
      </c>
      <c r="H339" t="b">
        <v>0</v>
      </c>
    </row>
    <row r="340" spans="1:8" x14ac:dyDescent="0.2">
      <c r="A340" s="2">
        <v>338</v>
      </c>
      <c r="B340" t="s">
        <v>692</v>
      </c>
      <c r="C340" t="s">
        <v>693</v>
      </c>
      <c r="D340" t="b">
        <v>0</v>
      </c>
      <c r="E340" t="b">
        <v>0</v>
      </c>
      <c r="F340" t="b">
        <v>1</v>
      </c>
      <c r="G340" t="b">
        <v>0</v>
      </c>
      <c r="H340" t="b">
        <v>0</v>
      </c>
    </row>
    <row r="341" spans="1:8" x14ac:dyDescent="0.2">
      <c r="A341" s="2">
        <v>339</v>
      </c>
      <c r="B341" t="s">
        <v>694</v>
      </c>
      <c r="C341" t="s">
        <v>695</v>
      </c>
      <c r="D341" t="b">
        <v>0</v>
      </c>
      <c r="E341" t="b">
        <v>0</v>
      </c>
      <c r="F341" t="b">
        <v>1</v>
      </c>
      <c r="G341" t="b">
        <v>0</v>
      </c>
      <c r="H341" t="b">
        <v>0</v>
      </c>
    </row>
    <row r="342" spans="1:8" x14ac:dyDescent="0.2">
      <c r="A342" s="2">
        <v>340</v>
      </c>
      <c r="B342" t="s">
        <v>696</v>
      </c>
      <c r="C342" t="s">
        <v>697</v>
      </c>
      <c r="D342" t="b">
        <v>0</v>
      </c>
      <c r="E342" t="b">
        <v>0</v>
      </c>
      <c r="F342" t="b">
        <v>1</v>
      </c>
      <c r="G342" t="b">
        <v>0</v>
      </c>
      <c r="H342" t="b">
        <v>1</v>
      </c>
    </row>
    <row r="343" spans="1:8" x14ac:dyDescent="0.2">
      <c r="A343" s="2">
        <v>341</v>
      </c>
      <c r="B343" t="s">
        <v>698</v>
      </c>
      <c r="C343" t="s">
        <v>699</v>
      </c>
      <c r="D343" t="b">
        <v>0</v>
      </c>
      <c r="E343" t="b">
        <v>0</v>
      </c>
      <c r="F343" t="b">
        <v>1</v>
      </c>
      <c r="G343" t="b">
        <v>0</v>
      </c>
      <c r="H343" t="b">
        <v>0</v>
      </c>
    </row>
    <row r="344" spans="1:8" x14ac:dyDescent="0.2">
      <c r="A344" s="2">
        <v>342</v>
      </c>
      <c r="B344" t="s">
        <v>700</v>
      </c>
      <c r="C344" t="s">
        <v>701</v>
      </c>
      <c r="D344" t="b">
        <v>0</v>
      </c>
      <c r="E344" t="b">
        <v>0</v>
      </c>
      <c r="F344" t="b">
        <v>1</v>
      </c>
      <c r="G344" t="b">
        <v>0</v>
      </c>
      <c r="H344" t="b">
        <v>0</v>
      </c>
    </row>
    <row r="345" spans="1:8" x14ac:dyDescent="0.2">
      <c r="A345" s="2">
        <v>343</v>
      </c>
      <c r="B345" t="s">
        <v>702</v>
      </c>
      <c r="C345" t="s">
        <v>703</v>
      </c>
      <c r="D345" t="b">
        <v>0</v>
      </c>
      <c r="E345" t="b">
        <v>0</v>
      </c>
      <c r="F345" t="b">
        <v>1</v>
      </c>
      <c r="G345" t="b">
        <v>0</v>
      </c>
      <c r="H345" t="b">
        <v>0</v>
      </c>
    </row>
    <row r="346" spans="1:8" x14ac:dyDescent="0.2">
      <c r="A346" s="2">
        <v>344</v>
      </c>
      <c r="B346" t="s">
        <v>704</v>
      </c>
      <c r="C346" t="s">
        <v>705</v>
      </c>
      <c r="D346" t="b">
        <v>0</v>
      </c>
      <c r="E346" t="b">
        <v>0</v>
      </c>
      <c r="F346" t="b">
        <v>1</v>
      </c>
      <c r="G346" t="b">
        <v>0</v>
      </c>
      <c r="H346" t="b">
        <v>0</v>
      </c>
    </row>
    <row r="347" spans="1:8" x14ac:dyDescent="0.2">
      <c r="A347" s="2">
        <v>345</v>
      </c>
      <c r="B347" t="s">
        <v>706</v>
      </c>
      <c r="C347" t="s">
        <v>707</v>
      </c>
      <c r="D347" t="b">
        <v>0</v>
      </c>
      <c r="E347" t="b">
        <v>0</v>
      </c>
      <c r="F347" t="b">
        <v>1</v>
      </c>
      <c r="G347" t="b">
        <v>0</v>
      </c>
      <c r="H347" t="b">
        <v>0</v>
      </c>
    </row>
    <row r="348" spans="1:8" x14ac:dyDescent="0.2">
      <c r="A348" s="2">
        <v>346</v>
      </c>
      <c r="B348" t="s">
        <v>708</v>
      </c>
      <c r="C348" t="s">
        <v>709</v>
      </c>
      <c r="D348" t="b">
        <v>0</v>
      </c>
      <c r="E348" t="b">
        <v>0</v>
      </c>
      <c r="F348" t="b">
        <v>1</v>
      </c>
      <c r="G348" t="b">
        <v>0</v>
      </c>
      <c r="H348" t="b">
        <v>0</v>
      </c>
    </row>
    <row r="349" spans="1:8" x14ac:dyDescent="0.2">
      <c r="A349" s="2">
        <v>347</v>
      </c>
      <c r="B349" t="s">
        <v>710</v>
      </c>
      <c r="C349" t="s">
        <v>711</v>
      </c>
      <c r="D349" t="b">
        <v>1</v>
      </c>
      <c r="E349" t="b">
        <v>0</v>
      </c>
      <c r="F349" t="b">
        <v>0</v>
      </c>
      <c r="G349" t="b">
        <v>1</v>
      </c>
      <c r="H349" t="b">
        <v>0</v>
      </c>
    </row>
    <row r="350" spans="1:8" x14ac:dyDescent="0.2">
      <c r="A350" s="2">
        <v>348</v>
      </c>
      <c r="B350" t="s">
        <v>712</v>
      </c>
      <c r="C350" t="s">
        <v>713</v>
      </c>
      <c r="D350" t="b">
        <v>0</v>
      </c>
      <c r="E350" t="b">
        <v>0</v>
      </c>
      <c r="F350" t="b">
        <v>1</v>
      </c>
      <c r="G350" t="b">
        <v>0</v>
      </c>
      <c r="H350" t="b">
        <v>0</v>
      </c>
    </row>
    <row r="351" spans="1:8" x14ac:dyDescent="0.2">
      <c r="A351" s="2">
        <v>349</v>
      </c>
      <c r="B351" t="s">
        <v>714</v>
      </c>
      <c r="C351" t="s">
        <v>715</v>
      </c>
      <c r="D351" t="b">
        <v>0</v>
      </c>
      <c r="E351" t="b">
        <v>0</v>
      </c>
      <c r="F351" t="b">
        <v>1</v>
      </c>
      <c r="G351" t="b">
        <v>0</v>
      </c>
      <c r="H351" t="b">
        <v>0</v>
      </c>
    </row>
    <row r="352" spans="1:8" x14ac:dyDescent="0.2">
      <c r="A352" s="2">
        <v>350</v>
      </c>
      <c r="B352" t="s">
        <v>716</v>
      </c>
      <c r="C352" t="s">
        <v>717</v>
      </c>
      <c r="D352" t="b">
        <v>0</v>
      </c>
      <c r="E352" t="b">
        <v>0</v>
      </c>
      <c r="F352" t="b">
        <v>1</v>
      </c>
      <c r="G352" t="b">
        <v>0</v>
      </c>
      <c r="H352" t="b">
        <v>1</v>
      </c>
    </row>
    <row r="353" spans="1:8" x14ac:dyDescent="0.2">
      <c r="A353" s="2">
        <v>351</v>
      </c>
      <c r="B353" t="s">
        <v>718</v>
      </c>
      <c r="C353" t="s">
        <v>719</v>
      </c>
      <c r="D353" t="b">
        <v>0</v>
      </c>
      <c r="E353" t="b">
        <v>0</v>
      </c>
      <c r="F353" t="b">
        <v>1</v>
      </c>
      <c r="G353" t="b">
        <v>0</v>
      </c>
      <c r="H353" t="b">
        <v>1</v>
      </c>
    </row>
    <row r="354" spans="1:8" x14ac:dyDescent="0.2">
      <c r="A354" s="2">
        <v>352</v>
      </c>
      <c r="B354" t="s">
        <v>720</v>
      </c>
      <c r="C354" t="s">
        <v>721</v>
      </c>
      <c r="D354" t="b">
        <v>0</v>
      </c>
      <c r="E354" t="b">
        <v>0</v>
      </c>
      <c r="F354" t="b">
        <v>1</v>
      </c>
      <c r="G354" t="b">
        <v>0</v>
      </c>
      <c r="H354" t="b">
        <v>0</v>
      </c>
    </row>
    <row r="355" spans="1:8" x14ac:dyDescent="0.2">
      <c r="A355" s="2">
        <v>353</v>
      </c>
      <c r="B355" t="s">
        <v>722</v>
      </c>
      <c r="C355" s="1" t="s">
        <v>723</v>
      </c>
      <c r="D355" t="b">
        <v>0</v>
      </c>
      <c r="E355" t="b">
        <v>0</v>
      </c>
      <c r="F355" t="b">
        <v>1</v>
      </c>
      <c r="G355" t="b">
        <v>0</v>
      </c>
      <c r="H355" t="b">
        <v>1</v>
      </c>
    </row>
    <row r="356" spans="1:8" x14ac:dyDescent="0.2">
      <c r="A356" s="2">
        <v>354</v>
      </c>
      <c r="B356" t="s">
        <v>724</v>
      </c>
      <c r="C356" t="s">
        <v>725</v>
      </c>
      <c r="D356" t="b">
        <v>1</v>
      </c>
      <c r="E356" t="b">
        <v>0</v>
      </c>
      <c r="F356" t="b">
        <v>0</v>
      </c>
      <c r="G356" t="b">
        <v>0</v>
      </c>
      <c r="H356" t="b">
        <v>1</v>
      </c>
    </row>
    <row r="357" spans="1:8" x14ac:dyDescent="0.2">
      <c r="A357" s="2">
        <v>355</v>
      </c>
      <c r="B357" t="s">
        <v>726</v>
      </c>
      <c r="C357" t="s">
        <v>727</v>
      </c>
      <c r="D357" t="b">
        <v>1</v>
      </c>
      <c r="E357" t="b">
        <v>0</v>
      </c>
      <c r="F357" t="b">
        <v>0</v>
      </c>
      <c r="G357" t="b">
        <v>0</v>
      </c>
      <c r="H357" t="b">
        <v>0</v>
      </c>
    </row>
    <row r="358" spans="1:8" x14ac:dyDescent="0.2">
      <c r="A358" s="2">
        <v>356</v>
      </c>
      <c r="B358" t="s">
        <v>728</v>
      </c>
      <c r="C358" t="s">
        <v>729</v>
      </c>
      <c r="D358" t="b">
        <v>0</v>
      </c>
      <c r="E358" t="b">
        <v>1</v>
      </c>
      <c r="F358" t="b">
        <v>1</v>
      </c>
      <c r="G358" t="b">
        <v>0</v>
      </c>
      <c r="H358" t="b">
        <v>0</v>
      </c>
    </row>
    <row r="359" spans="1:8" x14ac:dyDescent="0.2">
      <c r="A359" s="2">
        <v>357</v>
      </c>
      <c r="B359" t="s">
        <v>730</v>
      </c>
      <c r="C359" t="s">
        <v>731</v>
      </c>
      <c r="D359" t="b">
        <v>1</v>
      </c>
      <c r="E359" t="b">
        <v>0</v>
      </c>
      <c r="F359" t="b">
        <v>0</v>
      </c>
      <c r="G359" t="b">
        <v>0</v>
      </c>
      <c r="H359" t="b">
        <v>0</v>
      </c>
    </row>
    <row r="360" spans="1:8" x14ac:dyDescent="0.2">
      <c r="A360" s="2">
        <v>358</v>
      </c>
      <c r="B360" t="s">
        <v>732</v>
      </c>
      <c r="C360" t="s">
        <v>733</v>
      </c>
      <c r="D360" t="b">
        <v>1</v>
      </c>
      <c r="E360" t="b">
        <v>0</v>
      </c>
      <c r="F360" t="b">
        <v>0</v>
      </c>
      <c r="G360" t="b">
        <v>0</v>
      </c>
      <c r="H360" t="b">
        <v>1</v>
      </c>
    </row>
    <row r="361" spans="1:8" x14ac:dyDescent="0.2">
      <c r="A361" s="2">
        <v>359</v>
      </c>
      <c r="B361" t="s">
        <v>734</v>
      </c>
      <c r="C361" s="1" t="s">
        <v>735</v>
      </c>
      <c r="D361" t="b">
        <v>1</v>
      </c>
      <c r="E361" t="b">
        <v>0</v>
      </c>
      <c r="F361" t="b">
        <v>0</v>
      </c>
      <c r="G361" t="b">
        <v>0</v>
      </c>
      <c r="H361" t="b">
        <v>0</v>
      </c>
    </row>
    <row r="362" spans="1:8" x14ac:dyDescent="0.2">
      <c r="A362" s="2">
        <v>360</v>
      </c>
      <c r="B362" t="s">
        <v>736</v>
      </c>
      <c r="C362" t="s">
        <v>737</v>
      </c>
      <c r="D362" t="b">
        <v>1</v>
      </c>
      <c r="E362" t="b">
        <v>0</v>
      </c>
      <c r="F362" t="b">
        <v>0</v>
      </c>
      <c r="G362" t="b">
        <v>1</v>
      </c>
      <c r="H362" t="b">
        <v>0</v>
      </c>
    </row>
    <row r="363" spans="1:8" x14ac:dyDescent="0.2">
      <c r="A363" s="2">
        <v>361</v>
      </c>
      <c r="B363" t="s">
        <v>738</v>
      </c>
      <c r="C363" t="s">
        <v>739</v>
      </c>
      <c r="D363" t="b">
        <v>0</v>
      </c>
      <c r="E363" t="b">
        <v>0</v>
      </c>
      <c r="F363" t="b">
        <v>1</v>
      </c>
      <c r="G363" t="b">
        <v>0</v>
      </c>
      <c r="H363" t="b">
        <v>0</v>
      </c>
    </row>
    <row r="364" spans="1:8" x14ac:dyDescent="0.2">
      <c r="A364" s="2">
        <v>362</v>
      </c>
      <c r="B364" t="s">
        <v>740</v>
      </c>
      <c r="C364" t="s">
        <v>741</v>
      </c>
      <c r="D364" t="b">
        <v>0</v>
      </c>
      <c r="E364" t="b">
        <v>0</v>
      </c>
      <c r="F364" t="b">
        <v>1</v>
      </c>
      <c r="G364" t="b">
        <v>0</v>
      </c>
      <c r="H364" t="b">
        <v>1</v>
      </c>
    </row>
    <row r="365" spans="1:8" x14ac:dyDescent="0.2">
      <c r="A365" s="2">
        <v>363</v>
      </c>
      <c r="B365" t="s">
        <v>742</v>
      </c>
      <c r="C365" t="s">
        <v>743</v>
      </c>
      <c r="D365" t="b">
        <v>0</v>
      </c>
      <c r="E365" t="b">
        <v>0</v>
      </c>
      <c r="F365" t="b">
        <v>1</v>
      </c>
      <c r="G365" t="b">
        <v>0</v>
      </c>
      <c r="H365" t="b">
        <v>1</v>
      </c>
    </row>
    <row r="366" spans="1:8" x14ac:dyDescent="0.2">
      <c r="A366" s="2">
        <v>364</v>
      </c>
      <c r="B366" t="s">
        <v>747</v>
      </c>
      <c r="C366" t="s">
        <v>748</v>
      </c>
      <c r="D366" t="b">
        <v>0</v>
      </c>
      <c r="E366" t="b">
        <v>0</v>
      </c>
      <c r="F366" t="b">
        <v>1</v>
      </c>
      <c r="G366" t="b">
        <v>0</v>
      </c>
      <c r="H366" t="b">
        <v>0</v>
      </c>
    </row>
    <row r="367" spans="1:8" x14ac:dyDescent="0.2">
      <c r="A367" s="2">
        <v>365</v>
      </c>
      <c r="B367" t="s">
        <v>749</v>
      </c>
      <c r="C367" t="s">
        <v>750</v>
      </c>
      <c r="D367" t="b">
        <v>0</v>
      </c>
      <c r="E367" t="b">
        <v>0</v>
      </c>
      <c r="F367" t="b">
        <v>1</v>
      </c>
      <c r="G367" t="b">
        <v>0</v>
      </c>
      <c r="H367" t="b">
        <v>0</v>
      </c>
    </row>
    <row r="368" spans="1:8" x14ac:dyDescent="0.2">
      <c r="A368" s="2">
        <v>366</v>
      </c>
      <c r="B368" t="s">
        <v>751</v>
      </c>
      <c r="C368" t="s">
        <v>752</v>
      </c>
      <c r="D368" t="b">
        <v>1</v>
      </c>
      <c r="E368" t="b">
        <v>0</v>
      </c>
      <c r="F368" t="b">
        <v>0</v>
      </c>
      <c r="G368" t="b">
        <v>1</v>
      </c>
      <c r="H368" t="b">
        <v>0</v>
      </c>
    </row>
    <row r="369" spans="1:8" x14ac:dyDescent="0.2">
      <c r="A369" s="2">
        <v>367</v>
      </c>
      <c r="B369" t="s">
        <v>753</v>
      </c>
      <c r="C369" t="s">
        <v>754</v>
      </c>
      <c r="D369" t="b">
        <v>0</v>
      </c>
      <c r="E369" t="b">
        <v>0</v>
      </c>
      <c r="F369" t="b">
        <v>1</v>
      </c>
      <c r="G369" t="b">
        <v>0</v>
      </c>
      <c r="H369" t="b">
        <v>0</v>
      </c>
    </row>
    <row r="370" spans="1:8" x14ac:dyDescent="0.2">
      <c r="A370" s="2">
        <v>368</v>
      </c>
      <c r="B370" t="s">
        <v>755</v>
      </c>
      <c r="C370" t="s">
        <v>756</v>
      </c>
      <c r="D370" t="b">
        <v>0</v>
      </c>
      <c r="E370" t="b">
        <v>0</v>
      </c>
      <c r="F370" t="b">
        <v>1</v>
      </c>
      <c r="G370" t="b">
        <v>0</v>
      </c>
      <c r="H370" t="b">
        <v>0</v>
      </c>
    </row>
    <row r="371" spans="1:8" x14ac:dyDescent="0.2">
      <c r="A371" s="2">
        <v>369</v>
      </c>
      <c r="B371" t="s">
        <v>757</v>
      </c>
      <c r="C371" t="s">
        <v>758</v>
      </c>
      <c r="D371" t="b">
        <v>0</v>
      </c>
      <c r="E371" t="b">
        <v>0</v>
      </c>
      <c r="F371" t="b">
        <v>1</v>
      </c>
      <c r="G371" t="b">
        <v>0</v>
      </c>
      <c r="H371" t="b">
        <v>0</v>
      </c>
    </row>
    <row r="372" spans="1:8" x14ac:dyDescent="0.2">
      <c r="A372" s="2">
        <v>370</v>
      </c>
      <c r="B372" t="s">
        <v>759</v>
      </c>
      <c r="C372" t="s">
        <v>760</v>
      </c>
      <c r="D372" t="b">
        <v>0</v>
      </c>
      <c r="E372" t="b">
        <v>0</v>
      </c>
      <c r="F372" t="b">
        <v>1</v>
      </c>
      <c r="G372" t="b">
        <v>0</v>
      </c>
      <c r="H372" t="b">
        <v>0</v>
      </c>
    </row>
    <row r="373" spans="1:8" x14ac:dyDescent="0.2">
      <c r="A373" s="2">
        <v>371</v>
      </c>
      <c r="B373" t="s">
        <v>761</v>
      </c>
      <c r="C373" t="s">
        <v>762</v>
      </c>
      <c r="D373" t="b">
        <v>0</v>
      </c>
      <c r="E373" t="b">
        <v>0</v>
      </c>
      <c r="F373" t="b">
        <v>1</v>
      </c>
      <c r="G373" t="b">
        <v>0</v>
      </c>
      <c r="H373" t="b">
        <v>0</v>
      </c>
    </row>
    <row r="374" spans="1:8" x14ac:dyDescent="0.2">
      <c r="A374" s="2">
        <v>372</v>
      </c>
      <c r="B374" t="s">
        <v>763</v>
      </c>
      <c r="C374" t="s">
        <v>764</v>
      </c>
      <c r="D374" t="b">
        <v>1</v>
      </c>
      <c r="E374" t="b">
        <v>0</v>
      </c>
      <c r="F374" t="b">
        <v>0</v>
      </c>
      <c r="G374" t="b">
        <v>1</v>
      </c>
      <c r="H374" t="b">
        <v>0</v>
      </c>
    </row>
    <row r="375" spans="1:8" x14ac:dyDescent="0.2">
      <c r="A375" s="2">
        <v>373</v>
      </c>
      <c r="B375" t="s">
        <v>765</v>
      </c>
      <c r="C375" t="s">
        <v>766</v>
      </c>
      <c r="D375" t="b">
        <v>0</v>
      </c>
      <c r="E375" t="b">
        <v>0</v>
      </c>
      <c r="F375" t="b">
        <v>1</v>
      </c>
      <c r="G375" t="b">
        <v>0</v>
      </c>
      <c r="H375" t="b">
        <v>0</v>
      </c>
    </row>
    <row r="376" spans="1:8" x14ac:dyDescent="0.2">
      <c r="A376" s="2">
        <v>374</v>
      </c>
      <c r="B376" t="s">
        <v>767</v>
      </c>
      <c r="C376" t="s">
        <v>768</v>
      </c>
      <c r="D376" t="b">
        <v>0</v>
      </c>
      <c r="E376" t="b">
        <v>0</v>
      </c>
      <c r="F376" t="b">
        <v>1</v>
      </c>
      <c r="G376" t="b">
        <v>0</v>
      </c>
      <c r="H376" t="b">
        <v>0</v>
      </c>
    </row>
    <row r="377" spans="1:8" x14ac:dyDescent="0.2">
      <c r="A377" s="2">
        <v>375</v>
      </c>
      <c r="B377" t="s">
        <v>769</v>
      </c>
      <c r="C377" s="1" t="s">
        <v>770</v>
      </c>
      <c r="D377" t="b">
        <v>0</v>
      </c>
      <c r="E377" t="b">
        <v>0</v>
      </c>
      <c r="F377" t="b">
        <v>1</v>
      </c>
      <c r="G377" t="b">
        <v>0</v>
      </c>
      <c r="H377" t="b">
        <v>0</v>
      </c>
    </row>
    <row r="378" spans="1:8" x14ac:dyDescent="0.2">
      <c r="A378" s="2">
        <v>376</v>
      </c>
      <c r="B378" t="s">
        <v>771</v>
      </c>
      <c r="C378" t="s">
        <v>772</v>
      </c>
      <c r="D378" t="b">
        <v>0</v>
      </c>
      <c r="E378" t="b">
        <v>0</v>
      </c>
      <c r="F378" t="b">
        <v>1</v>
      </c>
      <c r="G378" t="b">
        <v>0</v>
      </c>
      <c r="H378" t="b">
        <v>0</v>
      </c>
    </row>
    <row r="379" spans="1:8" x14ac:dyDescent="0.2">
      <c r="A379" s="2">
        <v>377</v>
      </c>
      <c r="B379" t="s">
        <v>773</v>
      </c>
      <c r="C379" t="s">
        <v>774</v>
      </c>
      <c r="D379" t="b">
        <v>0</v>
      </c>
      <c r="E379" t="b">
        <v>0</v>
      </c>
      <c r="F379" t="b">
        <v>1</v>
      </c>
      <c r="G379" t="b">
        <v>0</v>
      </c>
      <c r="H379" t="b">
        <v>0</v>
      </c>
    </row>
    <row r="380" spans="1:8" x14ac:dyDescent="0.2">
      <c r="A380" s="2">
        <v>378</v>
      </c>
      <c r="B380" t="s">
        <v>775</v>
      </c>
      <c r="C380" t="s">
        <v>776</v>
      </c>
      <c r="D380" t="b">
        <v>0</v>
      </c>
      <c r="E380" t="b">
        <v>0</v>
      </c>
      <c r="F380" t="b">
        <v>1</v>
      </c>
      <c r="G380" t="b">
        <v>0</v>
      </c>
      <c r="H380" t="b">
        <v>0</v>
      </c>
    </row>
    <row r="381" spans="1:8" x14ac:dyDescent="0.2">
      <c r="A381" s="2">
        <v>379</v>
      </c>
      <c r="B381" t="s">
        <v>777</v>
      </c>
      <c r="C381" t="s">
        <v>778</v>
      </c>
      <c r="D381" t="b">
        <v>0</v>
      </c>
      <c r="E381" t="b">
        <v>0</v>
      </c>
      <c r="F381" t="b">
        <v>1</v>
      </c>
      <c r="G381" t="b">
        <v>0</v>
      </c>
      <c r="H381" t="b">
        <v>0</v>
      </c>
    </row>
    <row r="382" spans="1:8" x14ac:dyDescent="0.2">
      <c r="A382" s="2">
        <v>380</v>
      </c>
      <c r="B382" t="s">
        <v>779</v>
      </c>
      <c r="C382" t="s">
        <v>780</v>
      </c>
      <c r="D382" t="b">
        <v>0</v>
      </c>
      <c r="E382" t="b">
        <v>0</v>
      </c>
      <c r="F382" t="b">
        <v>1</v>
      </c>
      <c r="G382" t="b">
        <v>0</v>
      </c>
      <c r="H382" t="b">
        <v>0</v>
      </c>
    </row>
    <row r="383" spans="1:8" x14ac:dyDescent="0.2">
      <c r="A383" s="2">
        <v>381</v>
      </c>
      <c r="B383" t="s">
        <v>781</v>
      </c>
      <c r="C383" t="s">
        <v>782</v>
      </c>
      <c r="D383" t="b">
        <v>0</v>
      </c>
      <c r="E383" t="b">
        <v>0</v>
      </c>
      <c r="F383" t="b">
        <v>1</v>
      </c>
      <c r="G383" t="b">
        <v>0</v>
      </c>
      <c r="H383" t="b">
        <v>0</v>
      </c>
    </row>
    <row r="384" spans="1:8" x14ac:dyDescent="0.2">
      <c r="A384" s="2">
        <v>382</v>
      </c>
      <c r="B384" t="s">
        <v>783</v>
      </c>
      <c r="C384" t="s">
        <v>784</v>
      </c>
      <c r="D384" t="b">
        <v>0</v>
      </c>
      <c r="E384" t="b">
        <v>0</v>
      </c>
      <c r="F384" t="b">
        <v>1</v>
      </c>
      <c r="G384" t="b">
        <v>0</v>
      </c>
      <c r="H384" t="b">
        <v>0</v>
      </c>
    </row>
    <row r="385" spans="1:8" x14ac:dyDescent="0.2">
      <c r="A385" s="2">
        <v>383</v>
      </c>
      <c r="B385" t="s">
        <v>785</v>
      </c>
      <c r="C385" t="s">
        <v>786</v>
      </c>
      <c r="D385" t="b">
        <v>0</v>
      </c>
      <c r="E385" t="b">
        <v>0</v>
      </c>
      <c r="F385" t="b">
        <v>1</v>
      </c>
      <c r="G385" t="b">
        <v>0</v>
      </c>
      <c r="H385" t="b">
        <v>0</v>
      </c>
    </row>
    <row r="386" spans="1:8" x14ac:dyDescent="0.2">
      <c r="A386" s="2">
        <v>384</v>
      </c>
      <c r="B386" t="s">
        <v>787</v>
      </c>
      <c r="C386" t="s">
        <v>788</v>
      </c>
      <c r="D386" t="b">
        <v>0</v>
      </c>
      <c r="E386" t="b">
        <v>0</v>
      </c>
      <c r="F386" t="b">
        <v>1</v>
      </c>
      <c r="G386" t="b">
        <v>0</v>
      </c>
      <c r="H386" t="b">
        <v>1</v>
      </c>
    </row>
    <row r="387" spans="1:8" x14ac:dyDescent="0.2">
      <c r="A387" s="2">
        <v>385</v>
      </c>
      <c r="B387" t="s">
        <v>789</v>
      </c>
      <c r="C387" t="s">
        <v>790</v>
      </c>
      <c r="D387" t="b">
        <v>0</v>
      </c>
      <c r="E387" t="b">
        <v>0</v>
      </c>
      <c r="F387" t="b">
        <v>1</v>
      </c>
      <c r="G387" t="b">
        <v>0</v>
      </c>
      <c r="H387" t="b">
        <v>0</v>
      </c>
    </row>
    <row r="388" spans="1:8" x14ac:dyDescent="0.2">
      <c r="A388" s="2">
        <v>386</v>
      </c>
      <c r="B388" t="s">
        <v>791</v>
      </c>
      <c r="C388" t="s">
        <v>792</v>
      </c>
      <c r="D388" t="b">
        <v>0</v>
      </c>
      <c r="E388" t="b">
        <v>0</v>
      </c>
      <c r="F388" t="b">
        <v>1</v>
      </c>
      <c r="G388" t="b">
        <v>0</v>
      </c>
      <c r="H388" t="b">
        <v>0</v>
      </c>
    </row>
    <row r="389" spans="1:8" x14ac:dyDescent="0.2">
      <c r="A389" s="2">
        <v>387</v>
      </c>
      <c r="B389" t="s">
        <v>793</v>
      </c>
      <c r="C389" t="s">
        <v>794</v>
      </c>
      <c r="D389" t="b">
        <v>0</v>
      </c>
      <c r="E389" t="b">
        <v>0</v>
      </c>
      <c r="F389" t="b">
        <v>1</v>
      </c>
      <c r="G389" t="b">
        <v>0</v>
      </c>
      <c r="H389" t="b">
        <v>0</v>
      </c>
    </row>
    <row r="390" spans="1:8" x14ac:dyDescent="0.2">
      <c r="A390" s="2">
        <v>388</v>
      </c>
      <c r="B390" t="s">
        <v>795</v>
      </c>
      <c r="C390" t="s">
        <v>796</v>
      </c>
      <c r="D390" t="b">
        <v>0</v>
      </c>
      <c r="E390" t="b">
        <v>0</v>
      </c>
      <c r="F390" t="b">
        <v>1</v>
      </c>
      <c r="G390" t="b">
        <v>0</v>
      </c>
      <c r="H390" t="b">
        <v>0</v>
      </c>
    </row>
    <row r="391" spans="1:8" x14ac:dyDescent="0.2">
      <c r="A391" s="2">
        <v>389</v>
      </c>
      <c r="B391" t="s">
        <v>797</v>
      </c>
      <c r="C391" t="s">
        <v>798</v>
      </c>
      <c r="D391" t="b">
        <v>0</v>
      </c>
      <c r="E391" t="b">
        <v>0</v>
      </c>
      <c r="F391" t="b">
        <v>1</v>
      </c>
      <c r="G391" t="b">
        <v>0</v>
      </c>
      <c r="H391" t="b">
        <v>0</v>
      </c>
    </row>
    <row r="392" spans="1:8" x14ac:dyDescent="0.2">
      <c r="A392" s="2">
        <v>390</v>
      </c>
      <c r="B392" t="s">
        <v>799</v>
      </c>
      <c r="C392" t="s">
        <v>800</v>
      </c>
      <c r="D392" t="b">
        <v>0</v>
      </c>
      <c r="E392" t="b">
        <v>0</v>
      </c>
      <c r="F392" t="b">
        <v>1</v>
      </c>
      <c r="G392" t="b">
        <v>0</v>
      </c>
      <c r="H392" t="b">
        <v>0</v>
      </c>
    </row>
    <row r="393" spans="1:8" x14ac:dyDescent="0.2">
      <c r="A393" s="2">
        <v>391</v>
      </c>
      <c r="B393" t="s">
        <v>801</v>
      </c>
      <c r="C393" t="s">
        <v>802</v>
      </c>
      <c r="D393" t="b">
        <v>0</v>
      </c>
      <c r="E393" t="b">
        <v>0</v>
      </c>
      <c r="F393" t="b">
        <v>1</v>
      </c>
      <c r="G393" t="b">
        <v>0</v>
      </c>
      <c r="H393" t="b">
        <v>0</v>
      </c>
    </row>
    <row r="394" spans="1:8" x14ac:dyDescent="0.2">
      <c r="A394" s="2">
        <v>392</v>
      </c>
      <c r="B394" t="s">
        <v>803</v>
      </c>
      <c r="C394" t="s">
        <v>804</v>
      </c>
      <c r="D394" t="b">
        <v>0</v>
      </c>
      <c r="E394" t="b">
        <v>0</v>
      </c>
      <c r="F394" t="b">
        <v>1</v>
      </c>
      <c r="G394" t="b">
        <v>0</v>
      </c>
      <c r="H394" t="b">
        <v>0</v>
      </c>
    </row>
    <row r="395" spans="1:8" x14ac:dyDescent="0.2">
      <c r="A395" s="2">
        <v>393</v>
      </c>
      <c r="B395" t="s">
        <v>805</v>
      </c>
      <c r="C395" t="s">
        <v>806</v>
      </c>
      <c r="D395" t="b">
        <v>0</v>
      </c>
      <c r="E395" t="b">
        <v>0</v>
      </c>
      <c r="F395" t="b">
        <v>1</v>
      </c>
      <c r="G395" t="b">
        <v>0</v>
      </c>
      <c r="H395" t="b">
        <v>0</v>
      </c>
    </row>
    <row r="396" spans="1:8" x14ac:dyDescent="0.2">
      <c r="A396" s="2">
        <v>394</v>
      </c>
      <c r="B396" t="s">
        <v>807</v>
      </c>
      <c r="C396" t="s">
        <v>808</v>
      </c>
      <c r="D396" t="b">
        <v>0</v>
      </c>
      <c r="E396" t="b">
        <v>0</v>
      </c>
      <c r="F396" t="b">
        <v>1</v>
      </c>
      <c r="G396" t="b">
        <v>0</v>
      </c>
      <c r="H396" t="b">
        <v>0</v>
      </c>
    </row>
    <row r="397" spans="1:8" x14ac:dyDescent="0.2">
      <c r="A397" s="2">
        <v>395</v>
      </c>
      <c r="B397" t="s">
        <v>809</v>
      </c>
      <c r="C397" t="s">
        <v>810</v>
      </c>
      <c r="D397" t="b">
        <v>0</v>
      </c>
      <c r="E397" t="b">
        <v>0</v>
      </c>
      <c r="F397" t="b">
        <v>1</v>
      </c>
      <c r="G397" t="b">
        <v>0</v>
      </c>
      <c r="H397" t="b">
        <v>0</v>
      </c>
    </row>
    <row r="398" spans="1:8" x14ac:dyDescent="0.2">
      <c r="A398" s="2">
        <v>396</v>
      </c>
      <c r="B398" t="s">
        <v>811</v>
      </c>
      <c r="C398" t="s">
        <v>812</v>
      </c>
      <c r="D398" t="b">
        <v>0</v>
      </c>
      <c r="E398" t="b">
        <v>0</v>
      </c>
      <c r="F398" t="b">
        <v>1</v>
      </c>
      <c r="G398" t="b">
        <v>0</v>
      </c>
      <c r="H398" t="b">
        <v>0</v>
      </c>
    </row>
    <row r="399" spans="1:8" x14ac:dyDescent="0.2">
      <c r="A399" s="2">
        <v>397</v>
      </c>
      <c r="B399" t="s">
        <v>813</v>
      </c>
      <c r="C399" t="s">
        <v>814</v>
      </c>
      <c r="D399" t="b">
        <v>0</v>
      </c>
      <c r="E399" t="b">
        <v>0</v>
      </c>
      <c r="F399" t="b">
        <v>1</v>
      </c>
      <c r="G399" t="b">
        <v>0</v>
      </c>
      <c r="H399" t="b">
        <v>0</v>
      </c>
    </row>
    <row r="400" spans="1:8" x14ac:dyDescent="0.2">
      <c r="A400" s="2">
        <v>398</v>
      </c>
      <c r="B400" t="s">
        <v>815</v>
      </c>
      <c r="C400" t="s">
        <v>816</v>
      </c>
      <c r="D400" t="b">
        <v>0</v>
      </c>
      <c r="E400" t="b">
        <v>0</v>
      </c>
      <c r="F400" t="b">
        <v>1</v>
      </c>
      <c r="G400" t="b">
        <v>0</v>
      </c>
      <c r="H400" t="b">
        <v>0</v>
      </c>
    </row>
    <row r="401" spans="1:8" x14ac:dyDescent="0.2">
      <c r="A401" s="2">
        <v>399</v>
      </c>
      <c r="B401" t="s">
        <v>817</v>
      </c>
      <c r="C401" t="s">
        <v>818</v>
      </c>
      <c r="D401" t="b">
        <v>0</v>
      </c>
      <c r="E401" t="b">
        <v>0</v>
      </c>
      <c r="F401" t="b">
        <v>1</v>
      </c>
      <c r="G401" t="b">
        <v>0</v>
      </c>
      <c r="H401" t="b">
        <v>1</v>
      </c>
    </row>
    <row r="402" spans="1:8" x14ac:dyDescent="0.2">
      <c r="A402" s="2">
        <v>400</v>
      </c>
      <c r="B402" t="s">
        <v>819</v>
      </c>
      <c r="C402" t="s">
        <v>820</v>
      </c>
      <c r="D402" t="b">
        <v>0</v>
      </c>
      <c r="E402" t="b">
        <v>0</v>
      </c>
      <c r="F402" t="b">
        <v>1</v>
      </c>
      <c r="G402" t="b">
        <v>0</v>
      </c>
      <c r="H402" t="b">
        <v>0</v>
      </c>
    </row>
    <row r="403" spans="1:8" x14ac:dyDescent="0.2">
      <c r="A403" s="2">
        <v>401</v>
      </c>
      <c r="B403" t="s">
        <v>821</v>
      </c>
      <c r="C403" t="s">
        <v>822</v>
      </c>
      <c r="D403" t="b">
        <v>0</v>
      </c>
      <c r="E403" t="b">
        <v>0</v>
      </c>
      <c r="F403" t="b">
        <v>1</v>
      </c>
      <c r="G403" t="b">
        <v>0</v>
      </c>
      <c r="H403" t="b">
        <v>1</v>
      </c>
    </row>
    <row r="404" spans="1:8" x14ac:dyDescent="0.2">
      <c r="A404" s="2">
        <v>402</v>
      </c>
      <c r="B404" t="s">
        <v>823</v>
      </c>
      <c r="C404" t="s">
        <v>824</v>
      </c>
      <c r="D404" t="b">
        <v>0</v>
      </c>
      <c r="E404" t="b">
        <v>0</v>
      </c>
      <c r="F404" t="b">
        <v>1</v>
      </c>
      <c r="G404" t="b">
        <v>0</v>
      </c>
      <c r="H404" t="b">
        <v>0</v>
      </c>
    </row>
    <row r="405" spans="1:8" x14ac:dyDescent="0.2">
      <c r="A405" s="2">
        <v>403</v>
      </c>
      <c r="B405" t="s">
        <v>825</v>
      </c>
      <c r="C405" t="s">
        <v>826</v>
      </c>
      <c r="D405" t="b">
        <v>0</v>
      </c>
      <c r="E405" t="b">
        <v>0</v>
      </c>
      <c r="F405" t="b">
        <v>1</v>
      </c>
      <c r="G405" t="b">
        <v>0</v>
      </c>
      <c r="H405" t="b">
        <v>0</v>
      </c>
    </row>
    <row r="406" spans="1:8" x14ac:dyDescent="0.2">
      <c r="A406" s="2">
        <v>404</v>
      </c>
      <c r="B406" t="s">
        <v>827</v>
      </c>
      <c r="C406" t="s">
        <v>828</v>
      </c>
      <c r="D406" t="b">
        <v>0</v>
      </c>
      <c r="E406" t="b">
        <v>0</v>
      </c>
      <c r="F406" t="b">
        <v>1</v>
      </c>
      <c r="G406" t="b">
        <v>0</v>
      </c>
      <c r="H406" t="b">
        <v>0</v>
      </c>
    </row>
    <row r="407" spans="1:8" x14ac:dyDescent="0.2">
      <c r="A407" s="2">
        <v>405</v>
      </c>
      <c r="B407" t="s">
        <v>829</v>
      </c>
      <c r="C407" t="s">
        <v>830</v>
      </c>
      <c r="D407" t="b">
        <v>0</v>
      </c>
      <c r="E407" t="b">
        <v>0</v>
      </c>
      <c r="F407" t="b">
        <v>1</v>
      </c>
      <c r="G407" t="b">
        <v>0</v>
      </c>
      <c r="H407" t="b">
        <v>0</v>
      </c>
    </row>
    <row r="408" spans="1:8" x14ac:dyDescent="0.2">
      <c r="A408" s="2">
        <v>406</v>
      </c>
      <c r="B408" t="s">
        <v>831</v>
      </c>
      <c r="C408" t="s">
        <v>832</v>
      </c>
      <c r="D408" t="b">
        <v>0</v>
      </c>
      <c r="E408" t="b">
        <v>0</v>
      </c>
      <c r="F408" t="b">
        <v>1</v>
      </c>
      <c r="G408" t="b">
        <v>0</v>
      </c>
      <c r="H408" t="b">
        <v>0</v>
      </c>
    </row>
    <row r="409" spans="1:8" x14ac:dyDescent="0.2">
      <c r="A409" s="2">
        <v>407</v>
      </c>
      <c r="B409" t="s">
        <v>833</v>
      </c>
      <c r="C409" s="1" t="s">
        <v>834</v>
      </c>
      <c r="D409" t="b">
        <v>0</v>
      </c>
      <c r="E409" t="b">
        <v>0</v>
      </c>
      <c r="F409" t="b">
        <v>1</v>
      </c>
      <c r="G409" t="b">
        <v>0</v>
      </c>
      <c r="H409" t="b">
        <v>0</v>
      </c>
    </row>
    <row r="410" spans="1:8" x14ac:dyDescent="0.2">
      <c r="A410" s="2">
        <v>408</v>
      </c>
      <c r="B410" t="s">
        <v>835</v>
      </c>
      <c r="C410" t="s">
        <v>836</v>
      </c>
      <c r="D410" t="b">
        <v>0</v>
      </c>
      <c r="E410" t="b">
        <v>0</v>
      </c>
      <c r="F410" t="b">
        <v>1</v>
      </c>
      <c r="G410" t="b">
        <v>0</v>
      </c>
      <c r="H410" t="b">
        <v>1</v>
      </c>
    </row>
    <row r="411" spans="1:8" x14ac:dyDescent="0.2">
      <c r="A411" s="2">
        <v>409</v>
      </c>
      <c r="B411" t="s">
        <v>837</v>
      </c>
      <c r="C411" t="s">
        <v>838</v>
      </c>
      <c r="D411" t="b">
        <v>0</v>
      </c>
      <c r="E411" t="b">
        <v>0</v>
      </c>
      <c r="F411" t="b">
        <v>1</v>
      </c>
      <c r="G411" t="b">
        <v>0</v>
      </c>
      <c r="H411" t="b">
        <v>0</v>
      </c>
    </row>
    <row r="412" spans="1:8" x14ac:dyDescent="0.2">
      <c r="A412" s="2">
        <v>410</v>
      </c>
      <c r="B412" t="s">
        <v>839</v>
      </c>
      <c r="C412" t="s">
        <v>840</v>
      </c>
      <c r="D412" t="b">
        <v>0</v>
      </c>
      <c r="E412" t="b">
        <v>0</v>
      </c>
      <c r="F412" t="b">
        <v>1</v>
      </c>
      <c r="G412" t="b">
        <v>0</v>
      </c>
      <c r="H412" t="b">
        <v>0</v>
      </c>
    </row>
    <row r="413" spans="1:8" x14ac:dyDescent="0.2">
      <c r="A413" s="2">
        <v>411</v>
      </c>
      <c r="B413" t="s">
        <v>841</v>
      </c>
      <c r="C413" t="s">
        <v>842</v>
      </c>
      <c r="D413" t="b">
        <v>0</v>
      </c>
      <c r="E413" t="b">
        <v>0</v>
      </c>
      <c r="F413" t="b">
        <v>1</v>
      </c>
      <c r="G413" t="b">
        <v>0</v>
      </c>
      <c r="H413" t="b">
        <v>0</v>
      </c>
    </row>
    <row r="414" spans="1:8" x14ac:dyDescent="0.2">
      <c r="A414" s="2">
        <v>412</v>
      </c>
      <c r="B414" t="s">
        <v>843</v>
      </c>
      <c r="C414" t="s">
        <v>844</v>
      </c>
      <c r="D414" t="b">
        <v>0</v>
      </c>
      <c r="E414" t="b">
        <v>0</v>
      </c>
      <c r="F414" t="b">
        <v>1</v>
      </c>
      <c r="G414" t="b">
        <v>0</v>
      </c>
      <c r="H414" t="b">
        <v>0</v>
      </c>
    </row>
    <row r="415" spans="1:8" x14ac:dyDescent="0.2">
      <c r="A415" s="2">
        <v>413</v>
      </c>
      <c r="B415" t="s">
        <v>845</v>
      </c>
      <c r="C415" t="s">
        <v>846</v>
      </c>
      <c r="D415" t="b">
        <v>0</v>
      </c>
      <c r="E415" t="b">
        <v>0</v>
      </c>
      <c r="F415" t="b">
        <v>1</v>
      </c>
      <c r="G415" t="b">
        <v>0</v>
      </c>
      <c r="H415" t="b">
        <v>0</v>
      </c>
    </row>
    <row r="416" spans="1:8" x14ac:dyDescent="0.2">
      <c r="A416" s="2">
        <v>414</v>
      </c>
      <c r="B416" t="s">
        <v>847</v>
      </c>
      <c r="C416" t="s">
        <v>848</v>
      </c>
      <c r="D416" t="b">
        <v>0</v>
      </c>
      <c r="E416" t="b">
        <v>0</v>
      </c>
      <c r="F416" t="b">
        <v>1</v>
      </c>
      <c r="G416" t="b">
        <v>0</v>
      </c>
      <c r="H416" t="b">
        <v>0</v>
      </c>
    </row>
    <row r="417" spans="1:8" x14ac:dyDescent="0.2">
      <c r="A417" s="2">
        <v>415</v>
      </c>
      <c r="B417" t="s">
        <v>849</v>
      </c>
      <c r="C417" t="s">
        <v>850</v>
      </c>
      <c r="D417" t="b">
        <v>0</v>
      </c>
      <c r="E417" t="b">
        <v>0</v>
      </c>
      <c r="F417" t="b">
        <v>1</v>
      </c>
      <c r="G417" t="b">
        <v>0</v>
      </c>
      <c r="H417" t="b">
        <v>0</v>
      </c>
    </row>
    <row r="418" spans="1:8" x14ac:dyDescent="0.2">
      <c r="A418" s="2">
        <v>416</v>
      </c>
      <c r="B418" t="s">
        <v>851</v>
      </c>
      <c r="C418" t="s">
        <v>852</v>
      </c>
      <c r="D418" t="b">
        <v>1</v>
      </c>
      <c r="E418" t="b">
        <v>0</v>
      </c>
      <c r="F418" t="b">
        <v>0</v>
      </c>
      <c r="G418" t="b">
        <v>1</v>
      </c>
      <c r="H418" t="b">
        <v>0</v>
      </c>
    </row>
    <row r="419" spans="1:8" x14ac:dyDescent="0.2">
      <c r="A419" s="2">
        <v>417</v>
      </c>
      <c r="B419" t="s">
        <v>853</v>
      </c>
      <c r="C419" t="s">
        <v>854</v>
      </c>
      <c r="D419" t="b">
        <v>0</v>
      </c>
      <c r="E419" t="b">
        <v>0</v>
      </c>
      <c r="F419" t="b">
        <v>1</v>
      </c>
      <c r="G419" t="b">
        <v>0</v>
      </c>
      <c r="H419" t="b">
        <v>1</v>
      </c>
    </row>
    <row r="420" spans="1:8" x14ac:dyDescent="0.2">
      <c r="A420" s="2">
        <v>418</v>
      </c>
      <c r="B420" t="s">
        <v>857</v>
      </c>
      <c r="C420" t="s">
        <v>858</v>
      </c>
      <c r="D420" t="b">
        <v>0</v>
      </c>
      <c r="E420" t="b">
        <v>0</v>
      </c>
      <c r="F420" t="b">
        <v>1</v>
      </c>
      <c r="G420" t="b">
        <v>0</v>
      </c>
      <c r="H420" t="b">
        <v>0</v>
      </c>
    </row>
    <row r="421" spans="1:8" x14ac:dyDescent="0.2">
      <c r="A421" s="2">
        <v>419</v>
      </c>
      <c r="B421" t="s">
        <v>859</v>
      </c>
      <c r="C421" t="s">
        <v>860</v>
      </c>
      <c r="D421" t="b">
        <v>0</v>
      </c>
      <c r="E421" t="b">
        <v>0</v>
      </c>
      <c r="F421" t="b">
        <v>1</v>
      </c>
      <c r="G421" t="b">
        <v>0</v>
      </c>
      <c r="H421" t="b">
        <v>0</v>
      </c>
    </row>
    <row r="422" spans="1:8" x14ac:dyDescent="0.2">
      <c r="A422" s="2">
        <v>420</v>
      </c>
      <c r="B422" t="s">
        <v>861</v>
      </c>
      <c r="C422" t="s">
        <v>862</v>
      </c>
      <c r="D422" t="b">
        <v>0</v>
      </c>
      <c r="E422" t="b">
        <v>0</v>
      </c>
      <c r="F422" t="b">
        <v>1</v>
      </c>
      <c r="G422" t="b">
        <v>0</v>
      </c>
      <c r="H422" t="b">
        <v>1</v>
      </c>
    </row>
    <row r="423" spans="1:8" x14ac:dyDescent="0.2">
      <c r="A423" s="2">
        <v>421</v>
      </c>
      <c r="B423" t="s">
        <v>863</v>
      </c>
      <c r="C423" t="s">
        <v>864</v>
      </c>
      <c r="D423" t="b">
        <v>0</v>
      </c>
      <c r="E423" t="b">
        <v>0</v>
      </c>
      <c r="F423" t="b">
        <v>1</v>
      </c>
      <c r="G423" t="b">
        <v>0</v>
      </c>
      <c r="H423" t="b">
        <v>1</v>
      </c>
    </row>
    <row r="424" spans="1:8" x14ac:dyDescent="0.2">
      <c r="A424" s="2">
        <v>422</v>
      </c>
      <c r="B424" t="s">
        <v>865</v>
      </c>
      <c r="C424" t="s">
        <v>866</v>
      </c>
      <c r="D424" t="b">
        <v>0</v>
      </c>
      <c r="E424" t="b">
        <v>0</v>
      </c>
      <c r="F424" t="b">
        <v>1</v>
      </c>
      <c r="G424" t="b">
        <v>0</v>
      </c>
      <c r="H424" t="b">
        <v>1</v>
      </c>
    </row>
    <row r="425" spans="1:8" x14ac:dyDescent="0.2">
      <c r="A425" s="2">
        <v>423</v>
      </c>
      <c r="B425" t="s">
        <v>867</v>
      </c>
      <c r="C425" t="s">
        <v>868</v>
      </c>
      <c r="D425" t="b">
        <v>0</v>
      </c>
      <c r="E425" t="b">
        <v>0</v>
      </c>
      <c r="F425" t="b">
        <v>1</v>
      </c>
      <c r="G425" t="b">
        <v>0</v>
      </c>
      <c r="H425" t="b">
        <v>0</v>
      </c>
    </row>
    <row r="426" spans="1:8" x14ac:dyDescent="0.2">
      <c r="A426" s="2">
        <v>424</v>
      </c>
      <c r="B426" t="s">
        <v>869</v>
      </c>
      <c r="C426" t="s">
        <v>870</v>
      </c>
      <c r="D426" t="b">
        <v>0</v>
      </c>
      <c r="E426" t="b">
        <v>0</v>
      </c>
      <c r="F426" t="b">
        <v>1</v>
      </c>
      <c r="G426" t="b">
        <v>0</v>
      </c>
      <c r="H426" t="b">
        <v>1</v>
      </c>
    </row>
    <row r="427" spans="1:8" x14ac:dyDescent="0.2">
      <c r="A427" s="2">
        <v>425</v>
      </c>
      <c r="B427" t="s">
        <v>871</v>
      </c>
      <c r="C427" t="s">
        <v>872</v>
      </c>
      <c r="D427" t="b">
        <v>0</v>
      </c>
      <c r="E427" t="b">
        <v>0</v>
      </c>
      <c r="F427" t="b">
        <v>1</v>
      </c>
      <c r="G427" t="b">
        <v>0</v>
      </c>
      <c r="H427" t="b">
        <v>1</v>
      </c>
    </row>
    <row r="428" spans="1:8" x14ac:dyDescent="0.2">
      <c r="A428" s="2">
        <v>426</v>
      </c>
      <c r="B428" t="s">
        <v>873</v>
      </c>
      <c r="C428" t="s">
        <v>874</v>
      </c>
      <c r="D428" t="b">
        <v>0</v>
      </c>
      <c r="E428" t="b">
        <v>0</v>
      </c>
      <c r="F428" t="b">
        <v>1</v>
      </c>
      <c r="G428" t="b">
        <v>0</v>
      </c>
      <c r="H428" t="b">
        <v>1</v>
      </c>
    </row>
    <row r="429" spans="1:8" x14ac:dyDescent="0.2">
      <c r="A429" s="2">
        <v>427</v>
      </c>
      <c r="B429" t="s">
        <v>875</v>
      </c>
      <c r="C429" t="s">
        <v>876</v>
      </c>
      <c r="D429" t="b">
        <v>0</v>
      </c>
      <c r="E429" t="b">
        <v>0</v>
      </c>
      <c r="F429" t="b">
        <v>1</v>
      </c>
      <c r="G429" t="b">
        <v>0</v>
      </c>
      <c r="H429" t="b">
        <v>0</v>
      </c>
    </row>
    <row r="430" spans="1:8" x14ac:dyDescent="0.2">
      <c r="A430" s="2">
        <v>428</v>
      </c>
      <c r="B430" t="s">
        <v>877</v>
      </c>
      <c r="C430" t="s">
        <v>878</v>
      </c>
      <c r="D430" t="b">
        <v>0</v>
      </c>
      <c r="E430" t="b">
        <v>0</v>
      </c>
      <c r="F430" t="b">
        <v>1</v>
      </c>
      <c r="G430" t="b">
        <v>0</v>
      </c>
      <c r="H430" t="b">
        <v>0</v>
      </c>
    </row>
    <row r="431" spans="1:8" x14ac:dyDescent="0.2">
      <c r="A431" s="2">
        <v>429</v>
      </c>
      <c r="B431" t="s">
        <v>879</v>
      </c>
      <c r="C431" t="s">
        <v>880</v>
      </c>
      <c r="D431" t="b">
        <v>0</v>
      </c>
      <c r="E431" t="b">
        <v>0</v>
      </c>
      <c r="F431" t="b">
        <v>1</v>
      </c>
      <c r="G431" t="b">
        <v>0</v>
      </c>
      <c r="H431" t="b">
        <v>0</v>
      </c>
    </row>
    <row r="432" spans="1:8" x14ac:dyDescent="0.2">
      <c r="A432" s="2">
        <v>430</v>
      </c>
      <c r="B432" t="s">
        <v>881</v>
      </c>
      <c r="C432" t="s">
        <v>882</v>
      </c>
      <c r="D432" t="b">
        <v>0</v>
      </c>
      <c r="E432" t="b">
        <v>0</v>
      </c>
      <c r="F432" t="b">
        <v>1</v>
      </c>
      <c r="G432" t="b">
        <v>0</v>
      </c>
      <c r="H432" t="b">
        <v>0</v>
      </c>
    </row>
    <row r="433" spans="1:8" x14ac:dyDescent="0.2">
      <c r="A433" s="2">
        <v>431</v>
      </c>
      <c r="B433" t="s">
        <v>883</v>
      </c>
      <c r="C433" t="s">
        <v>884</v>
      </c>
      <c r="D433" t="b">
        <v>0</v>
      </c>
      <c r="E433" t="b">
        <v>0</v>
      </c>
      <c r="F433" t="b">
        <v>1</v>
      </c>
      <c r="G433" t="b">
        <v>0</v>
      </c>
      <c r="H433" t="b">
        <v>0</v>
      </c>
    </row>
    <row r="434" spans="1:8" x14ac:dyDescent="0.2">
      <c r="A434" s="2">
        <v>432</v>
      </c>
      <c r="B434" t="s">
        <v>885</v>
      </c>
      <c r="C434" t="s">
        <v>886</v>
      </c>
      <c r="D434" t="b">
        <v>0</v>
      </c>
      <c r="E434" t="b">
        <v>0</v>
      </c>
      <c r="F434" t="b">
        <v>1</v>
      </c>
      <c r="G434" t="b">
        <v>0</v>
      </c>
      <c r="H434" t="b">
        <v>0</v>
      </c>
    </row>
    <row r="435" spans="1:8" x14ac:dyDescent="0.2">
      <c r="A435" s="2">
        <v>433</v>
      </c>
      <c r="B435" t="s">
        <v>887</v>
      </c>
      <c r="C435" t="s">
        <v>888</v>
      </c>
      <c r="D435" t="b">
        <v>0</v>
      </c>
      <c r="E435" t="b">
        <v>0</v>
      </c>
      <c r="F435" t="b">
        <v>1</v>
      </c>
      <c r="G435" t="b">
        <v>0</v>
      </c>
      <c r="H435" t="b">
        <v>0</v>
      </c>
    </row>
    <row r="436" spans="1:8" x14ac:dyDescent="0.2">
      <c r="A436" s="2">
        <v>434</v>
      </c>
      <c r="B436" t="s">
        <v>889</v>
      </c>
      <c r="C436" t="s">
        <v>890</v>
      </c>
      <c r="D436" t="b">
        <v>0</v>
      </c>
      <c r="E436" t="b">
        <v>0</v>
      </c>
      <c r="F436" t="b">
        <v>1</v>
      </c>
      <c r="G436" t="b">
        <v>0</v>
      </c>
      <c r="H436" t="b">
        <v>0</v>
      </c>
    </row>
    <row r="437" spans="1:8" x14ac:dyDescent="0.2">
      <c r="A437">
        <v>435</v>
      </c>
      <c r="B437" t="s">
        <v>898</v>
      </c>
      <c r="C437" t="s">
        <v>899</v>
      </c>
      <c r="D437" t="b">
        <v>0</v>
      </c>
      <c r="E437" t="b">
        <v>0</v>
      </c>
      <c r="F437" t="b">
        <v>1</v>
      </c>
      <c r="G437" t="b">
        <v>0</v>
      </c>
      <c r="H437" t="b">
        <v>0</v>
      </c>
    </row>
    <row r="438" spans="1:8" x14ac:dyDescent="0.2">
      <c r="A438">
        <v>436</v>
      </c>
      <c r="B438" t="s">
        <v>900</v>
      </c>
      <c r="C438" t="s">
        <v>901</v>
      </c>
      <c r="D438" t="b">
        <v>0</v>
      </c>
      <c r="E438" t="b">
        <v>0</v>
      </c>
      <c r="F438" t="b">
        <v>1</v>
      </c>
      <c r="G438" t="b">
        <v>0</v>
      </c>
      <c r="H438" t="b">
        <v>1</v>
      </c>
    </row>
    <row r="439" spans="1:8" x14ac:dyDescent="0.2">
      <c r="A439">
        <v>437</v>
      </c>
      <c r="B439" t="s">
        <v>902</v>
      </c>
      <c r="C439" t="s">
        <v>903</v>
      </c>
      <c r="D439" t="b">
        <v>0</v>
      </c>
      <c r="E439" t="b">
        <v>0</v>
      </c>
      <c r="F439" t="b">
        <v>1</v>
      </c>
      <c r="G439" t="b">
        <v>0</v>
      </c>
      <c r="H439" t="b">
        <v>0</v>
      </c>
    </row>
    <row r="440" spans="1:8" x14ac:dyDescent="0.2">
      <c r="A440">
        <v>438</v>
      </c>
      <c r="B440" t="s">
        <v>904</v>
      </c>
      <c r="C440" t="s">
        <v>905</v>
      </c>
      <c r="D440" t="b">
        <v>0</v>
      </c>
      <c r="E440" t="b">
        <v>0</v>
      </c>
      <c r="F440" t="b">
        <v>1</v>
      </c>
      <c r="G440" t="b">
        <v>0</v>
      </c>
      <c r="H440" t="b">
        <v>0</v>
      </c>
    </row>
    <row r="441" spans="1:8" x14ac:dyDescent="0.2">
      <c r="A441">
        <v>439</v>
      </c>
      <c r="B441" t="s">
        <v>906</v>
      </c>
      <c r="C441" t="s">
        <v>907</v>
      </c>
      <c r="D441" t="b">
        <v>0</v>
      </c>
      <c r="E441" t="b">
        <v>0</v>
      </c>
      <c r="F441" t="b">
        <v>1</v>
      </c>
      <c r="G441" t="b">
        <v>0</v>
      </c>
      <c r="H441" t="b">
        <v>1</v>
      </c>
    </row>
    <row r="442" spans="1:8" x14ac:dyDescent="0.2">
      <c r="A442">
        <v>440</v>
      </c>
      <c r="B442" t="s">
        <v>908</v>
      </c>
      <c r="C442" s="1" t="s">
        <v>909</v>
      </c>
      <c r="D442" t="b">
        <v>0</v>
      </c>
      <c r="E442" t="b">
        <v>0</v>
      </c>
      <c r="F442" t="b">
        <v>1</v>
      </c>
      <c r="G442" t="b">
        <v>0</v>
      </c>
      <c r="H442" t="b">
        <v>1</v>
      </c>
    </row>
    <row r="443" spans="1:8" x14ac:dyDescent="0.2">
      <c r="A443">
        <v>441</v>
      </c>
      <c r="B443" t="s">
        <v>910</v>
      </c>
      <c r="C443" t="s">
        <v>911</v>
      </c>
      <c r="D443" t="b">
        <v>0</v>
      </c>
      <c r="E443" t="b">
        <v>0</v>
      </c>
      <c r="F443" t="b">
        <v>1</v>
      </c>
      <c r="G443" t="b">
        <v>0</v>
      </c>
      <c r="H443" t="b">
        <v>0</v>
      </c>
    </row>
    <row r="444" spans="1:8" x14ac:dyDescent="0.2">
      <c r="A444">
        <v>442</v>
      </c>
      <c r="B444" t="s">
        <v>912</v>
      </c>
      <c r="C444" t="s">
        <v>913</v>
      </c>
      <c r="D444" t="b">
        <v>0</v>
      </c>
      <c r="E444" t="b">
        <v>0</v>
      </c>
      <c r="F444" t="b">
        <v>1</v>
      </c>
      <c r="G444" t="b">
        <v>0</v>
      </c>
      <c r="H444" t="b">
        <v>0</v>
      </c>
    </row>
    <row r="445" spans="1:8" x14ac:dyDescent="0.2">
      <c r="A445">
        <v>443</v>
      </c>
      <c r="B445" t="s">
        <v>914</v>
      </c>
      <c r="C445" t="s">
        <v>915</v>
      </c>
      <c r="D445" t="b">
        <v>0</v>
      </c>
      <c r="E445" t="b">
        <v>0</v>
      </c>
      <c r="F445" t="b">
        <v>1</v>
      </c>
      <c r="G445" t="b">
        <v>0</v>
      </c>
      <c r="H445" t="b">
        <v>1</v>
      </c>
    </row>
    <row r="446" spans="1:8" x14ac:dyDescent="0.2">
      <c r="A446">
        <v>444</v>
      </c>
      <c r="B446" t="s">
        <v>916</v>
      </c>
      <c r="C446" t="s">
        <v>917</v>
      </c>
      <c r="D446" t="b">
        <v>0</v>
      </c>
      <c r="E446" t="b">
        <v>0</v>
      </c>
      <c r="F446" t="b">
        <v>1</v>
      </c>
      <c r="G446" t="b">
        <v>0</v>
      </c>
      <c r="H446" t="b">
        <v>1</v>
      </c>
    </row>
    <row r="447" spans="1:8" x14ac:dyDescent="0.2">
      <c r="A447">
        <v>445</v>
      </c>
      <c r="B447" t="s">
        <v>918</v>
      </c>
      <c r="C447" t="s">
        <v>919</v>
      </c>
      <c r="D447" t="b">
        <v>0</v>
      </c>
      <c r="E447" t="b">
        <v>0</v>
      </c>
      <c r="F447" t="b">
        <v>1</v>
      </c>
      <c r="G447" t="b">
        <v>0</v>
      </c>
      <c r="H447" t="b">
        <v>0</v>
      </c>
    </row>
    <row r="448" spans="1:8" x14ac:dyDescent="0.2">
      <c r="A448">
        <v>446</v>
      </c>
      <c r="B448" t="s">
        <v>920</v>
      </c>
      <c r="C448" t="s">
        <v>921</v>
      </c>
      <c r="D448" t="b">
        <v>0</v>
      </c>
      <c r="E448" t="b">
        <v>0</v>
      </c>
      <c r="F448" t="b">
        <v>1</v>
      </c>
      <c r="G448" t="b">
        <v>0</v>
      </c>
      <c r="H448" t="b">
        <v>1</v>
      </c>
    </row>
    <row r="449" spans="1:8" x14ac:dyDescent="0.2">
      <c r="A449">
        <v>447</v>
      </c>
      <c r="B449" t="s">
        <v>922</v>
      </c>
      <c r="C449" t="s">
        <v>923</v>
      </c>
      <c r="D449" t="b">
        <v>0</v>
      </c>
      <c r="E449" t="b">
        <v>0</v>
      </c>
      <c r="F449" t="b">
        <v>1</v>
      </c>
      <c r="G449" t="b">
        <v>0</v>
      </c>
      <c r="H449" t="b">
        <v>0</v>
      </c>
    </row>
    <row r="450" spans="1:8" x14ac:dyDescent="0.2">
      <c r="A450">
        <v>448</v>
      </c>
      <c r="B450" t="s">
        <v>924</v>
      </c>
      <c r="C450" t="s">
        <v>925</v>
      </c>
      <c r="D450" t="b">
        <v>0</v>
      </c>
      <c r="E450" t="b">
        <v>0</v>
      </c>
      <c r="F450" t="b">
        <v>1</v>
      </c>
      <c r="G450" t="b">
        <v>0</v>
      </c>
      <c r="H450" t="b">
        <v>1</v>
      </c>
    </row>
    <row r="451" spans="1:8" x14ac:dyDescent="0.2">
      <c r="A451">
        <v>449</v>
      </c>
      <c r="B451" t="s">
        <v>926</v>
      </c>
      <c r="C451" t="s">
        <v>927</v>
      </c>
      <c r="D451" t="b">
        <v>0</v>
      </c>
      <c r="E451" t="b">
        <v>0</v>
      </c>
      <c r="F451" t="b">
        <v>1</v>
      </c>
      <c r="G451" t="b">
        <v>0</v>
      </c>
      <c r="H451" t="b">
        <v>1</v>
      </c>
    </row>
    <row r="452" spans="1:8" x14ac:dyDescent="0.2">
      <c r="A452">
        <v>450</v>
      </c>
      <c r="B452" t="s">
        <v>928</v>
      </c>
      <c r="C452" t="s">
        <v>929</v>
      </c>
      <c r="D452" t="b">
        <v>0</v>
      </c>
      <c r="E452" t="b">
        <v>0</v>
      </c>
      <c r="F452" t="b">
        <v>1</v>
      </c>
      <c r="G452" t="b">
        <v>0</v>
      </c>
      <c r="H452" t="b">
        <v>1</v>
      </c>
    </row>
    <row r="453" spans="1:8" x14ac:dyDescent="0.2">
      <c r="A453">
        <v>451</v>
      </c>
      <c r="B453" t="s">
        <v>930</v>
      </c>
      <c r="C453" t="s">
        <v>931</v>
      </c>
      <c r="D453" t="b">
        <v>0</v>
      </c>
      <c r="E453" t="b">
        <v>0</v>
      </c>
      <c r="F453" t="b">
        <v>1</v>
      </c>
      <c r="G453" t="b">
        <v>0</v>
      </c>
      <c r="H453" t="b">
        <v>1</v>
      </c>
    </row>
    <row r="454" spans="1:8" x14ac:dyDescent="0.2">
      <c r="A454">
        <v>452</v>
      </c>
      <c r="B454" t="s">
        <v>932</v>
      </c>
      <c r="C454" t="s">
        <v>160</v>
      </c>
      <c r="D454" t="b">
        <v>0</v>
      </c>
      <c r="E454" t="b">
        <v>1</v>
      </c>
      <c r="F454" t="b">
        <v>1</v>
      </c>
      <c r="G454" t="b">
        <v>0</v>
      </c>
      <c r="H454" t="b">
        <v>0</v>
      </c>
    </row>
    <row r="455" spans="1:8" x14ac:dyDescent="0.2">
      <c r="A455">
        <v>453</v>
      </c>
      <c r="B455" t="s">
        <v>933</v>
      </c>
      <c r="C455" t="s">
        <v>934</v>
      </c>
      <c r="D455" t="b">
        <v>0</v>
      </c>
      <c r="E455" t="b">
        <v>0</v>
      </c>
      <c r="F455" t="b">
        <v>1</v>
      </c>
      <c r="G455" t="b">
        <v>0</v>
      </c>
      <c r="H455" t="b">
        <v>1</v>
      </c>
    </row>
    <row r="456" spans="1:8" x14ac:dyDescent="0.2">
      <c r="A456">
        <v>454</v>
      </c>
      <c r="B456" t="s">
        <v>935</v>
      </c>
      <c r="C456" t="s">
        <v>936</v>
      </c>
      <c r="D456" t="b">
        <v>0</v>
      </c>
      <c r="E456" t="b">
        <v>0</v>
      </c>
      <c r="F456" t="b">
        <v>1</v>
      </c>
      <c r="G456" t="b">
        <v>0</v>
      </c>
      <c r="H456" t="b">
        <v>0</v>
      </c>
    </row>
    <row r="457" spans="1:8" x14ac:dyDescent="0.2">
      <c r="A457">
        <v>455</v>
      </c>
      <c r="B457" t="s">
        <v>937</v>
      </c>
      <c r="C457" t="s">
        <v>938</v>
      </c>
      <c r="D457" t="b">
        <v>0</v>
      </c>
      <c r="E457" t="b">
        <v>0</v>
      </c>
      <c r="F457" t="b">
        <v>1</v>
      </c>
      <c r="G457" t="b">
        <v>0</v>
      </c>
      <c r="H457" t="b">
        <v>0</v>
      </c>
    </row>
    <row r="458" spans="1:8" x14ac:dyDescent="0.2">
      <c r="A458">
        <v>456</v>
      </c>
      <c r="B458" t="s">
        <v>939</v>
      </c>
      <c r="C458" t="s">
        <v>940</v>
      </c>
      <c r="D458" t="b">
        <v>0</v>
      </c>
      <c r="E458" t="b">
        <v>0</v>
      </c>
      <c r="F458" t="b">
        <v>1</v>
      </c>
      <c r="G458" t="b">
        <v>0</v>
      </c>
      <c r="H458" t="b">
        <v>0</v>
      </c>
    </row>
    <row r="459" spans="1:8" x14ac:dyDescent="0.2">
      <c r="A459">
        <v>457</v>
      </c>
      <c r="B459" t="s">
        <v>941</v>
      </c>
      <c r="C459" t="s">
        <v>942</v>
      </c>
      <c r="D459" t="b">
        <v>0</v>
      </c>
      <c r="E459" t="b">
        <v>0</v>
      </c>
      <c r="F459" t="b">
        <v>1</v>
      </c>
      <c r="G459" t="b">
        <v>0</v>
      </c>
      <c r="H459" t="b">
        <v>0</v>
      </c>
    </row>
    <row r="460" spans="1:8" x14ac:dyDescent="0.2">
      <c r="A460">
        <v>458</v>
      </c>
      <c r="B460" t="s">
        <v>943</v>
      </c>
      <c r="C460" t="s">
        <v>944</v>
      </c>
      <c r="D460" t="b">
        <v>0</v>
      </c>
      <c r="E460" t="b">
        <v>0</v>
      </c>
      <c r="F460" t="b">
        <v>1</v>
      </c>
      <c r="G460" t="b">
        <v>0</v>
      </c>
      <c r="H460" t="b">
        <v>1</v>
      </c>
    </row>
    <row r="461" spans="1:8" x14ac:dyDescent="0.2">
      <c r="A461">
        <v>459</v>
      </c>
      <c r="B461" t="s">
        <v>945</v>
      </c>
      <c r="C461" t="s">
        <v>946</v>
      </c>
      <c r="D461" t="b">
        <v>0</v>
      </c>
      <c r="E461" t="b">
        <v>1</v>
      </c>
      <c r="F461" t="b">
        <v>1</v>
      </c>
      <c r="G461" t="b">
        <v>0</v>
      </c>
      <c r="H461" t="b">
        <v>0</v>
      </c>
    </row>
    <row r="462" spans="1:8" x14ac:dyDescent="0.2">
      <c r="A462">
        <v>460</v>
      </c>
      <c r="B462" t="s">
        <v>947</v>
      </c>
      <c r="C462" t="s">
        <v>948</v>
      </c>
      <c r="D462" t="b">
        <v>0</v>
      </c>
      <c r="E462" t="b">
        <v>0</v>
      </c>
      <c r="F462" t="b">
        <v>1</v>
      </c>
      <c r="G462" t="b">
        <v>0</v>
      </c>
      <c r="H462" t="b">
        <v>0</v>
      </c>
    </row>
    <row r="463" spans="1:8" x14ac:dyDescent="0.2">
      <c r="A463">
        <v>461</v>
      </c>
      <c r="B463" t="s">
        <v>949</v>
      </c>
      <c r="C463" t="s">
        <v>950</v>
      </c>
      <c r="D463" t="b">
        <v>0</v>
      </c>
      <c r="E463" t="b">
        <v>0</v>
      </c>
      <c r="F463" t="b">
        <v>1</v>
      </c>
      <c r="G463" t="b">
        <v>0</v>
      </c>
      <c r="H463" t="b">
        <v>1</v>
      </c>
    </row>
    <row r="464" spans="1:8" x14ac:dyDescent="0.2">
      <c r="A464">
        <v>462</v>
      </c>
      <c r="B464" t="s">
        <v>951</v>
      </c>
      <c r="C464" t="s">
        <v>952</v>
      </c>
      <c r="D464" t="b">
        <v>0</v>
      </c>
      <c r="E464" t="b">
        <v>0</v>
      </c>
      <c r="F464" t="b">
        <v>1</v>
      </c>
      <c r="G464" t="b">
        <v>0</v>
      </c>
      <c r="H464" t="b">
        <v>1</v>
      </c>
    </row>
    <row r="465" spans="1:8" x14ac:dyDescent="0.2">
      <c r="A465">
        <v>463</v>
      </c>
      <c r="B465" t="s">
        <v>953</v>
      </c>
      <c r="C465" t="s">
        <v>954</v>
      </c>
      <c r="D465" t="b">
        <v>0</v>
      </c>
      <c r="E465" t="b">
        <v>0</v>
      </c>
      <c r="F465" t="b">
        <v>1</v>
      </c>
      <c r="G465" t="b">
        <v>0</v>
      </c>
      <c r="H465" t="b">
        <v>1</v>
      </c>
    </row>
    <row r="466" spans="1:8" x14ac:dyDescent="0.2">
      <c r="A466">
        <v>464</v>
      </c>
      <c r="B466" t="s">
        <v>955</v>
      </c>
      <c r="C466" t="s">
        <v>956</v>
      </c>
      <c r="D466" t="b">
        <v>0</v>
      </c>
      <c r="E466" t="b">
        <v>0</v>
      </c>
      <c r="F466" t="b">
        <v>1</v>
      </c>
      <c r="G466" t="b">
        <v>0</v>
      </c>
      <c r="H466" t="b">
        <v>1</v>
      </c>
    </row>
    <row r="467" spans="1:8" x14ac:dyDescent="0.2">
      <c r="A467">
        <v>465</v>
      </c>
      <c r="B467" t="s">
        <v>957</v>
      </c>
      <c r="C467" t="s">
        <v>958</v>
      </c>
      <c r="D467" t="b">
        <v>0</v>
      </c>
      <c r="E467" t="b">
        <v>0</v>
      </c>
      <c r="F467" t="b">
        <v>1</v>
      </c>
      <c r="G467" t="b">
        <v>0</v>
      </c>
      <c r="H467" t="b">
        <v>1</v>
      </c>
    </row>
    <row r="468" spans="1:8" x14ac:dyDescent="0.2">
      <c r="A468">
        <v>466</v>
      </c>
      <c r="B468" t="s">
        <v>959</v>
      </c>
      <c r="C468" t="s">
        <v>960</v>
      </c>
      <c r="D468" t="b">
        <v>0</v>
      </c>
      <c r="E468" t="b">
        <v>0</v>
      </c>
      <c r="F468" t="b">
        <v>1</v>
      </c>
      <c r="G468" t="b">
        <v>0</v>
      </c>
      <c r="H468" t="b">
        <v>1</v>
      </c>
    </row>
    <row r="469" spans="1:8" x14ac:dyDescent="0.2">
      <c r="A469">
        <v>467</v>
      </c>
      <c r="B469" t="s">
        <v>961</v>
      </c>
      <c r="C469" t="s">
        <v>962</v>
      </c>
      <c r="D469" t="b">
        <v>0</v>
      </c>
      <c r="E469" t="b">
        <v>0</v>
      </c>
      <c r="F469" t="b">
        <v>1</v>
      </c>
      <c r="G469" t="b">
        <v>0</v>
      </c>
      <c r="H469" t="b">
        <v>1</v>
      </c>
    </row>
    <row r="470" spans="1:8" x14ac:dyDescent="0.2">
      <c r="A470">
        <v>468</v>
      </c>
      <c r="B470" t="s">
        <v>963</v>
      </c>
      <c r="C470" t="s">
        <v>964</v>
      </c>
      <c r="D470" t="b">
        <v>0</v>
      </c>
      <c r="E470" t="b">
        <v>0</v>
      </c>
      <c r="F470" t="b">
        <v>1</v>
      </c>
      <c r="G470" t="b">
        <v>0</v>
      </c>
      <c r="H470" t="b">
        <v>1</v>
      </c>
    </row>
    <row r="471" spans="1:8" x14ac:dyDescent="0.2">
      <c r="A471">
        <v>469</v>
      </c>
      <c r="B471" t="s">
        <v>965</v>
      </c>
      <c r="C471" t="s">
        <v>966</v>
      </c>
      <c r="D471" t="b">
        <v>0</v>
      </c>
      <c r="E471" t="b">
        <v>0</v>
      </c>
      <c r="F471" t="b">
        <v>1</v>
      </c>
      <c r="G471" t="b">
        <v>0</v>
      </c>
      <c r="H471" t="b">
        <v>1</v>
      </c>
    </row>
    <row r="472" spans="1:8" x14ac:dyDescent="0.2">
      <c r="A472">
        <v>470</v>
      </c>
      <c r="B472" t="s">
        <v>967</v>
      </c>
      <c r="C472" t="s">
        <v>968</v>
      </c>
      <c r="D472" t="b">
        <v>0</v>
      </c>
      <c r="E472" t="b">
        <v>0</v>
      </c>
      <c r="F472" t="b">
        <v>1</v>
      </c>
      <c r="G472" t="b">
        <v>0</v>
      </c>
      <c r="H472" t="b">
        <v>1</v>
      </c>
    </row>
    <row r="473" spans="1:8" x14ac:dyDescent="0.2">
      <c r="A473">
        <v>471</v>
      </c>
      <c r="B473" t="s">
        <v>969</v>
      </c>
      <c r="C473" t="s">
        <v>970</v>
      </c>
      <c r="D473" t="b">
        <v>0</v>
      </c>
      <c r="E473" t="b">
        <v>0</v>
      </c>
      <c r="F473" t="b">
        <v>1</v>
      </c>
      <c r="G473" t="b">
        <v>0</v>
      </c>
      <c r="H473" t="b">
        <v>1</v>
      </c>
    </row>
    <row r="474" spans="1:8" x14ac:dyDescent="0.2">
      <c r="A474">
        <v>472</v>
      </c>
      <c r="B474" t="s">
        <v>971</v>
      </c>
      <c r="C474" t="s">
        <v>972</v>
      </c>
      <c r="D474" t="b">
        <v>0</v>
      </c>
      <c r="E474" t="b">
        <v>0</v>
      </c>
      <c r="F474" t="b">
        <v>1</v>
      </c>
      <c r="G474" t="b">
        <v>0</v>
      </c>
      <c r="H474" t="b">
        <v>0</v>
      </c>
    </row>
    <row r="475" spans="1:8" x14ac:dyDescent="0.2">
      <c r="A475">
        <v>473</v>
      </c>
      <c r="B475" t="s">
        <v>973</v>
      </c>
      <c r="C475" t="s">
        <v>160</v>
      </c>
      <c r="D475" t="b">
        <v>0</v>
      </c>
      <c r="E475" t="b">
        <v>1</v>
      </c>
      <c r="F475" t="b">
        <v>1</v>
      </c>
      <c r="G475" t="b">
        <v>0</v>
      </c>
      <c r="H475" t="b">
        <v>0</v>
      </c>
    </row>
    <row r="476" spans="1:8" x14ac:dyDescent="0.2">
      <c r="A476">
        <v>474</v>
      </c>
      <c r="B476" t="s">
        <v>974</v>
      </c>
      <c r="C476" t="s">
        <v>975</v>
      </c>
      <c r="D476" t="b">
        <v>0</v>
      </c>
      <c r="E476" t="b">
        <v>0</v>
      </c>
      <c r="F476" t="b">
        <v>1</v>
      </c>
      <c r="G476" t="b">
        <v>0</v>
      </c>
      <c r="H476" t="b">
        <v>0</v>
      </c>
    </row>
    <row r="477" spans="1:8" x14ac:dyDescent="0.2">
      <c r="A477">
        <v>475</v>
      </c>
      <c r="B477" t="s">
        <v>976</v>
      </c>
      <c r="C477" t="s">
        <v>977</v>
      </c>
      <c r="D477" t="b">
        <v>0</v>
      </c>
      <c r="E477" t="b">
        <v>0</v>
      </c>
      <c r="F477" t="b">
        <v>1</v>
      </c>
      <c r="G477" t="b">
        <v>0</v>
      </c>
      <c r="H477" t="b">
        <v>0</v>
      </c>
    </row>
    <row r="478" spans="1:8" x14ac:dyDescent="0.2">
      <c r="A478">
        <v>476</v>
      </c>
      <c r="B478" t="s">
        <v>978</v>
      </c>
      <c r="C478" t="s">
        <v>979</v>
      </c>
      <c r="D478" t="b">
        <v>0</v>
      </c>
      <c r="E478" t="b">
        <v>0</v>
      </c>
      <c r="F478" t="b">
        <v>1</v>
      </c>
      <c r="G478" t="b">
        <v>0</v>
      </c>
      <c r="H478" t="b">
        <v>1</v>
      </c>
    </row>
    <row r="479" spans="1:8" x14ac:dyDescent="0.2">
      <c r="A479">
        <v>477</v>
      </c>
      <c r="B479" t="s">
        <v>980</v>
      </c>
      <c r="C479" t="s">
        <v>981</v>
      </c>
      <c r="D479" t="b">
        <v>0</v>
      </c>
      <c r="E479" t="b">
        <v>0</v>
      </c>
      <c r="F479" t="b">
        <v>1</v>
      </c>
      <c r="G479" t="b">
        <v>0</v>
      </c>
      <c r="H479" t="b">
        <v>0</v>
      </c>
    </row>
    <row r="480" spans="1:8" x14ac:dyDescent="0.2">
      <c r="A480">
        <v>478</v>
      </c>
      <c r="B480" t="s">
        <v>982</v>
      </c>
      <c r="C480" t="s">
        <v>983</v>
      </c>
      <c r="D480" t="b">
        <v>0</v>
      </c>
      <c r="E480" t="b">
        <v>0</v>
      </c>
      <c r="F480" t="b">
        <v>1</v>
      </c>
      <c r="G480" t="b">
        <v>0</v>
      </c>
      <c r="H480" t="b">
        <v>0</v>
      </c>
    </row>
    <row r="481" spans="1:8" x14ac:dyDescent="0.2">
      <c r="A481">
        <v>479</v>
      </c>
      <c r="B481" t="s">
        <v>984</v>
      </c>
      <c r="C481" t="s">
        <v>985</v>
      </c>
      <c r="D481" t="b">
        <v>0</v>
      </c>
      <c r="E481" t="b">
        <v>0</v>
      </c>
      <c r="F481" t="b">
        <v>1</v>
      </c>
      <c r="G481" t="b">
        <v>0</v>
      </c>
      <c r="H481" t="b">
        <v>0</v>
      </c>
    </row>
    <row r="482" spans="1:8" x14ac:dyDescent="0.2">
      <c r="A482">
        <v>480</v>
      </c>
      <c r="B482" t="s">
        <v>986</v>
      </c>
      <c r="C482" t="s">
        <v>987</v>
      </c>
      <c r="D482" t="b">
        <v>0</v>
      </c>
      <c r="E482" t="b">
        <v>0</v>
      </c>
      <c r="F482" t="b">
        <v>1</v>
      </c>
      <c r="G482" t="b">
        <v>0</v>
      </c>
      <c r="H482" t="b">
        <v>1</v>
      </c>
    </row>
    <row r="483" spans="1:8" x14ac:dyDescent="0.2">
      <c r="A483">
        <v>481</v>
      </c>
      <c r="B483" t="s">
        <v>988</v>
      </c>
      <c r="C483" t="s">
        <v>160</v>
      </c>
      <c r="D483" t="b">
        <v>0</v>
      </c>
      <c r="E483" t="b">
        <v>1</v>
      </c>
      <c r="F483" t="b">
        <v>1</v>
      </c>
      <c r="G483" t="b">
        <v>0</v>
      </c>
      <c r="H483" t="b">
        <v>0</v>
      </c>
    </row>
    <row r="484" spans="1:8" x14ac:dyDescent="0.2">
      <c r="A484">
        <v>482</v>
      </c>
      <c r="B484" t="s">
        <v>989</v>
      </c>
      <c r="C484" t="s">
        <v>990</v>
      </c>
      <c r="D484" t="b">
        <v>0</v>
      </c>
      <c r="E484" t="b">
        <v>0</v>
      </c>
      <c r="F484" t="b">
        <v>1</v>
      </c>
      <c r="G484" t="b">
        <v>0</v>
      </c>
      <c r="H484" t="b">
        <v>1</v>
      </c>
    </row>
    <row r="485" spans="1:8" x14ac:dyDescent="0.2">
      <c r="A485">
        <v>483</v>
      </c>
      <c r="B485" t="s">
        <v>991</v>
      </c>
      <c r="C485" t="s">
        <v>992</v>
      </c>
      <c r="D485" t="b">
        <v>0</v>
      </c>
      <c r="E485" t="b">
        <v>0</v>
      </c>
      <c r="F485" t="b">
        <v>1</v>
      </c>
      <c r="G485" t="b">
        <v>0</v>
      </c>
      <c r="H485" t="b">
        <v>1</v>
      </c>
    </row>
    <row r="486" spans="1:8" x14ac:dyDescent="0.2">
      <c r="A486">
        <v>484</v>
      </c>
      <c r="B486" t="s">
        <v>993</v>
      </c>
      <c r="C486" t="s">
        <v>994</v>
      </c>
      <c r="D486" t="b">
        <v>0</v>
      </c>
      <c r="E486" t="b">
        <v>0</v>
      </c>
      <c r="F486" t="b">
        <v>1</v>
      </c>
      <c r="G486" t="b">
        <v>0</v>
      </c>
      <c r="H486" t="b">
        <v>0</v>
      </c>
    </row>
    <row r="487" spans="1:8" x14ac:dyDescent="0.2">
      <c r="A487">
        <v>485</v>
      </c>
      <c r="B487" t="s">
        <v>995</v>
      </c>
      <c r="C487" t="s">
        <v>996</v>
      </c>
      <c r="D487" t="b">
        <v>0</v>
      </c>
      <c r="E487" t="b">
        <v>0</v>
      </c>
      <c r="F487" t="b">
        <v>1</v>
      </c>
      <c r="G487" t="b">
        <v>0</v>
      </c>
      <c r="H487" t="b">
        <v>0</v>
      </c>
    </row>
    <row r="488" spans="1:8" x14ac:dyDescent="0.2">
      <c r="A488">
        <v>486</v>
      </c>
      <c r="B488" t="s">
        <v>997</v>
      </c>
      <c r="C488" s="1" t="s">
        <v>998</v>
      </c>
      <c r="D488" t="b">
        <v>0</v>
      </c>
      <c r="E488" t="b">
        <v>0</v>
      </c>
      <c r="F488" t="b">
        <v>1</v>
      </c>
      <c r="G488" t="b">
        <v>0</v>
      </c>
      <c r="H488" t="b">
        <v>0</v>
      </c>
    </row>
    <row r="489" spans="1:8" x14ac:dyDescent="0.2">
      <c r="A489">
        <v>487</v>
      </c>
      <c r="B489" t="s">
        <v>999</v>
      </c>
      <c r="C489" t="s">
        <v>1000</v>
      </c>
      <c r="D489" t="b">
        <v>0</v>
      </c>
      <c r="E489" t="b">
        <v>0</v>
      </c>
      <c r="F489" t="b">
        <v>1</v>
      </c>
      <c r="G489" t="b">
        <v>0</v>
      </c>
      <c r="H489" t="b">
        <v>0</v>
      </c>
    </row>
    <row r="490" spans="1:8" x14ac:dyDescent="0.2">
      <c r="A490">
        <v>488</v>
      </c>
      <c r="B490" t="s">
        <v>1001</v>
      </c>
      <c r="C490" t="s">
        <v>1002</v>
      </c>
      <c r="D490" t="b">
        <v>0</v>
      </c>
      <c r="E490" t="b">
        <v>1</v>
      </c>
      <c r="F490" t="b">
        <v>1</v>
      </c>
      <c r="G490" t="b">
        <v>0</v>
      </c>
      <c r="H490" t="b">
        <v>0</v>
      </c>
    </row>
    <row r="491" spans="1:8" x14ac:dyDescent="0.2">
      <c r="A491">
        <v>489</v>
      </c>
      <c r="B491" t="s">
        <v>1003</v>
      </c>
      <c r="C491" t="s">
        <v>1004</v>
      </c>
      <c r="D491" t="b">
        <v>0</v>
      </c>
      <c r="E491" t="b">
        <v>0</v>
      </c>
      <c r="F491" t="b">
        <v>1</v>
      </c>
      <c r="G491" t="b">
        <v>0</v>
      </c>
      <c r="H491" t="b">
        <v>0</v>
      </c>
    </row>
    <row r="492" spans="1:8" x14ac:dyDescent="0.2">
      <c r="A492">
        <v>490</v>
      </c>
      <c r="B492" t="s">
        <v>1005</v>
      </c>
      <c r="C492" t="s">
        <v>1006</v>
      </c>
      <c r="D492" t="b">
        <v>0</v>
      </c>
      <c r="E492" t="b">
        <v>0</v>
      </c>
      <c r="F492" t="b">
        <v>1</v>
      </c>
      <c r="G492" t="b">
        <v>0</v>
      </c>
      <c r="H492" t="b">
        <v>0</v>
      </c>
    </row>
    <row r="493" spans="1:8" x14ac:dyDescent="0.2">
      <c r="A493">
        <v>491</v>
      </c>
      <c r="B493" t="s">
        <v>1007</v>
      </c>
      <c r="C493" t="s">
        <v>1008</v>
      </c>
      <c r="D493" t="b">
        <v>0</v>
      </c>
      <c r="E493" t="b">
        <v>0</v>
      </c>
      <c r="F493" t="b">
        <v>1</v>
      </c>
      <c r="G493" t="b">
        <v>0</v>
      </c>
      <c r="H493" t="b">
        <v>1</v>
      </c>
    </row>
    <row r="494" spans="1:8" x14ac:dyDescent="0.2">
      <c r="A494">
        <v>492</v>
      </c>
      <c r="B494" t="s">
        <v>1009</v>
      </c>
      <c r="C494" t="s">
        <v>1010</v>
      </c>
      <c r="D494" t="b">
        <v>0</v>
      </c>
      <c r="E494" t="b">
        <v>1</v>
      </c>
      <c r="F494" t="b">
        <v>1</v>
      </c>
      <c r="G494" t="b">
        <v>0</v>
      </c>
      <c r="H494" t="b">
        <v>0</v>
      </c>
    </row>
    <row r="495" spans="1:8" x14ac:dyDescent="0.2">
      <c r="A495">
        <v>493</v>
      </c>
      <c r="B495" t="s">
        <v>1011</v>
      </c>
      <c r="C495" t="s">
        <v>1012</v>
      </c>
      <c r="D495" t="b">
        <v>0</v>
      </c>
      <c r="E495" t="b">
        <v>0</v>
      </c>
      <c r="F495" t="b">
        <v>1</v>
      </c>
      <c r="G495" t="b">
        <v>0</v>
      </c>
      <c r="H495" t="b">
        <v>1</v>
      </c>
    </row>
    <row r="496" spans="1:8" x14ac:dyDescent="0.2">
      <c r="A496">
        <v>494</v>
      </c>
      <c r="B496" t="s">
        <v>1013</v>
      </c>
      <c r="C496" t="s">
        <v>1014</v>
      </c>
      <c r="D496" t="b">
        <v>0</v>
      </c>
      <c r="E496" t="b">
        <v>0</v>
      </c>
      <c r="F496" t="b">
        <v>1</v>
      </c>
      <c r="G496" t="b">
        <v>0</v>
      </c>
      <c r="H496" t="b">
        <v>1</v>
      </c>
    </row>
    <row r="497" spans="1:8" x14ac:dyDescent="0.2">
      <c r="A497">
        <v>495</v>
      </c>
      <c r="B497" t="s">
        <v>1015</v>
      </c>
      <c r="C497" t="s">
        <v>1016</v>
      </c>
      <c r="D497" t="b">
        <v>0</v>
      </c>
      <c r="E497" t="b">
        <v>0</v>
      </c>
      <c r="F497" t="b">
        <v>1</v>
      </c>
      <c r="G497" t="b">
        <v>0</v>
      </c>
      <c r="H497" t="b">
        <v>0</v>
      </c>
    </row>
    <row r="498" spans="1:8" x14ac:dyDescent="0.2">
      <c r="A498">
        <v>496</v>
      </c>
      <c r="B498" t="s">
        <v>1017</v>
      </c>
      <c r="C498" t="s">
        <v>1018</v>
      </c>
      <c r="D498" t="b">
        <v>0</v>
      </c>
      <c r="E498" t="b">
        <v>0</v>
      </c>
      <c r="F498" t="b">
        <v>1</v>
      </c>
      <c r="G498" t="b">
        <v>0</v>
      </c>
      <c r="H498" t="b">
        <v>0</v>
      </c>
    </row>
    <row r="499" spans="1:8" x14ac:dyDescent="0.2">
      <c r="A499">
        <v>497</v>
      </c>
      <c r="B499" t="s">
        <v>1019</v>
      </c>
      <c r="C499" t="s">
        <v>1020</v>
      </c>
      <c r="D499" t="b">
        <v>0</v>
      </c>
      <c r="E499" t="b">
        <v>0</v>
      </c>
      <c r="F499" t="b">
        <v>1</v>
      </c>
      <c r="G499" t="b">
        <v>0</v>
      </c>
      <c r="H499" t="b">
        <v>0</v>
      </c>
    </row>
    <row r="500" spans="1:8" x14ac:dyDescent="0.2">
      <c r="A500">
        <v>498</v>
      </c>
      <c r="B500" t="s">
        <v>1021</v>
      </c>
      <c r="C500" t="s">
        <v>1022</v>
      </c>
      <c r="D500" t="b">
        <v>0</v>
      </c>
      <c r="E500" t="b">
        <v>1</v>
      </c>
      <c r="F500" t="b">
        <v>1</v>
      </c>
      <c r="G500" t="b">
        <v>0</v>
      </c>
      <c r="H500" t="b">
        <v>0</v>
      </c>
    </row>
    <row r="501" spans="1:8" x14ac:dyDescent="0.2">
      <c r="A501">
        <v>499</v>
      </c>
      <c r="B501" t="s">
        <v>1023</v>
      </c>
      <c r="C501" t="s">
        <v>1024</v>
      </c>
      <c r="D501" t="b">
        <v>0</v>
      </c>
      <c r="E501" t="b">
        <v>0</v>
      </c>
      <c r="F501" t="b">
        <v>1</v>
      </c>
      <c r="G501" t="b">
        <v>0</v>
      </c>
      <c r="H501" t="b">
        <v>0</v>
      </c>
    </row>
    <row r="502" spans="1:8" x14ac:dyDescent="0.2">
      <c r="A502">
        <v>500</v>
      </c>
      <c r="B502" t="s">
        <v>1025</v>
      </c>
      <c r="C502" t="s">
        <v>1026</v>
      </c>
      <c r="D502" t="b">
        <v>0</v>
      </c>
      <c r="E502" t="b">
        <v>0</v>
      </c>
      <c r="F502" t="b">
        <v>1</v>
      </c>
      <c r="G502" t="b">
        <v>0</v>
      </c>
      <c r="H502" t="b">
        <v>0</v>
      </c>
    </row>
    <row r="503" spans="1:8" x14ac:dyDescent="0.2">
      <c r="A503">
        <v>501</v>
      </c>
      <c r="B503" t="s">
        <v>1027</v>
      </c>
      <c r="C503" t="s">
        <v>1028</v>
      </c>
      <c r="D503" t="b">
        <v>0</v>
      </c>
      <c r="E503" t="b">
        <v>0</v>
      </c>
      <c r="F503" t="b">
        <v>1</v>
      </c>
      <c r="G503" t="b">
        <v>0</v>
      </c>
      <c r="H503" t="b">
        <v>1</v>
      </c>
    </row>
    <row r="504" spans="1:8" x14ac:dyDescent="0.2">
      <c r="A504">
        <v>502</v>
      </c>
      <c r="B504" t="s">
        <v>1029</v>
      </c>
      <c r="C504" t="s">
        <v>1030</v>
      </c>
      <c r="D504" t="b">
        <v>0</v>
      </c>
      <c r="E504" t="b">
        <v>0</v>
      </c>
      <c r="F504" t="b">
        <v>1</v>
      </c>
      <c r="G504" t="b">
        <v>0</v>
      </c>
      <c r="H504" t="b">
        <v>0</v>
      </c>
    </row>
    <row r="505" spans="1:8" x14ac:dyDescent="0.2">
      <c r="A505">
        <v>503</v>
      </c>
      <c r="B505" t="s">
        <v>1031</v>
      </c>
      <c r="C505" t="s">
        <v>1032</v>
      </c>
      <c r="D505" t="b">
        <v>0</v>
      </c>
      <c r="E505" t="b">
        <v>0</v>
      </c>
      <c r="F505" t="b">
        <v>1</v>
      </c>
      <c r="G505" t="b">
        <v>0</v>
      </c>
      <c r="H505" t="b">
        <v>0</v>
      </c>
    </row>
    <row r="506" spans="1:8" x14ac:dyDescent="0.2">
      <c r="A506">
        <v>504</v>
      </c>
      <c r="B506" t="s">
        <v>1033</v>
      </c>
      <c r="C506" t="s">
        <v>1034</v>
      </c>
      <c r="D506" t="b">
        <v>0</v>
      </c>
      <c r="E506" t="b">
        <v>0</v>
      </c>
      <c r="F506" t="b">
        <v>1</v>
      </c>
      <c r="G506" t="b">
        <v>0</v>
      </c>
      <c r="H506" t="b">
        <v>1</v>
      </c>
    </row>
    <row r="507" spans="1:8" x14ac:dyDescent="0.2">
      <c r="A507">
        <v>505</v>
      </c>
      <c r="B507" t="s">
        <v>1035</v>
      </c>
      <c r="C507" t="s">
        <v>1036</v>
      </c>
      <c r="D507" t="b">
        <v>0</v>
      </c>
      <c r="E507" t="b">
        <v>0</v>
      </c>
      <c r="F507" t="b">
        <v>1</v>
      </c>
      <c r="G507" t="b">
        <v>0</v>
      </c>
      <c r="H507" t="b">
        <v>1</v>
      </c>
    </row>
    <row r="508" spans="1:8" x14ac:dyDescent="0.2">
      <c r="A508">
        <v>506</v>
      </c>
      <c r="B508" t="s">
        <v>1037</v>
      </c>
      <c r="C508" t="s">
        <v>1038</v>
      </c>
      <c r="D508" t="b">
        <v>0</v>
      </c>
      <c r="E508" t="b">
        <v>0</v>
      </c>
      <c r="F508" t="b">
        <v>1</v>
      </c>
      <c r="G508" t="b">
        <v>0</v>
      </c>
      <c r="H508" t="b">
        <v>1</v>
      </c>
    </row>
    <row r="509" spans="1:8" x14ac:dyDescent="0.2">
      <c r="A509">
        <v>507</v>
      </c>
      <c r="B509" t="s">
        <v>1039</v>
      </c>
      <c r="C509" t="s">
        <v>1040</v>
      </c>
      <c r="D509" t="b">
        <v>0</v>
      </c>
      <c r="E509" t="b">
        <v>0</v>
      </c>
      <c r="F509" t="b">
        <v>1</v>
      </c>
      <c r="G509" t="b">
        <v>0</v>
      </c>
      <c r="H509" t="b">
        <v>0</v>
      </c>
    </row>
    <row r="510" spans="1:8" x14ac:dyDescent="0.2">
      <c r="A510">
        <v>508</v>
      </c>
      <c r="B510" t="s">
        <v>1041</v>
      </c>
      <c r="C510" t="s">
        <v>1042</v>
      </c>
      <c r="D510" t="b">
        <v>0</v>
      </c>
      <c r="E510" t="b">
        <v>0</v>
      </c>
      <c r="F510" t="b">
        <v>1</v>
      </c>
      <c r="G510" t="b">
        <v>0</v>
      </c>
      <c r="H510" t="b">
        <v>0</v>
      </c>
    </row>
    <row r="511" spans="1:8" x14ac:dyDescent="0.2">
      <c r="A511">
        <v>509</v>
      </c>
      <c r="B511" t="s">
        <v>1043</v>
      </c>
      <c r="C511" t="s">
        <v>1044</v>
      </c>
      <c r="D511" t="b">
        <v>0</v>
      </c>
      <c r="E511" t="b">
        <v>1</v>
      </c>
      <c r="F511" t="b">
        <v>1</v>
      </c>
      <c r="G511" t="b">
        <v>0</v>
      </c>
      <c r="H511" t="b">
        <v>0</v>
      </c>
    </row>
    <row r="512" spans="1:8" x14ac:dyDescent="0.2">
      <c r="A512">
        <v>510</v>
      </c>
      <c r="B512" t="s">
        <v>1045</v>
      </c>
      <c r="C512" t="s">
        <v>1046</v>
      </c>
      <c r="D512" t="b">
        <v>0</v>
      </c>
      <c r="E512" t="b">
        <v>1</v>
      </c>
      <c r="F512" t="b">
        <v>1</v>
      </c>
      <c r="G512" t="b">
        <v>0</v>
      </c>
      <c r="H512" t="b">
        <v>0</v>
      </c>
    </row>
    <row r="513" spans="1:8" x14ac:dyDescent="0.2">
      <c r="A513">
        <v>511</v>
      </c>
      <c r="B513" t="s">
        <v>1047</v>
      </c>
      <c r="C513" t="s">
        <v>1048</v>
      </c>
      <c r="D513" t="b">
        <v>0</v>
      </c>
      <c r="E513" t="b">
        <v>0</v>
      </c>
      <c r="F513" t="b">
        <v>1</v>
      </c>
      <c r="G513" t="b">
        <v>0</v>
      </c>
      <c r="H513" t="b">
        <v>0</v>
      </c>
    </row>
    <row r="514" spans="1:8" x14ac:dyDescent="0.2">
      <c r="A514">
        <v>512</v>
      </c>
      <c r="B514" t="s">
        <v>1049</v>
      </c>
      <c r="C514" t="s">
        <v>1050</v>
      </c>
      <c r="D514" t="b">
        <v>0</v>
      </c>
      <c r="E514" t="b">
        <v>0</v>
      </c>
      <c r="F514" t="b">
        <v>1</v>
      </c>
      <c r="G514" t="b">
        <v>0</v>
      </c>
      <c r="H514" t="b">
        <v>0</v>
      </c>
    </row>
    <row r="515" spans="1:8" x14ac:dyDescent="0.2">
      <c r="A515">
        <v>513</v>
      </c>
      <c r="B515" t="s">
        <v>1051</v>
      </c>
      <c r="C515" t="s">
        <v>1052</v>
      </c>
      <c r="D515" t="b">
        <v>0</v>
      </c>
      <c r="E515" t="b">
        <v>0</v>
      </c>
      <c r="F515" t="b">
        <v>1</v>
      </c>
      <c r="G515" t="b">
        <v>0</v>
      </c>
      <c r="H515" t="b">
        <v>1</v>
      </c>
    </row>
    <row r="516" spans="1:8" x14ac:dyDescent="0.2">
      <c r="A516">
        <v>514</v>
      </c>
      <c r="B516" t="s">
        <v>1053</v>
      </c>
      <c r="C516" t="s">
        <v>1054</v>
      </c>
      <c r="D516" t="b">
        <v>0</v>
      </c>
      <c r="E516" t="b">
        <v>0</v>
      </c>
      <c r="F516" t="b">
        <v>1</v>
      </c>
      <c r="G516" t="b">
        <v>0</v>
      </c>
      <c r="H516" t="b">
        <v>0</v>
      </c>
    </row>
    <row r="517" spans="1:8" x14ac:dyDescent="0.2">
      <c r="A517">
        <v>515</v>
      </c>
      <c r="B517" t="s">
        <v>1055</v>
      </c>
      <c r="C517" t="s">
        <v>1056</v>
      </c>
      <c r="D517" t="b">
        <v>0</v>
      </c>
      <c r="E517" t="b">
        <v>0</v>
      </c>
      <c r="F517" t="b">
        <v>1</v>
      </c>
      <c r="G517" t="b">
        <v>0</v>
      </c>
      <c r="H517" t="b">
        <v>0</v>
      </c>
    </row>
    <row r="518" spans="1:8" x14ac:dyDescent="0.2">
      <c r="A518">
        <v>516</v>
      </c>
      <c r="B518" t="s">
        <v>1057</v>
      </c>
      <c r="C518" t="s">
        <v>1058</v>
      </c>
      <c r="D518" t="b">
        <v>0</v>
      </c>
      <c r="E518" t="b">
        <v>0</v>
      </c>
      <c r="F518" t="b">
        <v>1</v>
      </c>
      <c r="G518" t="b">
        <v>0</v>
      </c>
      <c r="H518" t="b">
        <v>1</v>
      </c>
    </row>
    <row r="519" spans="1:8" x14ac:dyDescent="0.2">
      <c r="A519">
        <v>517</v>
      </c>
      <c r="B519" t="s">
        <v>1059</v>
      </c>
      <c r="C519" t="s">
        <v>1060</v>
      </c>
      <c r="D519" t="b">
        <v>0</v>
      </c>
      <c r="E519" t="b">
        <v>0</v>
      </c>
      <c r="F519" t="b">
        <v>1</v>
      </c>
      <c r="G519" t="b">
        <v>0</v>
      </c>
      <c r="H519" t="b">
        <v>0</v>
      </c>
    </row>
    <row r="520" spans="1:8" x14ac:dyDescent="0.2">
      <c r="A520">
        <v>518</v>
      </c>
      <c r="B520" t="s">
        <v>1061</v>
      </c>
      <c r="C520" t="s">
        <v>1062</v>
      </c>
      <c r="D520" t="b">
        <v>0</v>
      </c>
      <c r="E520" t="b">
        <v>0</v>
      </c>
      <c r="F520" t="b">
        <v>1</v>
      </c>
      <c r="G520" t="b">
        <v>0</v>
      </c>
      <c r="H520" t="b">
        <v>0</v>
      </c>
    </row>
    <row r="521" spans="1:8" x14ac:dyDescent="0.2">
      <c r="A521">
        <v>519</v>
      </c>
      <c r="B521" t="s">
        <v>1063</v>
      </c>
      <c r="C521" t="s">
        <v>1064</v>
      </c>
      <c r="D521" t="b">
        <v>0</v>
      </c>
      <c r="E521" t="b">
        <v>0</v>
      </c>
      <c r="F521" t="b">
        <v>1</v>
      </c>
      <c r="G521" t="b">
        <v>0</v>
      </c>
      <c r="H521" t="b">
        <v>0</v>
      </c>
    </row>
    <row r="522" spans="1:8" x14ac:dyDescent="0.2">
      <c r="A522">
        <v>520</v>
      </c>
      <c r="B522" t="s">
        <v>1065</v>
      </c>
      <c r="C522" t="s">
        <v>160</v>
      </c>
      <c r="D522" t="b">
        <v>0</v>
      </c>
      <c r="E522" t="b">
        <v>1</v>
      </c>
      <c r="F522" t="b">
        <v>1</v>
      </c>
      <c r="G522" t="b">
        <v>0</v>
      </c>
      <c r="H522" t="b">
        <v>0</v>
      </c>
    </row>
    <row r="523" spans="1:8" x14ac:dyDescent="0.2">
      <c r="A523">
        <v>521</v>
      </c>
      <c r="B523" t="s">
        <v>1066</v>
      </c>
      <c r="C523" t="s">
        <v>1067</v>
      </c>
      <c r="D523" t="b">
        <v>0</v>
      </c>
      <c r="E523" t="b">
        <v>0</v>
      </c>
      <c r="F523" t="b">
        <v>1</v>
      </c>
      <c r="G523" t="b">
        <v>0</v>
      </c>
      <c r="H523" t="b">
        <v>0</v>
      </c>
    </row>
    <row r="524" spans="1:8" x14ac:dyDescent="0.2">
      <c r="A524">
        <v>522</v>
      </c>
      <c r="B524" t="s">
        <v>1068</v>
      </c>
      <c r="C524" t="s">
        <v>1069</v>
      </c>
      <c r="D524" t="b">
        <v>0</v>
      </c>
      <c r="E524" t="b">
        <v>0</v>
      </c>
      <c r="F524" t="b">
        <v>1</v>
      </c>
      <c r="G524" t="b">
        <v>0</v>
      </c>
      <c r="H524" t="b">
        <v>0</v>
      </c>
    </row>
    <row r="525" spans="1:8" x14ac:dyDescent="0.2">
      <c r="A525">
        <v>523</v>
      </c>
      <c r="B525" t="s">
        <v>1070</v>
      </c>
      <c r="C525" t="s">
        <v>1071</v>
      </c>
      <c r="D525" t="b">
        <v>0</v>
      </c>
      <c r="E525" t="b">
        <v>0</v>
      </c>
      <c r="F525" t="b">
        <v>1</v>
      </c>
      <c r="G525" t="b">
        <v>0</v>
      </c>
      <c r="H525" t="b">
        <v>0</v>
      </c>
    </row>
    <row r="526" spans="1:8" x14ac:dyDescent="0.2">
      <c r="A526">
        <v>524</v>
      </c>
      <c r="B526" t="s">
        <v>1072</v>
      </c>
      <c r="C526" t="s">
        <v>1073</v>
      </c>
      <c r="D526" t="b">
        <v>0</v>
      </c>
      <c r="E526" t="b">
        <v>0</v>
      </c>
      <c r="F526" t="b">
        <v>1</v>
      </c>
      <c r="G526" t="b">
        <v>0</v>
      </c>
      <c r="H526" t="b">
        <v>0</v>
      </c>
    </row>
    <row r="527" spans="1:8" x14ac:dyDescent="0.2">
      <c r="A527">
        <v>525</v>
      </c>
      <c r="B527" t="s">
        <v>1074</v>
      </c>
      <c r="C527" t="s">
        <v>1075</v>
      </c>
      <c r="D527" t="b">
        <v>0</v>
      </c>
      <c r="E527" t="b">
        <v>0</v>
      </c>
      <c r="F527" t="b">
        <v>1</v>
      </c>
      <c r="G527" t="b">
        <v>0</v>
      </c>
      <c r="H527" t="b">
        <v>0</v>
      </c>
    </row>
    <row r="528" spans="1:8" x14ac:dyDescent="0.2">
      <c r="A528">
        <v>526</v>
      </c>
      <c r="B528" t="s">
        <v>1076</v>
      </c>
      <c r="C528" t="s">
        <v>1077</v>
      </c>
      <c r="D528" t="b">
        <v>0</v>
      </c>
      <c r="E528" t="b">
        <v>0</v>
      </c>
      <c r="F528" t="b">
        <v>1</v>
      </c>
      <c r="G528" t="b">
        <v>0</v>
      </c>
      <c r="H528" t="b">
        <v>0</v>
      </c>
    </row>
    <row r="529" spans="1:8" x14ac:dyDescent="0.2">
      <c r="A529">
        <v>527</v>
      </c>
      <c r="B529" t="s">
        <v>1078</v>
      </c>
      <c r="C529" t="s">
        <v>1079</v>
      </c>
      <c r="D529" t="b">
        <v>0</v>
      </c>
      <c r="E529" t="b">
        <v>0</v>
      </c>
      <c r="F529" t="b">
        <v>1</v>
      </c>
      <c r="G529" t="b">
        <v>0</v>
      </c>
      <c r="H529" t="b">
        <v>0</v>
      </c>
    </row>
    <row r="530" spans="1:8" x14ac:dyDescent="0.2">
      <c r="A530">
        <v>528</v>
      </c>
      <c r="B530" t="s">
        <v>1080</v>
      </c>
      <c r="C530" t="s">
        <v>1081</v>
      </c>
      <c r="D530" t="b">
        <v>0</v>
      </c>
      <c r="E530" t="b">
        <v>0</v>
      </c>
      <c r="F530" t="b">
        <v>1</v>
      </c>
      <c r="G530" t="b">
        <v>0</v>
      </c>
      <c r="H530" t="b">
        <v>1</v>
      </c>
    </row>
    <row r="531" spans="1:8" x14ac:dyDescent="0.2">
      <c r="A531">
        <v>529</v>
      </c>
      <c r="B531" t="s">
        <v>1082</v>
      </c>
      <c r="C531" t="s">
        <v>1083</v>
      </c>
      <c r="D531" t="b">
        <v>0</v>
      </c>
      <c r="E531" t="b">
        <v>0</v>
      </c>
      <c r="F531" t="b">
        <v>1</v>
      </c>
      <c r="G531" t="b">
        <v>0</v>
      </c>
      <c r="H531" t="b">
        <v>0</v>
      </c>
    </row>
    <row r="532" spans="1:8" x14ac:dyDescent="0.2">
      <c r="A532">
        <v>530</v>
      </c>
      <c r="B532" t="s">
        <v>1084</v>
      </c>
      <c r="C532" t="s">
        <v>1085</v>
      </c>
      <c r="D532" t="b">
        <v>0</v>
      </c>
      <c r="E532" t="b">
        <v>0</v>
      </c>
      <c r="F532" t="b">
        <v>1</v>
      </c>
      <c r="G532" t="b">
        <v>0</v>
      </c>
      <c r="H532" t="b">
        <v>1</v>
      </c>
    </row>
    <row r="533" spans="1:8" x14ac:dyDescent="0.2">
      <c r="A533">
        <v>531</v>
      </c>
      <c r="B533" t="s">
        <v>1086</v>
      </c>
      <c r="C533" t="s">
        <v>1087</v>
      </c>
      <c r="D533" t="b">
        <v>0</v>
      </c>
      <c r="E533" t="b">
        <v>0</v>
      </c>
      <c r="F533" t="b">
        <v>1</v>
      </c>
      <c r="G533" t="b">
        <v>0</v>
      </c>
      <c r="H533" t="b">
        <v>0</v>
      </c>
    </row>
    <row r="534" spans="1:8" x14ac:dyDescent="0.2">
      <c r="A534">
        <v>532</v>
      </c>
      <c r="B534" t="s">
        <v>1088</v>
      </c>
      <c r="C534" t="s">
        <v>160</v>
      </c>
      <c r="D534" t="b">
        <v>0</v>
      </c>
      <c r="E534" t="b">
        <v>1</v>
      </c>
      <c r="F534" t="b">
        <v>1</v>
      </c>
      <c r="G534" t="b">
        <v>0</v>
      </c>
      <c r="H534" t="b">
        <v>0</v>
      </c>
    </row>
    <row r="535" spans="1:8" x14ac:dyDescent="0.2">
      <c r="A535">
        <v>533</v>
      </c>
      <c r="B535" t="s">
        <v>1089</v>
      </c>
      <c r="C535" t="s">
        <v>1090</v>
      </c>
      <c r="D535" t="b">
        <v>0</v>
      </c>
      <c r="E535" t="b">
        <v>0</v>
      </c>
      <c r="F535" t="b">
        <v>1</v>
      </c>
      <c r="G535" t="b">
        <v>0</v>
      </c>
      <c r="H535" t="b">
        <v>0</v>
      </c>
    </row>
    <row r="536" spans="1:8" x14ac:dyDescent="0.2">
      <c r="A536">
        <v>534</v>
      </c>
      <c r="B536" t="s">
        <v>1091</v>
      </c>
      <c r="C536" t="s">
        <v>1092</v>
      </c>
      <c r="D536" t="b">
        <v>0</v>
      </c>
      <c r="E536" t="b">
        <v>0</v>
      </c>
      <c r="F536" t="b">
        <v>1</v>
      </c>
      <c r="G536" t="b">
        <v>0</v>
      </c>
      <c r="H536" t="b">
        <v>0</v>
      </c>
    </row>
    <row r="537" spans="1:8" x14ac:dyDescent="0.2">
      <c r="A537">
        <v>535</v>
      </c>
      <c r="B537" t="s">
        <v>1093</v>
      </c>
      <c r="C537" t="s">
        <v>1094</v>
      </c>
      <c r="D537" t="b">
        <v>0</v>
      </c>
      <c r="E537" t="b">
        <v>0</v>
      </c>
      <c r="F537" t="b">
        <v>1</v>
      </c>
      <c r="G537" t="b">
        <v>0</v>
      </c>
      <c r="H537" t="b">
        <v>0</v>
      </c>
    </row>
    <row r="538" spans="1:8" x14ac:dyDescent="0.2">
      <c r="A538">
        <v>536</v>
      </c>
      <c r="B538" t="s">
        <v>1095</v>
      </c>
      <c r="C538" t="s">
        <v>1096</v>
      </c>
      <c r="D538" t="b">
        <v>0</v>
      </c>
      <c r="E538" t="b">
        <v>0</v>
      </c>
      <c r="F538" t="b">
        <v>1</v>
      </c>
      <c r="G538" t="b">
        <v>0</v>
      </c>
      <c r="H538" t="b">
        <v>0</v>
      </c>
    </row>
    <row r="539" spans="1:8" x14ac:dyDescent="0.2">
      <c r="A539">
        <v>537</v>
      </c>
      <c r="B539" t="s">
        <v>1097</v>
      </c>
      <c r="C539" t="s">
        <v>1098</v>
      </c>
      <c r="D539" t="b">
        <v>0</v>
      </c>
      <c r="E539" t="b">
        <v>0</v>
      </c>
      <c r="F539" t="b">
        <v>1</v>
      </c>
      <c r="G539" t="b">
        <v>0</v>
      </c>
      <c r="H539" t="b">
        <v>0</v>
      </c>
    </row>
    <row r="540" spans="1:8" x14ac:dyDescent="0.2">
      <c r="A540">
        <v>538</v>
      </c>
      <c r="B540" t="s">
        <v>1099</v>
      </c>
      <c r="C540" t="s">
        <v>1100</v>
      </c>
      <c r="D540" t="b">
        <v>0</v>
      </c>
      <c r="E540" t="b">
        <v>0</v>
      </c>
      <c r="F540" t="b">
        <v>1</v>
      </c>
      <c r="G540" t="b">
        <v>0</v>
      </c>
      <c r="H540" t="b">
        <v>0</v>
      </c>
    </row>
    <row r="541" spans="1:8" x14ac:dyDescent="0.2">
      <c r="A541">
        <v>539</v>
      </c>
      <c r="B541" t="s">
        <v>1101</v>
      </c>
      <c r="C541" t="s">
        <v>1102</v>
      </c>
      <c r="D541" t="b">
        <v>0</v>
      </c>
      <c r="E541" t="b">
        <v>0</v>
      </c>
      <c r="F541" t="b">
        <v>1</v>
      </c>
      <c r="G541" t="b">
        <v>0</v>
      </c>
      <c r="H541" t="b">
        <v>0</v>
      </c>
    </row>
    <row r="542" spans="1:8" x14ac:dyDescent="0.2">
      <c r="A542">
        <v>540</v>
      </c>
      <c r="B542" t="s">
        <v>1103</v>
      </c>
      <c r="C542" t="s">
        <v>1104</v>
      </c>
      <c r="D542" t="b">
        <v>0</v>
      </c>
      <c r="E542" t="b">
        <v>0</v>
      </c>
      <c r="F542" t="b">
        <v>1</v>
      </c>
      <c r="G542" t="b">
        <v>0</v>
      </c>
      <c r="H542" t="b">
        <v>0</v>
      </c>
    </row>
    <row r="543" spans="1:8" x14ac:dyDescent="0.2">
      <c r="A543">
        <v>541</v>
      </c>
      <c r="B543" t="s">
        <v>1105</v>
      </c>
      <c r="C543" t="s">
        <v>1106</v>
      </c>
      <c r="D543" t="b">
        <v>0</v>
      </c>
      <c r="E543" t="b">
        <v>1</v>
      </c>
      <c r="F543" t="b">
        <v>1</v>
      </c>
      <c r="G543" t="b">
        <v>0</v>
      </c>
      <c r="H543" t="b">
        <v>0</v>
      </c>
    </row>
    <row r="544" spans="1:8" x14ac:dyDescent="0.2">
      <c r="A544">
        <v>542</v>
      </c>
      <c r="B544" t="s">
        <v>1107</v>
      </c>
      <c r="C544" t="s">
        <v>1108</v>
      </c>
      <c r="D544" t="b">
        <v>0</v>
      </c>
      <c r="E544" t="b">
        <v>0</v>
      </c>
      <c r="F544" t="b">
        <v>1</v>
      </c>
      <c r="G544" t="b">
        <v>0</v>
      </c>
      <c r="H544" t="b">
        <v>0</v>
      </c>
    </row>
    <row r="545" spans="1:8" x14ac:dyDescent="0.2">
      <c r="A545">
        <v>543</v>
      </c>
      <c r="B545" t="s">
        <v>1109</v>
      </c>
      <c r="C545" t="s">
        <v>1110</v>
      </c>
      <c r="D545" t="b">
        <v>0</v>
      </c>
      <c r="E545" t="b">
        <v>1</v>
      </c>
      <c r="F545" t="b">
        <v>1</v>
      </c>
      <c r="G545" t="b">
        <v>0</v>
      </c>
      <c r="H545" t="b">
        <v>0</v>
      </c>
    </row>
    <row r="546" spans="1:8" x14ac:dyDescent="0.2">
      <c r="A546">
        <v>544</v>
      </c>
      <c r="B546" t="s">
        <v>1111</v>
      </c>
      <c r="C546" t="s">
        <v>1112</v>
      </c>
      <c r="D546" t="b">
        <v>0</v>
      </c>
      <c r="E546" t="b">
        <v>0</v>
      </c>
      <c r="F546" t="b">
        <v>1</v>
      </c>
      <c r="G546" t="b">
        <v>0</v>
      </c>
      <c r="H546" t="b">
        <v>0</v>
      </c>
    </row>
    <row r="547" spans="1:8" x14ac:dyDescent="0.2">
      <c r="A547">
        <v>545</v>
      </c>
      <c r="B547" t="s">
        <v>1113</v>
      </c>
      <c r="C547" t="s">
        <v>1114</v>
      </c>
      <c r="D547" t="b">
        <v>0</v>
      </c>
      <c r="E547" t="b">
        <v>0</v>
      </c>
      <c r="F547" t="b">
        <v>1</v>
      </c>
      <c r="G547" t="b">
        <v>0</v>
      </c>
      <c r="H547" t="b">
        <v>0</v>
      </c>
    </row>
    <row r="548" spans="1:8" x14ac:dyDescent="0.2">
      <c r="A548">
        <v>546</v>
      </c>
      <c r="B548" t="s">
        <v>1115</v>
      </c>
      <c r="C548" t="s">
        <v>1116</v>
      </c>
      <c r="D548" t="b">
        <v>0</v>
      </c>
      <c r="E548" t="b">
        <v>0</v>
      </c>
      <c r="F548" t="b">
        <v>1</v>
      </c>
      <c r="G548" t="b">
        <v>0</v>
      </c>
      <c r="H548" t="b">
        <v>0</v>
      </c>
    </row>
    <row r="549" spans="1:8" x14ac:dyDescent="0.2">
      <c r="A549">
        <v>547</v>
      </c>
      <c r="B549" t="s">
        <v>1117</v>
      </c>
      <c r="C549" t="s">
        <v>1118</v>
      </c>
      <c r="D549" t="b">
        <v>0</v>
      </c>
      <c r="E549" t="b">
        <v>0</v>
      </c>
      <c r="F549" t="b">
        <v>1</v>
      </c>
      <c r="G549" t="b">
        <v>0</v>
      </c>
      <c r="H549" t="b">
        <v>0</v>
      </c>
    </row>
    <row r="550" spans="1:8" x14ac:dyDescent="0.2">
      <c r="A550">
        <v>548</v>
      </c>
      <c r="B550" t="s">
        <v>1119</v>
      </c>
      <c r="C550" t="s">
        <v>1120</v>
      </c>
      <c r="D550" t="b">
        <v>0</v>
      </c>
      <c r="E550" t="b">
        <v>0</v>
      </c>
      <c r="F550" t="b">
        <v>1</v>
      </c>
      <c r="G550" t="b">
        <v>0</v>
      </c>
      <c r="H550" t="b">
        <v>0</v>
      </c>
    </row>
    <row r="551" spans="1:8" x14ac:dyDescent="0.2">
      <c r="A551">
        <v>549</v>
      </c>
      <c r="B551" t="s">
        <v>1121</v>
      </c>
      <c r="C551" t="s">
        <v>1122</v>
      </c>
      <c r="D551" t="b">
        <v>0</v>
      </c>
      <c r="E551" t="b">
        <v>0</v>
      </c>
      <c r="F551" t="b">
        <v>1</v>
      </c>
      <c r="G551" t="b">
        <v>0</v>
      </c>
      <c r="H551" t="b">
        <v>0</v>
      </c>
    </row>
    <row r="552" spans="1:8" x14ac:dyDescent="0.2">
      <c r="A552">
        <v>550</v>
      </c>
      <c r="B552" t="s">
        <v>1123</v>
      </c>
      <c r="C552" t="s">
        <v>1124</v>
      </c>
      <c r="D552" t="b">
        <v>0</v>
      </c>
      <c r="E552" t="b">
        <v>0</v>
      </c>
      <c r="F552" t="b">
        <v>1</v>
      </c>
      <c r="G552" t="b">
        <v>0</v>
      </c>
      <c r="H552" t="b">
        <v>0</v>
      </c>
    </row>
    <row r="553" spans="1:8" x14ac:dyDescent="0.2">
      <c r="A553">
        <v>551</v>
      </c>
      <c r="B553" t="s">
        <v>1125</v>
      </c>
      <c r="C553" t="s">
        <v>1126</v>
      </c>
      <c r="D553" t="b">
        <v>0</v>
      </c>
      <c r="E553" t="b">
        <v>0</v>
      </c>
      <c r="F553" t="b">
        <v>1</v>
      </c>
      <c r="G553" t="b">
        <v>0</v>
      </c>
      <c r="H553" t="b">
        <v>0</v>
      </c>
    </row>
    <row r="554" spans="1:8" x14ac:dyDescent="0.2">
      <c r="A554">
        <v>552</v>
      </c>
      <c r="B554" t="s">
        <v>1127</v>
      </c>
      <c r="C554" t="s">
        <v>1128</v>
      </c>
      <c r="D554" t="b">
        <v>0</v>
      </c>
      <c r="E554" t="b">
        <v>0</v>
      </c>
      <c r="F554" t="b">
        <v>1</v>
      </c>
      <c r="G554" t="b">
        <v>0</v>
      </c>
      <c r="H554" t="b">
        <v>0</v>
      </c>
    </row>
    <row r="555" spans="1:8" x14ac:dyDescent="0.2">
      <c r="A555">
        <v>553</v>
      </c>
      <c r="B555" t="s">
        <v>1129</v>
      </c>
      <c r="C555" t="s">
        <v>1130</v>
      </c>
      <c r="D555" t="b">
        <v>0</v>
      </c>
      <c r="E555" t="b">
        <v>1</v>
      </c>
      <c r="F555" t="b">
        <v>1</v>
      </c>
      <c r="G555" t="b">
        <v>0</v>
      </c>
      <c r="H555" t="b">
        <v>0</v>
      </c>
    </row>
    <row r="556" spans="1:8" x14ac:dyDescent="0.2">
      <c r="A556">
        <v>554</v>
      </c>
      <c r="B556" t="s">
        <v>1131</v>
      </c>
      <c r="C556" t="s">
        <v>1132</v>
      </c>
      <c r="D556" t="b">
        <v>0</v>
      </c>
      <c r="E556" t="b">
        <v>0</v>
      </c>
      <c r="F556" t="b">
        <v>1</v>
      </c>
      <c r="G556" t="b">
        <v>0</v>
      </c>
      <c r="H556" t="b">
        <v>0</v>
      </c>
    </row>
    <row r="557" spans="1:8" x14ac:dyDescent="0.2">
      <c r="A557">
        <v>555</v>
      </c>
      <c r="B557" t="s">
        <v>1133</v>
      </c>
      <c r="C557" t="s">
        <v>1134</v>
      </c>
      <c r="D557" t="b">
        <v>0</v>
      </c>
      <c r="E557" t="b">
        <v>0</v>
      </c>
      <c r="F557" t="b">
        <v>1</v>
      </c>
      <c r="G557" t="b">
        <v>0</v>
      </c>
      <c r="H557" t="b">
        <v>0</v>
      </c>
    </row>
    <row r="558" spans="1:8" x14ac:dyDescent="0.2">
      <c r="A558">
        <v>556</v>
      </c>
      <c r="B558" t="s">
        <v>1135</v>
      </c>
      <c r="C558" t="s">
        <v>1136</v>
      </c>
      <c r="D558" t="b">
        <v>0</v>
      </c>
      <c r="E558" t="b">
        <v>0</v>
      </c>
      <c r="F558" t="b">
        <v>1</v>
      </c>
      <c r="G558" t="b">
        <v>0</v>
      </c>
      <c r="H558" t="b">
        <v>0</v>
      </c>
    </row>
    <row r="559" spans="1:8" x14ac:dyDescent="0.2">
      <c r="A559">
        <v>557</v>
      </c>
      <c r="B559" t="s">
        <v>1137</v>
      </c>
      <c r="C559" t="s">
        <v>1138</v>
      </c>
      <c r="D559" t="b">
        <v>0</v>
      </c>
      <c r="E559" t="b">
        <v>0</v>
      </c>
      <c r="F559" t="b">
        <v>1</v>
      </c>
      <c r="G559" t="b">
        <v>0</v>
      </c>
      <c r="H559" t="b">
        <v>0</v>
      </c>
    </row>
    <row r="560" spans="1:8" x14ac:dyDescent="0.2">
      <c r="A560">
        <v>558</v>
      </c>
      <c r="B560" t="s">
        <v>1139</v>
      </c>
      <c r="C560" t="s">
        <v>1140</v>
      </c>
      <c r="D560" t="b">
        <v>0</v>
      </c>
      <c r="E560" t="b">
        <v>0</v>
      </c>
      <c r="F560" t="b">
        <v>1</v>
      </c>
      <c r="G560" t="b">
        <v>0</v>
      </c>
      <c r="H560" t="b">
        <v>0</v>
      </c>
    </row>
    <row r="561" spans="1:8" x14ac:dyDescent="0.2">
      <c r="A561">
        <v>559</v>
      </c>
      <c r="B561" t="s">
        <v>1141</v>
      </c>
      <c r="C561" t="s">
        <v>1142</v>
      </c>
      <c r="D561" t="b">
        <v>0</v>
      </c>
      <c r="E561" t="b">
        <v>0</v>
      </c>
      <c r="F561" t="b">
        <v>1</v>
      </c>
      <c r="G561" t="b">
        <v>0</v>
      </c>
      <c r="H561" t="b">
        <v>0</v>
      </c>
    </row>
    <row r="562" spans="1:8" x14ac:dyDescent="0.2">
      <c r="A562">
        <v>560</v>
      </c>
      <c r="B562" t="s">
        <v>1143</v>
      </c>
      <c r="C562" t="s">
        <v>1144</v>
      </c>
      <c r="D562" t="b">
        <v>0</v>
      </c>
      <c r="E562" t="b">
        <v>0</v>
      </c>
      <c r="F562" t="b">
        <v>1</v>
      </c>
      <c r="G562" t="b">
        <v>0</v>
      </c>
      <c r="H562" t="b">
        <v>0</v>
      </c>
    </row>
    <row r="563" spans="1:8" x14ac:dyDescent="0.2">
      <c r="A563">
        <v>561</v>
      </c>
      <c r="B563" t="s">
        <v>1145</v>
      </c>
      <c r="C563" t="s">
        <v>1146</v>
      </c>
      <c r="D563" t="b">
        <v>0</v>
      </c>
      <c r="E563" t="b">
        <v>0</v>
      </c>
      <c r="F563" t="b">
        <v>1</v>
      </c>
      <c r="G563" t="b">
        <v>0</v>
      </c>
      <c r="H563" t="b">
        <v>0</v>
      </c>
    </row>
    <row r="564" spans="1:8" x14ac:dyDescent="0.2">
      <c r="A564">
        <v>562</v>
      </c>
      <c r="B564" t="s">
        <v>1147</v>
      </c>
      <c r="C564" t="s">
        <v>1148</v>
      </c>
      <c r="D564" t="b">
        <v>0</v>
      </c>
      <c r="E564" t="b">
        <v>0</v>
      </c>
      <c r="F564" t="b">
        <v>1</v>
      </c>
      <c r="G564" t="b">
        <v>0</v>
      </c>
      <c r="H564" t="b">
        <v>0</v>
      </c>
    </row>
    <row r="565" spans="1:8" x14ac:dyDescent="0.2">
      <c r="A565">
        <v>563</v>
      </c>
      <c r="B565" t="s">
        <v>1149</v>
      </c>
      <c r="C565" t="s">
        <v>1150</v>
      </c>
      <c r="D565" t="b">
        <v>1</v>
      </c>
      <c r="E565" t="b">
        <v>0</v>
      </c>
      <c r="F565" t="b">
        <v>0</v>
      </c>
      <c r="G565" t="b">
        <v>0</v>
      </c>
      <c r="H565" t="b">
        <v>0</v>
      </c>
    </row>
    <row r="566" spans="1:8" x14ac:dyDescent="0.2">
      <c r="A566">
        <v>564</v>
      </c>
      <c r="B566" t="s">
        <v>1151</v>
      </c>
      <c r="C566" t="s">
        <v>1152</v>
      </c>
      <c r="D566" t="b">
        <v>1</v>
      </c>
      <c r="E566" t="b">
        <v>0</v>
      </c>
      <c r="F566" t="b">
        <v>0</v>
      </c>
      <c r="G566" t="b">
        <v>0</v>
      </c>
      <c r="H566" t="b">
        <v>1</v>
      </c>
    </row>
    <row r="567" spans="1:8" x14ac:dyDescent="0.2">
      <c r="A567">
        <v>565</v>
      </c>
      <c r="B567" t="s">
        <v>1153</v>
      </c>
      <c r="C567" t="s">
        <v>1154</v>
      </c>
      <c r="D567" t="b">
        <v>1</v>
      </c>
      <c r="E567" t="b">
        <v>0</v>
      </c>
      <c r="F567" t="b">
        <v>0</v>
      </c>
      <c r="G567" t="b">
        <v>1</v>
      </c>
      <c r="H567" t="b">
        <v>0</v>
      </c>
    </row>
    <row r="568" spans="1:8" x14ac:dyDescent="0.2">
      <c r="A568">
        <v>566</v>
      </c>
      <c r="B568" t="s">
        <v>1155</v>
      </c>
      <c r="C568" t="s">
        <v>1156</v>
      </c>
      <c r="D568" t="b">
        <v>0</v>
      </c>
      <c r="E568" t="b">
        <v>0</v>
      </c>
      <c r="F568" t="b">
        <v>1</v>
      </c>
      <c r="G568" t="b">
        <v>0</v>
      </c>
      <c r="H568" t="b">
        <v>0</v>
      </c>
    </row>
    <row r="569" spans="1:8" x14ac:dyDescent="0.2">
      <c r="A569">
        <v>567</v>
      </c>
      <c r="B569" t="s">
        <v>1157</v>
      </c>
      <c r="C569" t="s">
        <v>1158</v>
      </c>
      <c r="D569" t="b">
        <v>1</v>
      </c>
      <c r="E569" t="b">
        <v>0</v>
      </c>
      <c r="F569" t="b">
        <v>0</v>
      </c>
      <c r="G569" t="b">
        <v>0</v>
      </c>
      <c r="H569" t="b">
        <v>0</v>
      </c>
    </row>
    <row r="570" spans="1:8" x14ac:dyDescent="0.2">
      <c r="A570">
        <v>568</v>
      </c>
      <c r="B570" t="s">
        <v>1159</v>
      </c>
      <c r="C570" t="s">
        <v>1160</v>
      </c>
      <c r="D570" t="b">
        <v>0</v>
      </c>
      <c r="E570" t="b">
        <v>0</v>
      </c>
      <c r="F570" t="b">
        <v>1</v>
      </c>
      <c r="G570" t="b">
        <v>0</v>
      </c>
      <c r="H570" t="b">
        <v>1</v>
      </c>
    </row>
    <row r="571" spans="1:8" x14ac:dyDescent="0.2">
      <c r="A571">
        <v>569</v>
      </c>
      <c r="B571" t="s">
        <v>1161</v>
      </c>
      <c r="C571" t="s">
        <v>1162</v>
      </c>
      <c r="D571" t="b">
        <v>1</v>
      </c>
      <c r="E571" t="b">
        <v>1</v>
      </c>
      <c r="F571" t="b">
        <v>0</v>
      </c>
      <c r="G571" t="b">
        <v>1</v>
      </c>
      <c r="H571" t="b">
        <v>0</v>
      </c>
    </row>
    <row r="572" spans="1:8" x14ac:dyDescent="0.2">
      <c r="A572">
        <v>570</v>
      </c>
      <c r="B572" t="s">
        <v>1163</v>
      </c>
      <c r="C572" t="s">
        <v>1164</v>
      </c>
      <c r="D572" t="b">
        <v>0</v>
      </c>
      <c r="E572" t="b">
        <v>0</v>
      </c>
      <c r="F572" t="b">
        <v>1</v>
      </c>
      <c r="G572" t="b">
        <v>0</v>
      </c>
      <c r="H572" t="b">
        <v>0</v>
      </c>
    </row>
    <row r="573" spans="1:8" x14ac:dyDescent="0.2">
      <c r="A573">
        <v>571</v>
      </c>
      <c r="B573" t="s">
        <v>1165</v>
      </c>
      <c r="C573" t="s">
        <v>1166</v>
      </c>
      <c r="D573" t="b">
        <v>0</v>
      </c>
      <c r="E573" t="b">
        <v>0</v>
      </c>
      <c r="F573" t="b">
        <v>1</v>
      </c>
      <c r="G573" t="b">
        <v>0</v>
      </c>
      <c r="H573" t="b">
        <v>0</v>
      </c>
    </row>
    <row r="574" spans="1:8" x14ac:dyDescent="0.2">
      <c r="A574">
        <v>572</v>
      </c>
      <c r="B574" t="s">
        <v>1167</v>
      </c>
      <c r="C574" t="s">
        <v>1168</v>
      </c>
      <c r="D574" t="b">
        <v>0</v>
      </c>
      <c r="E574" t="b">
        <v>0</v>
      </c>
      <c r="F574" t="b">
        <v>1</v>
      </c>
      <c r="G574" t="b">
        <v>0</v>
      </c>
      <c r="H574" t="b">
        <v>0</v>
      </c>
    </row>
    <row r="575" spans="1:8" x14ac:dyDescent="0.2">
      <c r="A575">
        <v>573</v>
      </c>
      <c r="B575" t="s">
        <v>1169</v>
      </c>
      <c r="C575" t="s">
        <v>1170</v>
      </c>
      <c r="D575" t="b">
        <v>0</v>
      </c>
      <c r="E575" t="b">
        <v>0</v>
      </c>
      <c r="F575" t="b">
        <v>1</v>
      </c>
      <c r="G575" t="b">
        <v>0</v>
      </c>
      <c r="H575" t="b">
        <v>0</v>
      </c>
    </row>
    <row r="576" spans="1:8" x14ac:dyDescent="0.2">
      <c r="A576">
        <v>574</v>
      </c>
      <c r="B576" t="s">
        <v>1171</v>
      </c>
      <c r="C576" t="s">
        <v>1172</v>
      </c>
      <c r="D576" t="b">
        <v>0</v>
      </c>
      <c r="E576" t="b">
        <v>0</v>
      </c>
      <c r="F576" t="b">
        <v>1</v>
      </c>
      <c r="G576" t="b">
        <v>0</v>
      </c>
      <c r="H576" t="b">
        <v>0</v>
      </c>
    </row>
    <row r="577" spans="1:8" x14ac:dyDescent="0.2">
      <c r="A577">
        <v>575</v>
      </c>
      <c r="B577" t="s">
        <v>1173</v>
      </c>
      <c r="C577" t="s">
        <v>1174</v>
      </c>
      <c r="D577" t="b">
        <v>0</v>
      </c>
      <c r="E577" t="b">
        <v>0</v>
      </c>
      <c r="F577" t="b">
        <v>1</v>
      </c>
      <c r="G577" t="b">
        <v>0</v>
      </c>
      <c r="H577" t="b">
        <v>0</v>
      </c>
    </row>
    <row r="578" spans="1:8" x14ac:dyDescent="0.2">
      <c r="A578">
        <v>576</v>
      </c>
      <c r="B578" t="s">
        <v>1175</v>
      </c>
      <c r="C578" t="s">
        <v>1176</v>
      </c>
      <c r="D578" t="b">
        <v>0</v>
      </c>
      <c r="E578" t="b">
        <v>0</v>
      </c>
      <c r="F578" t="b">
        <v>1</v>
      </c>
      <c r="G578" t="b">
        <v>0</v>
      </c>
      <c r="H578" t="b">
        <v>1</v>
      </c>
    </row>
    <row r="579" spans="1:8" x14ac:dyDescent="0.2">
      <c r="A579">
        <v>577</v>
      </c>
      <c r="B579" t="s">
        <v>1177</v>
      </c>
      <c r="C579" t="s">
        <v>1178</v>
      </c>
      <c r="D579" t="b">
        <v>0</v>
      </c>
      <c r="E579" t="b">
        <v>0</v>
      </c>
      <c r="F579" t="b">
        <v>1</v>
      </c>
      <c r="G579" t="b">
        <v>0</v>
      </c>
      <c r="H579" t="b">
        <v>1</v>
      </c>
    </row>
    <row r="580" spans="1:8" x14ac:dyDescent="0.2">
      <c r="A580">
        <v>578</v>
      </c>
      <c r="B580" t="s">
        <v>1179</v>
      </c>
      <c r="C580" t="s">
        <v>1180</v>
      </c>
      <c r="D580" t="b">
        <v>0</v>
      </c>
      <c r="E580" t="b">
        <v>0</v>
      </c>
      <c r="F580" t="b">
        <v>1</v>
      </c>
      <c r="G580" t="b">
        <v>0</v>
      </c>
      <c r="H580" t="b">
        <v>0</v>
      </c>
    </row>
    <row r="581" spans="1:8" x14ac:dyDescent="0.2">
      <c r="A581">
        <v>579</v>
      </c>
      <c r="B581" t="s">
        <v>1181</v>
      </c>
      <c r="C581" t="s">
        <v>1182</v>
      </c>
      <c r="D581" t="b">
        <v>0</v>
      </c>
      <c r="E581" t="b">
        <v>0</v>
      </c>
      <c r="F581" t="b">
        <v>1</v>
      </c>
      <c r="G581" t="b">
        <v>0</v>
      </c>
      <c r="H581" t="b">
        <v>0</v>
      </c>
    </row>
    <row r="582" spans="1:8" x14ac:dyDescent="0.2">
      <c r="A582">
        <v>580</v>
      </c>
      <c r="B582" t="s">
        <v>1183</v>
      </c>
      <c r="C582" t="s">
        <v>1184</v>
      </c>
      <c r="D582" t="b">
        <v>0</v>
      </c>
      <c r="E582" t="b">
        <v>0</v>
      </c>
      <c r="F582" t="b">
        <v>1</v>
      </c>
      <c r="G582" t="b">
        <v>0</v>
      </c>
      <c r="H582" t="b">
        <v>1</v>
      </c>
    </row>
    <row r="583" spans="1:8" x14ac:dyDescent="0.2">
      <c r="A583">
        <v>581</v>
      </c>
      <c r="B583" t="s">
        <v>1185</v>
      </c>
      <c r="C583" t="s">
        <v>1186</v>
      </c>
      <c r="D583" t="b">
        <v>0</v>
      </c>
      <c r="E583" t="b">
        <v>0</v>
      </c>
      <c r="F583" t="b">
        <v>1</v>
      </c>
      <c r="G583" t="b">
        <v>0</v>
      </c>
      <c r="H583" t="b">
        <v>1</v>
      </c>
    </row>
    <row r="584" spans="1:8" x14ac:dyDescent="0.2">
      <c r="A584">
        <v>582</v>
      </c>
      <c r="B584" t="s">
        <v>1187</v>
      </c>
      <c r="C584" t="s">
        <v>1188</v>
      </c>
      <c r="D584" t="b">
        <v>0</v>
      </c>
      <c r="E584" t="b">
        <v>0</v>
      </c>
      <c r="F584" t="b">
        <v>1</v>
      </c>
      <c r="G584" t="b">
        <v>0</v>
      </c>
      <c r="H584" t="b">
        <v>0</v>
      </c>
    </row>
    <row r="585" spans="1:8" x14ac:dyDescent="0.2">
      <c r="A585">
        <v>583</v>
      </c>
      <c r="B585" t="s">
        <v>1189</v>
      </c>
      <c r="C585" t="s">
        <v>1190</v>
      </c>
      <c r="D585" t="b">
        <v>0</v>
      </c>
      <c r="E585" t="b">
        <v>0</v>
      </c>
      <c r="F585" t="b">
        <v>1</v>
      </c>
      <c r="G585" t="b">
        <v>0</v>
      </c>
      <c r="H585" t="b">
        <v>0</v>
      </c>
    </row>
    <row r="586" spans="1:8" x14ac:dyDescent="0.2">
      <c r="A586">
        <v>584</v>
      </c>
      <c r="B586" t="s">
        <v>1191</v>
      </c>
      <c r="C586" t="s">
        <v>1192</v>
      </c>
      <c r="D586" t="b">
        <v>0</v>
      </c>
      <c r="E586" t="b">
        <v>0</v>
      </c>
      <c r="F586" t="b">
        <v>1</v>
      </c>
      <c r="G586" t="b">
        <v>0</v>
      </c>
      <c r="H586" t="b">
        <v>0</v>
      </c>
    </row>
    <row r="587" spans="1:8" x14ac:dyDescent="0.2">
      <c r="A587">
        <v>585</v>
      </c>
      <c r="B587" t="s">
        <v>1193</v>
      </c>
      <c r="C587" t="s">
        <v>1194</v>
      </c>
      <c r="D587" t="b">
        <v>0</v>
      </c>
      <c r="E587" t="b">
        <v>0</v>
      </c>
      <c r="F587" t="b">
        <v>1</v>
      </c>
      <c r="G587" t="b">
        <v>0</v>
      </c>
      <c r="H587" t="b">
        <v>0</v>
      </c>
    </row>
    <row r="588" spans="1:8" x14ac:dyDescent="0.2">
      <c r="A588">
        <v>586</v>
      </c>
      <c r="B588" t="s">
        <v>1195</v>
      </c>
      <c r="C588" t="s">
        <v>160</v>
      </c>
      <c r="D588" t="b">
        <v>0</v>
      </c>
      <c r="E588" t="b">
        <v>1</v>
      </c>
      <c r="F588" t="b">
        <v>1</v>
      </c>
      <c r="G588" t="b">
        <v>0</v>
      </c>
      <c r="H588" t="b">
        <v>0</v>
      </c>
    </row>
    <row r="589" spans="1:8" x14ac:dyDescent="0.2">
      <c r="A589">
        <v>587</v>
      </c>
      <c r="B589" t="s">
        <v>1196</v>
      </c>
      <c r="C589" t="s">
        <v>160</v>
      </c>
      <c r="D589" t="b">
        <v>0</v>
      </c>
      <c r="E589" t="b">
        <v>1</v>
      </c>
      <c r="F589" t="b">
        <v>1</v>
      </c>
      <c r="G589" t="b">
        <v>0</v>
      </c>
      <c r="H589" t="b">
        <v>0</v>
      </c>
    </row>
    <row r="590" spans="1:8" x14ac:dyDescent="0.2">
      <c r="A590">
        <v>588</v>
      </c>
      <c r="B590" t="s">
        <v>1197</v>
      </c>
      <c r="C590" t="s">
        <v>1198</v>
      </c>
      <c r="D590" t="b">
        <v>0</v>
      </c>
      <c r="E590" t="b">
        <v>0</v>
      </c>
      <c r="F590" t="b">
        <v>1</v>
      </c>
      <c r="G590" t="b">
        <v>0</v>
      </c>
      <c r="H590" t="b">
        <v>1</v>
      </c>
    </row>
    <row r="591" spans="1:8" x14ac:dyDescent="0.2">
      <c r="A591">
        <v>589</v>
      </c>
      <c r="B591" t="s">
        <v>1199</v>
      </c>
      <c r="C591" t="s">
        <v>1200</v>
      </c>
      <c r="D591" t="b">
        <v>0</v>
      </c>
      <c r="E591" t="b">
        <v>0</v>
      </c>
      <c r="F591" t="b">
        <v>1</v>
      </c>
      <c r="G591" t="b">
        <v>0</v>
      </c>
      <c r="H591" t="b">
        <v>0</v>
      </c>
    </row>
    <row r="592" spans="1:8" x14ac:dyDescent="0.2">
      <c r="A592">
        <v>590</v>
      </c>
      <c r="B592" t="s">
        <v>1201</v>
      </c>
      <c r="C592" t="s">
        <v>160</v>
      </c>
      <c r="D592" t="b">
        <v>0</v>
      </c>
      <c r="E592" t="b">
        <v>1</v>
      </c>
      <c r="F592" t="b">
        <v>1</v>
      </c>
      <c r="G592" t="b">
        <v>0</v>
      </c>
      <c r="H592" t="b">
        <v>0</v>
      </c>
    </row>
    <row r="593" spans="1:8" x14ac:dyDescent="0.2">
      <c r="A593">
        <v>591</v>
      </c>
      <c r="B593" t="s">
        <v>1202</v>
      </c>
      <c r="C593" t="s">
        <v>160</v>
      </c>
      <c r="D593" t="b">
        <v>0</v>
      </c>
      <c r="E593" t="b">
        <v>1</v>
      </c>
      <c r="F593" t="b">
        <v>1</v>
      </c>
      <c r="G593" t="b">
        <v>0</v>
      </c>
      <c r="H593" t="b">
        <v>0</v>
      </c>
    </row>
    <row r="594" spans="1:8" x14ac:dyDescent="0.2">
      <c r="A594">
        <v>592</v>
      </c>
      <c r="B594" t="s">
        <v>1203</v>
      </c>
      <c r="C594" t="s">
        <v>1204</v>
      </c>
      <c r="D594" t="b">
        <v>0</v>
      </c>
      <c r="E594" t="b">
        <v>0</v>
      </c>
      <c r="F594" t="b">
        <v>1</v>
      </c>
      <c r="G594" t="b">
        <v>0</v>
      </c>
      <c r="H594" t="b">
        <v>0</v>
      </c>
    </row>
    <row r="595" spans="1:8" x14ac:dyDescent="0.2">
      <c r="A595">
        <v>593</v>
      </c>
      <c r="B595" t="s">
        <v>1205</v>
      </c>
      <c r="C595" t="s">
        <v>1206</v>
      </c>
      <c r="D595" t="b">
        <v>0</v>
      </c>
      <c r="E595" t="b">
        <v>0</v>
      </c>
      <c r="F595" t="b">
        <v>1</v>
      </c>
      <c r="G595" t="b">
        <v>0</v>
      </c>
      <c r="H595" t="b">
        <v>0</v>
      </c>
    </row>
    <row r="596" spans="1:8" x14ac:dyDescent="0.2">
      <c r="A596">
        <v>594</v>
      </c>
      <c r="B596" t="s">
        <v>1207</v>
      </c>
      <c r="C596" t="s">
        <v>1208</v>
      </c>
      <c r="D596" t="b">
        <v>0</v>
      </c>
      <c r="E596" t="b">
        <v>0</v>
      </c>
      <c r="F596" t="b">
        <v>1</v>
      </c>
      <c r="G596" t="b">
        <v>0</v>
      </c>
      <c r="H596" t="b">
        <v>0</v>
      </c>
    </row>
    <row r="597" spans="1:8" x14ac:dyDescent="0.2">
      <c r="A597">
        <v>595</v>
      </c>
      <c r="B597" t="s">
        <v>1209</v>
      </c>
      <c r="C597" t="s">
        <v>1210</v>
      </c>
      <c r="D597" t="b">
        <v>0</v>
      </c>
      <c r="E597" t="b">
        <v>0</v>
      </c>
      <c r="F597" t="b">
        <v>1</v>
      </c>
      <c r="G597" t="b">
        <v>0</v>
      </c>
      <c r="H597" t="b">
        <v>0</v>
      </c>
    </row>
    <row r="598" spans="1:8" x14ac:dyDescent="0.2">
      <c r="A598">
        <v>596</v>
      </c>
      <c r="B598" t="s">
        <v>1211</v>
      </c>
      <c r="C598" t="s">
        <v>1212</v>
      </c>
      <c r="D598" t="b">
        <v>0</v>
      </c>
      <c r="E598" t="b">
        <v>0</v>
      </c>
      <c r="F598" t="b">
        <v>1</v>
      </c>
      <c r="G598" t="b">
        <v>0</v>
      </c>
      <c r="H598" t="b">
        <v>0</v>
      </c>
    </row>
    <row r="599" spans="1:8" x14ac:dyDescent="0.2">
      <c r="A599">
        <v>597</v>
      </c>
      <c r="B599" t="s">
        <v>1213</v>
      </c>
      <c r="C599" t="s">
        <v>1214</v>
      </c>
      <c r="D599" t="b">
        <v>0</v>
      </c>
      <c r="E599" t="b">
        <v>0</v>
      </c>
      <c r="F599" t="b">
        <v>1</v>
      </c>
      <c r="G599" t="b">
        <v>0</v>
      </c>
      <c r="H599" t="b">
        <v>0</v>
      </c>
    </row>
    <row r="600" spans="1:8" x14ac:dyDescent="0.2">
      <c r="A600">
        <v>598</v>
      </c>
      <c r="B600" t="s">
        <v>1215</v>
      </c>
      <c r="C600" t="s">
        <v>1216</v>
      </c>
      <c r="D600" t="b">
        <v>0</v>
      </c>
      <c r="E600" t="b">
        <v>0</v>
      </c>
      <c r="F600" t="b">
        <v>1</v>
      </c>
      <c r="G600" t="b">
        <v>0</v>
      </c>
      <c r="H600" t="b">
        <v>0</v>
      </c>
    </row>
    <row r="601" spans="1:8" x14ac:dyDescent="0.2">
      <c r="A601">
        <v>599</v>
      </c>
      <c r="B601" t="s">
        <v>1217</v>
      </c>
      <c r="C601" t="s">
        <v>1218</v>
      </c>
      <c r="D601" t="b">
        <v>0</v>
      </c>
      <c r="E601" t="b">
        <v>0</v>
      </c>
      <c r="F601" t="b">
        <v>1</v>
      </c>
      <c r="G601" t="b">
        <v>0</v>
      </c>
      <c r="H601" t="b">
        <v>0</v>
      </c>
    </row>
    <row r="602" spans="1:8" x14ac:dyDescent="0.2">
      <c r="A602">
        <v>600</v>
      </c>
      <c r="B602" t="s">
        <v>1219</v>
      </c>
      <c r="C602" t="s">
        <v>1220</v>
      </c>
      <c r="D602" t="b">
        <v>0</v>
      </c>
      <c r="E602" t="b">
        <v>0</v>
      </c>
      <c r="F602" t="b">
        <v>1</v>
      </c>
      <c r="G602" t="b">
        <v>0</v>
      </c>
      <c r="H602" t="b">
        <v>1</v>
      </c>
    </row>
    <row r="603" spans="1:8" x14ac:dyDescent="0.2">
      <c r="A603">
        <v>601</v>
      </c>
      <c r="B603" t="s">
        <v>1221</v>
      </c>
      <c r="C603" t="s">
        <v>1222</v>
      </c>
      <c r="D603" t="b">
        <v>0</v>
      </c>
      <c r="E603" t="b">
        <v>0</v>
      </c>
      <c r="F603" t="b">
        <v>1</v>
      </c>
      <c r="G603" t="b">
        <v>0</v>
      </c>
      <c r="H603" t="b">
        <v>0</v>
      </c>
    </row>
    <row r="604" spans="1:8" x14ac:dyDescent="0.2">
      <c r="A604">
        <v>602</v>
      </c>
      <c r="B604" t="s">
        <v>1223</v>
      </c>
      <c r="C604" t="s">
        <v>1224</v>
      </c>
      <c r="D604" t="b">
        <v>0</v>
      </c>
      <c r="E604" t="b">
        <v>0</v>
      </c>
      <c r="F604" t="b">
        <v>1</v>
      </c>
      <c r="G604" t="b">
        <v>0</v>
      </c>
      <c r="H604" t="b">
        <v>0</v>
      </c>
    </row>
    <row r="605" spans="1:8" x14ac:dyDescent="0.2">
      <c r="A605">
        <v>603</v>
      </c>
      <c r="B605" t="s">
        <v>1225</v>
      </c>
      <c r="C605" t="s">
        <v>1226</v>
      </c>
      <c r="D605" t="b">
        <v>0</v>
      </c>
      <c r="E605" t="b">
        <v>0</v>
      </c>
      <c r="F605" t="b">
        <v>1</v>
      </c>
      <c r="G605" t="b">
        <v>0</v>
      </c>
      <c r="H605" t="b">
        <v>1</v>
      </c>
    </row>
    <row r="606" spans="1:8" x14ac:dyDescent="0.2">
      <c r="A606">
        <v>604</v>
      </c>
      <c r="B606" t="s">
        <v>1227</v>
      </c>
      <c r="C606" t="s">
        <v>1228</v>
      </c>
      <c r="D606" t="b">
        <v>0</v>
      </c>
      <c r="E606" t="b">
        <v>0</v>
      </c>
      <c r="F606" t="b">
        <v>1</v>
      </c>
      <c r="G606" t="b">
        <v>0</v>
      </c>
      <c r="H606" t="b">
        <v>0</v>
      </c>
    </row>
    <row r="607" spans="1:8" x14ac:dyDescent="0.2">
      <c r="A607">
        <v>605</v>
      </c>
      <c r="B607" t="s">
        <v>1229</v>
      </c>
      <c r="C607" t="s">
        <v>1230</v>
      </c>
      <c r="D607" t="b">
        <v>0</v>
      </c>
      <c r="E607" t="b">
        <v>0</v>
      </c>
      <c r="F607" t="b">
        <v>1</v>
      </c>
      <c r="G607" t="b">
        <v>0</v>
      </c>
      <c r="H607" t="b">
        <v>0</v>
      </c>
    </row>
    <row r="608" spans="1:8" x14ac:dyDescent="0.2">
      <c r="A608">
        <v>606</v>
      </c>
      <c r="B608" t="s">
        <v>1231</v>
      </c>
      <c r="C608" t="s">
        <v>1232</v>
      </c>
      <c r="D608" t="b">
        <v>0</v>
      </c>
      <c r="E608" t="b">
        <v>0</v>
      </c>
      <c r="F608" t="b">
        <v>1</v>
      </c>
      <c r="G608" t="b">
        <v>0</v>
      </c>
      <c r="H608" t="b">
        <v>0</v>
      </c>
    </row>
    <row r="609" spans="1:8" x14ac:dyDescent="0.2">
      <c r="A609">
        <v>607</v>
      </c>
      <c r="B609" t="s">
        <v>1233</v>
      </c>
      <c r="C609" t="s">
        <v>1234</v>
      </c>
      <c r="D609" t="b">
        <v>0</v>
      </c>
      <c r="E609" t="b">
        <v>0</v>
      </c>
      <c r="F609" t="b">
        <v>1</v>
      </c>
      <c r="G609" t="b">
        <v>0</v>
      </c>
      <c r="H609" t="b">
        <v>1</v>
      </c>
    </row>
    <row r="610" spans="1:8" x14ac:dyDescent="0.2">
      <c r="A610">
        <v>608</v>
      </c>
      <c r="B610" t="s">
        <v>1235</v>
      </c>
      <c r="C610" t="s">
        <v>1236</v>
      </c>
      <c r="D610" t="b">
        <v>0</v>
      </c>
      <c r="E610" t="b">
        <v>0</v>
      </c>
      <c r="F610" t="b">
        <v>1</v>
      </c>
      <c r="G610" t="b">
        <v>0</v>
      </c>
      <c r="H610" t="b">
        <v>0</v>
      </c>
    </row>
    <row r="611" spans="1:8" x14ac:dyDescent="0.2">
      <c r="A611">
        <v>609</v>
      </c>
      <c r="B611" t="s">
        <v>1237</v>
      </c>
      <c r="C611" s="1" t="s">
        <v>1238</v>
      </c>
      <c r="D611" t="b">
        <v>0</v>
      </c>
      <c r="E611" t="b">
        <v>0</v>
      </c>
      <c r="F611" t="b">
        <v>1</v>
      </c>
      <c r="G611" t="b">
        <v>0</v>
      </c>
      <c r="H611" t="b">
        <v>0</v>
      </c>
    </row>
    <row r="612" spans="1:8" x14ac:dyDescent="0.2">
      <c r="A612">
        <v>610</v>
      </c>
      <c r="B612" t="s">
        <v>1239</v>
      </c>
      <c r="C612" t="s">
        <v>1240</v>
      </c>
      <c r="D612" t="b">
        <v>0</v>
      </c>
      <c r="E612" t="b">
        <v>0</v>
      </c>
      <c r="F612" t="b">
        <v>1</v>
      </c>
      <c r="G612" t="b">
        <v>0</v>
      </c>
      <c r="H612" t="b">
        <v>0</v>
      </c>
    </row>
    <row r="613" spans="1:8" x14ac:dyDescent="0.2">
      <c r="A613">
        <v>611</v>
      </c>
      <c r="B613" t="s">
        <v>1241</v>
      </c>
      <c r="C613" t="s">
        <v>1242</v>
      </c>
      <c r="D613" t="b">
        <v>0</v>
      </c>
      <c r="E613" t="b">
        <v>0</v>
      </c>
      <c r="F613" t="b">
        <v>1</v>
      </c>
      <c r="G613" t="b">
        <v>0</v>
      </c>
      <c r="H613" t="b">
        <v>0</v>
      </c>
    </row>
    <row r="614" spans="1:8" x14ac:dyDescent="0.2">
      <c r="A614">
        <v>612</v>
      </c>
      <c r="B614" t="s">
        <v>1243</v>
      </c>
      <c r="C614" t="s">
        <v>1244</v>
      </c>
      <c r="D614" t="b">
        <v>0</v>
      </c>
      <c r="E614" t="b">
        <v>0</v>
      </c>
      <c r="F614" t="b">
        <v>1</v>
      </c>
      <c r="G614" t="b">
        <v>0</v>
      </c>
      <c r="H614" t="b">
        <v>0</v>
      </c>
    </row>
    <row r="615" spans="1:8" x14ac:dyDescent="0.2">
      <c r="A615">
        <v>613</v>
      </c>
      <c r="B615" t="s">
        <v>1245</v>
      </c>
      <c r="C615" t="s">
        <v>1246</v>
      </c>
      <c r="D615" t="b">
        <v>0</v>
      </c>
      <c r="E615" t="b">
        <v>0</v>
      </c>
      <c r="F615" t="b">
        <v>1</v>
      </c>
      <c r="G615" t="b">
        <v>0</v>
      </c>
      <c r="H615" t="b">
        <v>0</v>
      </c>
    </row>
    <row r="616" spans="1:8" x14ac:dyDescent="0.2">
      <c r="A616">
        <v>614</v>
      </c>
      <c r="B616" t="s">
        <v>1247</v>
      </c>
      <c r="C616" t="s">
        <v>1248</v>
      </c>
      <c r="D616" t="b">
        <v>0</v>
      </c>
      <c r="E616" t="b">
        <v>0</v>
      </c>
      <c r="F616" t="b">
        <v>1</v>
      </c>
      <c r="G616" t="b">
        <v>0</v>
      </c>
      <c r="H616" t="b">
        <v>0</v>
      </c>
    </row>
    <row r="617" spans="1:8" x14ac:dyDescent="0.2">
      <c r="A617">
        <v>615</v>
      </c>
      <c r="B617" t="s">
        <v>1249</v>
      </c>
      <c r="C617" t="s">
        <v>1250</v>
      </c>
      <c r="D617" t="b">
        <v>0</v>
      </c>
      <c r="E617" t="b">
        <v>0</v>
      </c>
      <c r="F617" t="b">
        <v>1</v>
      </c>
      <c r="G617" t="b">
        <v>0</v>
      </c>
      <c r="H617" t="b">
        <v>0</v>
      </c>
    </row>
    <row r="618" spans="1:8" x14ac:dyDescent="0.2">
      <c r="A618">
        <v>616</v>
      </c>
      <c r="B618" t="s">
        <v>1251</v>
      </c>
      <c r="C618" t="s">
        <v>1252</v>
      </c>
      <c r="D618" t="b">
        <v>0</v>
      </c>
      <c r="E618" t="b">
        <v>0</v>
      </c>
      <c r="F618" t="b">
        <v>1</v>
      </c>
      <c r="G618" t="b">
        <v>0</v>
      </c>
      <c r="H618" t="b">
        <v>1</v>
      </c>
    </row>
    <row r="619" spans="1:8" x14ac:dyDescent="0.2">
      <c r="A619">
        <v>617</v>
      </c>
      <c r="B619" t="s">
        <v>1253</v>
      </c>
      <c r="C619" t="s">
        <v>1254</v>
      </c>
      <c r="D619" t="b">
        <v>0</v>
      </c>
      <c r="E619" t="b">
        <v>0</v>
      </c>
      <c r="F619" t="b">
        <v>1</v>
      </c>
      <c r="G619" t="b">
        <v>0</v>
      </c>
      <c r="H619" t="b">
        <v>0</v>
      </c>
    </row>
    <row r="620" spans="1:8" x14ac:dyDescent="0.2">
      <c r="A620">
        <v>618</v>
      </c>
      <c r="B620" t="s">
        <v>1255</v>
      </c>
      <c r="C620" t="s">
        <v>1256</v>
      </c>
      <c r="D620" t="b">
        <v>0</v>
      </c>
      <c r="E620" t="b">
        <v>0</v>
      </c>
      <c r="F620" t="b">
        <v>1</v>
      </c>
      <c r="G620" t="b">
        <v>0</v>
      </c>
      <c r="H620" t="b">
        <v>0</v>
      </c>
    </row>
    <row r="621" spans="1:8" x14ac:dyDescent="0.2">
      <c r="A621">
        <v>619</v>
      </c>
      <c r="B621" t="s">
        <v>1257</v>
      </c>
      <c r="C621" t="s">
        <v>160</v>
      </c>
      <c r="D621" t="b">
        <v>0</v>
      </c>
      <c r="E621" t="b">
        <v>1</v>
      </c>
      <c r="F621" t="b">
        <v>1</v>
      </c>
      <c r="G621" t="b">
        <v>0</v>
      </c>
      <c r="H621" t="b">
        <v>0</v>
      </c>
    </row>
    <row r="622" spans="1:8" x14ac:dyDescent="0.2">
      <c r="A622">
        <v>620</v>
      </c>
      <c r="B622" t="s">
        <v>1258</v>
      </c>
      <c r="C622" t="s">
        <v>1259</v>
      </c>
      <c r="D622" t="b">
        <v>0</v>
      </c>
      <c r="E622" t="b">
        <v>0</v>
      </c>
      <c r="F622" t="b">
        <v>1</v>
      </c>
      <c r="G622" t="b">
        <v>0</v>
      </c>
      <c r="H622" t="b">
        <v>0</v>
      </c>
    </row>
    <row r="623" spans="1:8" x14ac:dyDescent="0.2">
      <c r="A623">
        <v>621</v>
      </c>
      <c r="B623" t="s">
        <v>1260</v>
      </c>
      <c r="C623" t="s">
        <v>1261</v>
      </c>
      <c r="D623" t="b">
        <v>0</v>
      </c>
      <c r="E623" t="b">
        <v>0</v>
      </c>
      <c r="F623" t="b">
        <v>1</v>
      </c>
      <c r="G623" t="b">
        <v>0</v>
      </c>
      <c r="H623" t="b">
        <v>0</v>
      </c>
    </row>
    <row r="624" spans="1:8" x14ac:dyDescent="0.2">
      <c r="A624">
        <v>622</v>
      </c>
      <c r="B624" t="s">
        <v>1262</v>
      </c>
      <c r="C624" t="s">
        <v>1263</v>
      </c>
      <c r="D624" t="b">
        <v>0</v>
      </c>
      <c r="E624" t="b">
        <v>0</v>
      </c>
      <c r="F624" t="b">
        <v>1</v>
      </c>
      <c r="G624" t="b">
        <v>0</v>
      </c>
      <c r="H624" t="b">
        <v>0</v>
      </c>
    </row>
    <row r="625" spans="1:8" x14ac:dyDescent="0.2">
      <c r="A625">
        <v>623</v>
      </c>
      <c r="B625" t="s">
        <v>1264</v>
      </c>
      <c r="C625" t="s">
        <v>1265</v>
      </c>
      <c r="D625" t="b">
        <v>0</v>
      </c>
      <c r="E625" t="b">
        <v>0</v>
      </c>
      <c r="F625" t="b">
        <v>1</v>
      </c>
      <c r="G625" t="b">
        <v>0</v>
      </c>
      <c r="H625" t="b">
        <v>0</v>
      </c>
    </row>
    <row r="626" spans="1:8" x14ac:dyDescent="0.2">
      <c r="A626">
        <v>624</v>
      </c>
      <c r="B626" t="s">
        <v>1266</v>
      </c>
      <c r="C626" t="s">
        <v>160</v>
      </c>
      <c r="D626" t="b">
        <v>0</v>
      </c>
      <c r="E626" t="b">
        <v>1</v>
      </c>
      <c r="F626" t="b">
        <v>1</v>
      </c>
      <c r="G626" t="b">
        <v>0</v>
      </c>
      <c r="H626" t="b">
        <v>0</v>
      </c>
    </row>
    <row r="627" spans="1:8" x14ac:dyDescent="0.2">
      <c r="A627">
        <v>625</v>
      </c>
      <c r="B627" t="s">
        <v>1267</v>
      </c>
      <c r="C627" t="s">
        <v>160</v>
      </c>
      <c r="D627" t="b">
        <v>0</v>
      </c>
      <c r="E627" t="b">
        <v>1</v>
      </c>
      <c r="F627" t="b">
        <v>1</v>
      </c>
      <c r="G627" t="b">
        <v>0</v>
      </c>
      <c r="H627" t="b">
        <v>0</v>
      </c>
    </row>
    <row r="628" spans="1:8" x14ac:dyDescent="0.2">
      <c r="A628">
        <v>626</v>
      </c>
      <c r="B628" t="s">
        <v>1268</v>
      </c>
      <c r="C628" t="s">
        <v>1269</v>
      </c>
      <c r="D628" t="b">
        <v>0</v>
      </c>
      <c r="E628" t="b">
        <v>0</v>
      </c>
      <c r="F628" t="b">
        <v>1</v>
      </c>
      <c r="G628" t="b">
        <v>0</v>
      </c>
      <c r="H628" t="b">
        <v>0</v>
      </c>
    </row>
    <row r="629" spans="1:8" x14ac:dyDescent="0.2">
      <c r="A629">
        <v>627</v>
      </c>
      <c r="B629" t="s">
        <v>1270</v>
      </c>
      <c r="C629" t="s">
        <v>1271</v>
      </c>
      <c r="D629" t="b">
        <v>0</v>
      </c>
      <c r="E629" t="b">
        <v>0</v>
      </c>
      <c r="F629" t="b">
        <v>1</v>
      </c>
      <c r="G629" t="b">
        <v>0</v>
      </c>
      <c r="H629" t="b">
        <v>0</v>
      </c>
    </row>
    <row r="630" spans="1:8" x14ac:dyDescent="0.2">
      <c r="A630">
        <v>628</v>
      </c>
      <c r="B630" t="s">
        <v>1272</v>
      </c>
      <c r="C630" t="s">
        <v>1273</v>
      </c>
      <c r="D630" t="b">
        <v>0</v>
      </c>
      <c r="E630" t="b">
        <v>0</v>
      </c>
      <c r="F630" t="b">
        <v>1</v>
      </c>
      <c r="G630" t="b">
        <v>0</v>
      </c>
      <c r="H630" t="b">
        <v>0</v>
      </c>
    </row>
    <row r="631" spans="1:8" x14ac:dyDescent="0.2">
      <c r="A631">
        <v>629</v>
      </c>
      <c r="B631" t="s">
        <v>1274</v>
      </c>
      <c r="C631" t="s">
        <v>1275</v>
      </c>
      <c r="D631" t="b">
        <v>0</v>
      </c>
      <c r="E631" t="b">
        <v>0</v>
      </c>
      <c r="F631" t="b">
        <v>1</v>
      </c>
      <c r="G631" t="b">
        <v>0</v>
      </c>
      <c r="H631" t="b">
        <v>0</v>
      </c>
    </row>
    <row r="632" spans="1:8" x14ac:dyDescent="0.2">
      <c r="A632">
        <v>630</v>
      </c>
      <c r="B632" t="s">
        <v>1276</v>
      </c>
      <c r="C632" t="s">
        <v>1277</v>
      </c>
      <c r="D632" t="b">
        <v>0</v>
      </c>
      <c r="E632" t="b">
        <v>0</v>
      </c>
      <c r="F632" t="b">
        <v>1</v>
      </c>
      <c r="G632" t="b">
        <v>0</v>
      </c>
      <c r="H632" t="b">
        <v>0</v>
      </c>
    </row>
    <row r="633" spans="1:8" x14ac:dyDescent="0.2">
      <c r="A633">
        <v>631</v>
      </c>
      <c r="B633" t="s">
        <v>1278</v>
      </c>
      <c r="C633" t="s">
        <v>1279</v>
      </c>
      <c r="D633" t="b">
        <v>0</v>
      </c>
      <c r="E633" t="b">
        <v>0</v>
      </c>
      <c r="F633" t="b">
        <v>1</v>
      </c>
      <c r="G633" t="b">
        <v>0</v>
      </c>
      <c r="H633" t="b">
        <v>0</v>
      </c>
    </row>
    <row r="634" spans="1:8" x14ac:dyDescent="0.2">
      <c r="A634">
        <v>632</v>
      </c>
      <c r="B634" t="s">
        <v>1280</v>
      </c>
      <c r="C634" t="s">
        <v>1281</v>
      </c>
      <c r="D634" t="b">
        <v>0</v>
      </c>
      <c r="E634" t="b">
        <v>0</v>
      </c>
      <c r="F634" t="b">
        <v>1</v>
      </c>
      <c r="G634" t="b">
        <v>0</v>
      </c>
      <c r="H634" t="b">
        <v>1</v>
      </c>
    </row>
    <row r="635" spans="1:8" x14ac:dyDescent="0.2">
      <c r="A635">
        <v>633</v>
      </c>
      <c r="B635" t="s">
        <v>1282</v>
      </c>
      <c r="C635" t="s">
        <v>1283</v>
      </c>
      <c r="D635" t="b">
        <v>0</v>
      </c>
      <c r="E635" t="b">
        <v>0</v>
      </c>
      <c r="F635" t="b">
        <v>1</v>
      </c>
      <c r="G635" t="b">
        <v>0</v>
      </c>
      <c r="H635" t="b">
        <v>0</v>
      </c>
    </row>
    <row r="636" spans="1:8" x14ac:dyDescent="0.2">
      <c r="A636">
        <v>634</v>
      </c>
      <c r="B636" t="s">
        <v>1284</v>
      </c>
      <c r="C636" t="s">
        <v>1285</v>
      </c>
      <c r="D636" t="b">
        <v>0</v>
      </c>
      <c r="E636" t="b">
        <v>0</v>
      </c>
      <c r="F636" t="b">
        <v>1</v>
      </c>
      <c r="G636" t="b">
        <v>0</v>
      </c>
      <c r="H636" t="b">
        <v>0</v>
      </c>
    </row>
    <row r="637" spans="1:8" x14ac:dyDescent="0.2">
      <c r="A637">
        <v>635</v>
      </c>
      <c r="B637" t="s">
        <v>1286</v>
      </c>
      <c r="C637" t="s">
        <v>1287</v>
      </c>
      <c r="D637" t="b">
        <v>0</v>
      </c>
      <c r="E637" t="b">
        <v>0</v>
      </c>
      <c r="F637" t="b">
        <v>1</v>
      </c>
      <c r="G637" t="b">
        <v>0</v>
      </c>
      <c r="H637" t="b">
        <v>0</v>
      </c>
    </row>
    <row r="638" spans="1:8" x14ac:dyDescent="0.2">
      <c r="A638">
        <v>636</v>
      </c>
      <c r="B638" t="s">
        <v>1288</v>
      </c>
      <c r="C638" t="s">
        <v>1289</v>
      </c>
      <c r="D638" t="b">
        <v>0</v>
      </c>
      <c r="E638" t="b">
        <v>0</v>
      </c>
      <c r="F638" t="b">
        <v>1</v>
      </c>
      <c r="G638" t="b">
        <v>0</v>
      </c>
      <c r="H638" t="b">
        <v>0</v>
      </c>
    </row>
    <row r="639" spans="1:8" x14ac:dyDescent="0.2">
      <c r="A639">
        <v>637</v>
      </c>
      <c r="B639" t="s">
        <v>1290</v>
      </c>
      <c r="C639" t="s">
        <v>160</v>
      </c>
      <c r="D639" t="b">
        <v>0</v>
      </c>
      <c r="E639" t="b">
        <v>1</v>
      </c>
      <c r="F639" t="b">
        <v>1</v>
      </c>
      <c r="G639" t="b">
        <v>0</v>
      </c>
      <c r="H639" t="b">
        <v>0</v>
      </c>
    </row>
    <row r="640" spans="1:8" x14ac:dyDescent="0.2">
      <c r="A640">
        <v>638</v>
      </c>
      <c r="B640" t="s">
        <v>1291</v>
      </c>
      <c r="C640" t="s">
        <v>1292</v>
      </c>
      <c r="D640" t="b">
        <v>1</v>
      </c>
      <c r="E640" t="b">
        <v>0</v>
      </c>
      <c r="F640" t="b">
        <v>0</v>
      </c>
      <c r="G640" t="b">
        <v>0</v>
      </c>
      <c r="H640" t="b">
        <v>0</v>
      </c>
    </row>
    <row r="641" spans="1:8" x14ac:dyDescent="0.2">
      <c r="A641">
        <v>639</v>
      </c>
      <c r="B641" t="s">
        <v>1293</v>
      </c>
      <c r="C641" t="s">
        <v>1294</v>
      </c>
      <c r="D641" t="b">
        <v>1</v>
      </c>
      <c r="E641" t="b">
        <v>0</v>
      </c>
      <c r="F641" t="b">
        <v>0</v>
      </c>
      <c r="G641" t="b">
        <v>0</v>
      </c>
      <c r="H641" t="b">
        <v>0</v>
      </c>
    </row>
    <row r="642" spans="1:8" x14ac:dyDescent="0.2">
      <c r="A642">
        <v>640</v>
      </c>
      <c r="B642" t="s">
        <v>1295</v>
      </c>
      <c r="C642" t="s">
        <v>1296</v>
      </c>
      <c r="D642" t="b">
        <v>1</v>
      </c>
      <c r="E642" t="b">
        <v>0</v>
      </c>
      <c r="F642" t="b">
        <v>0</v>
      </c>
      <c r="G642" t="b">
        <v>0</v>
      </c>
      <c r="H642" t="b">
        <v>0</v>
      </c>
    </row>
    <row r="643" spans="1:8" x14ac:dyDescent="0.2">
      <c r="A643">
        <v>641</v>
      </c>
      <c r="B643" t="s">
        <v>1297</v>
      </c>
      <c r="C643" t="s">
        <v>1298</v>
      </c>
      <c r="D643" t="b">
        <v>1</v>
      </c>
      <c r="E643" t="b">
        <v>0</v>
      </c>
      <c r="F643" t="b">
        <v>0</v>
      </c>
      <c r="G643" t="b">
        <v>0</v>
      </c>
      <c r="H643" t="b">
        <v>0</v>
      </c>
    </row>
    <row r="644" spans="1:8" x14ac:dyDescent="0.2">
      <c r="A644">
        <v>642</v>
      </c>
      <c r="B644" t="s">
        <v>1299</v>
      </c>
      <c r="C644" t="s">
        <v>1300</v>
      </c>
      <c r="D644" t="b">
        <v>1</v>
      </c>
      <c r="E644" t="b">
        <v>0</v>
      </c>
      <c r="F644" t="b">
        <v>0</v>
      </c>
      <c r="G644" t="b">
        <v>0</v>
      </c>
      <c r="H644" t="b">
        <v>0</v>
      </c>
    </row>
    <row r="645" spans="1:8" x14ac:dyDescent="0.2">
      <c r="A645">
        <v>643</v>
      </c>
      <c r="B645" t="s">
        <v>1301</v>
      </c>
      <c r="C645" t="s">
        <v>160</v>
      </c>
      <c r="D645" t="b">
        <v>0</v>
      </c>
      <c r="E645" t="b">
        <v>1</v>
      </c>
      <c r="F645" t="b">
        <v>1</v>
      </c>
      <c r="G645" t="b">
        <v>0</v>
      </c>
      <c r="H645" t="b">
        <v>0</v>
      </c>
    </row>
    <row r="646" spans="1:8" x14ac:dyDescent="0.2">
      <c r="A646">
        <v>644</v>
      </c>
      <c r="B646" t="s">
        <v>1302</v>
      </c>
      <c r="C646" t="s">
        <v>1303</v>
      </c>
      <c r="D646" t="b">
        <v>1</v>
      </c>
      <c r="E646" t="b">
        <v>0</v>
      </c>
      <c r="F646" t="b">
        <v>0</v>
      </c>
      <c r="G646" t="b">
        <v>1</v>
      </c>
      <c r="H646" t="b">
        <v>0</v>
      </c>
    </row>
    <row r="647" spans="1:8" x14ac:dyDescent="0.2">
      <c r="A647">
        <v>645</v>
      </c>
      <c r="B647" t="s">
        <v>1304</v>
      </c>
      <c r="C647" t="s">
        <v>1305</v>
      </c>
      <c r="D647" t="b">
        <v>0</v>
      </c>
      <c r="E647" t="b">
        <v>0</v>
      </c>
      <c r="F647" t="b">
        <v>1</v>
      </c>
      <c r="G647" t="b">
        <v>0</v>
      </c>
      <c r="H647" t="b">
        <v>1</v>
      </c>
    </row>
    <row r="648" spans="1:8" x14ac:dyDescent="0.2">
      <c r="A648">
        <v>646</v>
      </c>
      <c r="B648" t="s">
        <v>1306</v>
      </c>
      <c r="C648" t="s">
        <v>1307</v>
      </c>
      <c r="D648" t="b">
        <v>0</v>
      </c>
      <c r="E648" t="b">
        <v>0</v>
      </c>
      <c r="F648" t="b">
        <v>1</v>
      </c>
      <c r="G648" t="b">
        <v>0</v>
      </c>
      <c r="H648" t="b">
        <v>1</v>
      </c>
    </row>
    <row r="649" spans="1:8" x14ac:dyDescent="0.2">
      <c r="A649">
        <v>647</v>
      </c>
      <c r="B649" t="s">
        <v>1308</v>
      </c>
      <c r="C649" s="1" t="s">
        <v>1309</v>
      </c>
      <c r="D649" t="b">
        <v>0</v>
      </c>
      <c r="E649" t="b">
        <v>0</v>
      </c>
      <c r="F649" t="b">
        <v>1</v>
      </c>
      <c r="G649" t="b">
        <v>0</v>
      </c>
      <c r="H649" t="b">
        <v>0</v>
      </c>
    </row>
    <row r="650" spans="1:8" x14ac:dyDescent="0.2">
      <c r="A650">
        <v>648</v>
      </c>
      <c r="B650" t="s">
        <v>1310</v>
      </c>
      <c r="C650" t="s">
        <v>1311</v>
      </c>
      <c r="D650" t="b">
        <v>1</v>
      </c>
      <c r="E650" t="b">
        <v>0</v>
      </c>
      <c r="F650" t="b">
        <v>0</v>
      </c>
      <c r="G650" t="b">
        <v>0</v>
      </c>
      <c r="H650" t="b">
        <v>0</v>
      </c>
    </row>
    <row r="651" spans="1:8" x14ac:dyDescent="0.2">
      <c r="A651">
        <v>649</v>
      </c>
      <c r="B651" t="s">
        <v>1312</v>
      </c>
      <c r="C651" t="s">
        <v>1313</v>
      </c>
      <c r="D651" t="b">
        <v>1</v>
      </c>
      <c r="E651" t="b">
        <v>0</v>
      </c>
      <c r="F651" t="b">
        <v>0</v>
      </c>
      <c r="G651" t="b">
        <v>0</v>
      </c>
      <c r="H651" t="b">
        <v>0</v>
      </c>
    </row>
    <row r="652" spans="1:8" x14ac:dyDescent="0.2">
      <c r="A652">
        <v>650</v>
      </c>
      <c r="B652" t="s">
        <v>1314</v>
      </c>
      <c r="C652" t="s">
        <v>1315</v>
      </c>
      <c r="D652" t="b">
        <v>1</v>
      </c>
      <c r="E652" t="b">
        <v>0</v>
      </c>
      <c r="F652" t="b">
        <v>0</v>
      </c>
      <c r="G652" t="b">
        <v>1</v>
      </c>
      <c r="H652" t="b">
        <v>0</v>
      </c>
    </row>
    <row r="653" spans="1:8" x14ac:dyDescent="0.2">
      <c r="A653">
        <v>651</v>
      </c>
      <c r="B653" t="s">
        <v>1316</v>
      </c>
      <c r="C653" t="s">
        <v>1317</v>
      </c>
      <c r="D653" t="b">
        <v>0</v>
      </c>
      <c r="E653" t="b">
        <v>0</v>
      </c>
      <c r="F653" t="b">
        <v>1</v>
      </c>
      <c r="G653" t="b">
        <v>0</v>
      </c>
      <c r="H653" t="b">
        <v>0</v>
      </c>
    </row>
    <row r="654" spans="1:8" x14ac:dyDescent="0.2">
      <c r="A654">
        <v>652</v>
      </c>
      <c r="B654" t="s">
        <v>1318</v>
      </c>
      <c r="C654" t="s">
        <v>1319</v>
      </c>
      <c r="D654" t="b">
        <v>0</v>
      </c>
      <c r="E654" t="b">
        <v>0</v>
      </c>
      <c r="F654" t="b">
        <v>1</v>
      </c>
      <c r="G654" t="b">
        <v>0</v>
      </c>
      <c r="H654" t="b">
        <v>0</v>
      </c>
    </row>
    <row r="655" spans="1:8" x14ac:dyDescent="0.2">
      <c r="A655">
        <v>653</v>
      </c>
      <c r="B655" t="s">
        <v>1320</v>
      </c>
      <c r="C655" t="s">
        <v>1321</v>
      </c>
      <c r="D655" t="b">
        <v>0</v>
      </c>
      <c r="E655" t="b">
        <v>0</v>
      </c>
      <c r="F655" t="b">
        <v>1</v>
      </c>
      <c r="G655" t="b">
        <v>0</v>
      </c>
      <c r="H655" t="b">
        <v>0</v>
      </c>
    </row>
    <row r="656" spans="1:8" x14ac:dyDescent="0.2">
      <c r="A656">
        <v>654</v>
      </c>
      <c r="B656" t="s">
        <v>1322</v>
      </c>
      <c r="C656" t="s">
        <v>1323</v>
      </c>
      <c r="D656" t="b">
        <v>0</v>
      </c>
      <c r="E656" t="b">
        <v>0</v>
      </c>
      <c r="F656" t="b">
        <v>1</v>
      </c>
      <c r="G656" t="b">
        <v>0</v>
      </c>
      <c r="H656" t="b">
        <v>0</v>
      </c>
    </row>
    <row r="657" spans="1:8" x14ac:dyDescent="0.2">
      <c r="A657">
        <v>655</v>
      </c>
      <c r="B657" t="s">
        <v>1324</v>
      </c>
      <c r="C657" t="s">
        <v>1325</v>
      </c>
      <c r="D657" t="b">
        <v>0</v>
      </c>
      <c r="E657" t="b">
        <v>0</v>
      </c>
      <c r="F657" t="b">
        <v>1</v>
      </c>
      <c r="G657" t="b">
        <v>0</v>
      </c>
      <c r="H657" t="b">
        <v>1</v>
      </c>
    </row>
    <row r="658" spans="1:8" x14ac:dyDescent="0.2">
      <c r="A658">
        <v>656</v>
      </c>
      <c r="B658" t="s">
        <v>1326</v>
      </c>
      <c r="C658" t="s">
        <v>1327</v>
      </c>
      <c r="D658" t="b">
        <v>0</v>
      </c>
      <c r="E658" t="b">
        <v>0</v>
      </c>
      <c r="F658" t="b">
        <v>1</v>
      </c>
      <c r="G658" t="b">
        <v>0</v>
      </c>
      <c r="H658" t="b">
        <v>0</v>
      </c>
    </row>
    <row r="659" spans="1:8" x14ac:dyDescent="0.2">
      <c r="A659">
        <v>657</v>
      </c>
      <c r="B659" t="s">
        <v>1328</v>
      </c>
      <c r="C659" t="s">
        <v>1329</v>
      </c>
      <c r="D659" t="b">
        <v>0</v>
      </c>
      <c r="E659" t="b">
        <v>0</v>
      </c>
      <c r="F659" t="b">
        <v>1</v>
      </c>
      <c r="G659" t="b">
        <v>0</v>
      </c>
      <c r="H659" t="b">
        <v>0</v>
      </c>
    </row>
    <row r="660" spans="1:8" x14ac:dyDescent="0.2">
      <c r="A660">
        <v>658</v>
      </c>
      <c r="B660" t="s">
        <v>1330</v>
      </c>
      <c r="C660" t="s">
        <v>1331</v>
      </c>
      <c r="D660" t="b">
        <v>0</v>
      </c>
      <c r="E660" t="b">
        <v>0</v>
      </c>
      <c r="F660" t="b">
        <v>1</v>
      </c>
      <c r="G660" t="b">
        <v>0</v>
      </c>
      <c r="H660" t="b">
        <v>0</v>
      </c>
    </row>
    <row r="661" spans="1:8" x14ac:dyDescent="0.2">
      <c r="A661">
        <v>659</v>
      </c>
      <c r="B661" t="s">
        <v>1332</v>
      </c>
      <c r="C661" t="s">
        <v>1333</v>
      </c>
      <c r="D661" t="b">
        <v>0</v>
      </c>
      <c r="E661" t="b">
        <v>0</v>
      </c>
      <c r="F661" t="b">
        <v>1</v>
      </c>
      <c r="G661" t="b">
        <v>0</v>
      </c>
      <c r="H661" t="b">
        <v>1</v>
      </c>
    </row>
    <row r="662" spans="1:8" x14ac:dyDescent="0.2">
      <c r="A662">
        <v>660</v>
      </c>
      <c r="B662" t="s">
        <v>1334</v>
      </c>
      <c r="C662" t="s">
        <v>1335</v>
      </c>
      <c r="D662" t="b">
        <v>0</v>
      </c>
      <c r="E662" t="b">
        <v>0</v>
      </c>
      <c r="F662" t="b">
        <v>1</v>
      </c>
      <c r="G662" t="b">
        <v>0</v>
      </c>
      <c r="H662" t="b">
        <v>0</v>
      </c>
    </row>
    <row r="663" spans="1:8" x14ac:dyDescent="0.2">
      <c r="A663">
        <v>661</v>
      </c>
      <c r="B663" t="s">
        <v>1336</v>
      </c>
      <c r="C663" t="s">
        <v>1337</v>
      </c>
      <c r="D663" t="b">
        <v>0</v>
      </c>
      <c r="E663" t="b">
        <v>0</v>
      </c>
      <c r="F663" t="b">
        <v>1</v>
      </c>
      <c r="G663" t="b">
        <v>0</v>
      </c>
      <c r="H663" t="b">
        <v>0</v>
      </c>
    </row>
    <row r="664" spans="1:8" x14ac:dyDescent="0.2">
      <c r="A664">
        <v>662</v>
      </c>
      <c r="B664" t="s">
        <v>1338</v>
      </c>
      <c r="C664" t="s">
        <v>1339</v>
      </c>
      <c r="D664" t="b">
        <v>0</v>
      </c>
      <c r="E664" t="b">
        <v>0</v>
      </c>
      <c r="F664" t="b">
        <v>1</v>
      </c>
      <c r="G664" t="b">
        <v>0</v>
      </c>
      <c r="H664" t="b">
        <v>0</v>
      </c>
    </row>
    <row r="665" spans="1:8" x14ac:dyDescent="0.2">
      <c r="A665">
        <v>663</v>
      </c>
      <c r="B665" t="s">
        <v>1340</v>
      </c>
      <c r="C665" t="s">
        <v>1341</v>
      </c>
      <c r="D665" t="b">
        <v>0</v>
      </c>
      <c r="E665" t="b">
        <v>0</v>
      </c>
      <c r="F665" t="b">
        <v>1</v>
      </c>
      <c r="G665" t="b">
        <v>0</v>
      </c>
      <c r="H665" t="b">
        <v>0</v>
      </c>
    </row>
    <row r="666" spans="1:8" x14ac:dyDescent="0.2">
      <c r="A666">
        <v>664</v>
      </c>
      <c r="B666" t="s">
        <v>1342</v>
      </c>
      <c r="C666" t="s">
        <v>1343</v>
      </c>
      <c r="D666" t="b">
        <v>0</v>
      </c>
      <c r="E666" t="b">
        <v>0</v>
      </c>
      <c r="F666" t="b">
        <v>1</v>
      </c>
      <c r="G666" t="b">
        <v>0</v>
      </c>
      <c r="H666" t="b">
        <v>0</v>
      </c>
    </row>
    <row r="667" spans="1:8" x14ac:dyDescent="0.2">
      <c r="A667">
        <v>665</v>
      </c>
      <c r="B667" t="s">
        <v>1344</v>
      </c>
      <c r="C667" t="s">
        <v>1345</v>
      </c>
      <c r="D667" t="b">
        <v>0</v>
      </c>
      <c r="E667" t="b">
        <v>0</v>
      </c>
      <c r="F667" t="b">
        <v>1</v>
      </c>
      <c r="G667" t="b">
        <v>0</v>
      </c>
      <c r="H667" t="b">
        <v>0</v>
      </c>
    </row>
    <row r="668" spans="1:8" x14ac:dyDescent="0.2">
      <c r="A668">
        <v>666</v>
      </c>
      <c r="B668" t="s">
        <v>1346</v>
      </c>
      <c r="C668" t="s">
        <v>1347</v>
      </c>
      <c r="D668" t="b">
        <v>1</v>
      </c>
      <c r="E668" t="b">
        <v>0</v>
      </c>
      <c r="F668" t="b">
        <v>0</v>
      </c>
      <c r="G668" t="b">
        <v>0</v>
      </c>
      <c r="H668" t="b">
        <v>0</v>
      </c>
    </row>
    <row r="669" spans="1:8" x14ac:dyDescent="0.2">
      <c r="A669">
        <v>667</v>
      </c>
      <c r="B669" t="s">
        <v>1348</v>
      </c>
      <c r="C669" t="s">
        <v>1349</v>
      </c>
      <c r="D669" t="b">
        <v>1</v>
      </c>
      <c r="E669" t="b">
        <v>0</v>
      </c>
      <c r="F669" t="b">
        <v>0</v>
      </c>
      <c r="G669" t="b">
        <v>0</v>
      </c>
      <c r="H669" t="b">
        <v>0</v>
      </c>
    </row>
    <row r="670" spans="1:8" x14ac:dyDescent="0.2">
      <c r="A670">
        <v>668</v>
      </c>
      <c r="B670" t="s">
        <v>1350</v>
      </c>
      <c r="C670" t="s">
        <v>1351</v>
      </c>
      <c r="D670" t="b">
        <v>1</v>
      </c>
      <c r="E670" t="b">
        <v>0</v>
      </c>
      <c r="F670" t="b">
        <v>0</v>
      </c>
      <c r="G670" t="b">
        <v>0</v>
      </c>
      <c r="H670" t="b">
        <v>1</v>
      </c>
    </row>
    <row r="671" spans="1:8" x14ac:dyDescent="0.2">
      <c r="A671">
        <v>669</v>
      </c>
      <c r="B671" t="s">
        <v>1352</v>
      </c>
      <c r="C671" t="s">
        <v>1353</v>
      </c>
      <c r="D671" t="b">
        <v>1</v>
      </c>
      <c r="E671" t="b">
        <v>0</v>
      </c>
      <c r="F671" t="b">
        <v>0</v>
      </c>
      <c r="G671" t="b">
        <v>1</v>
      </c>
      <c r="H671" t="b">
        <v>0</v>
      </c>
    </row>
    <row r="672" spans="1:8" x14ac:dyDescent="0.2">
      <c r="A672">
        <v>670</v>
      </c>
      <c r="B672" t="s">
        <v>1354</v>
      </c>
      <c r="C672" t="s">
        <v>1355</v>
      </c>
      <c r="D672" t="b">
        <v>0</v>
      </c>
      <c r="E672" t="b">
        <v>1</v>
      </c>
      <c r="F672" t="b">
        <v>1</v>
      </c>
      <c r="G672" t="b">
        <v>0</v>
      </c>
      <c r="H672" t="b">
        <v>0</v>
      </c>
    </row>
    <row r="673" spans="1:8" x14ac:dyDescent="0.2">
      <c r="A673">
        <v>671</v>
      </c>
      <c r="B673" t="s">
        <v>1356</v>
      </c>
      <c r="C673" t="s">
        <v>1357</v>
      </c>
      <c r="D673" t="b">
        <v>0</v>
      </c>
      <c r="E673" t="b">
        <v>0</v>
      </c>
      <c r="F673" t="b">
        <v>1</v>
      </c>
      <c r="G673" t="b">
        <v>0</v>
      </c>
      <c r="H673" t="b">
        <v>1</v>
      </c>
    </row>
    <row r="674" spans="1:8" x14ac:dyDescent="0.2">
      <c r="A674">
        <v>672</v>
      </c>
      <c r="B674" t="s">
        <v>1358</v>
      </c>
      <c r="C674" t="s">
        <v>1359</v>
      </c>
      <c r="D674" t="b">
        <v>0</v>
      </c>
      <c r="E674" t="b">
        <v>0</v>
      </c>
      <c r="F674" t="b">
        <v>1</v>
      </c>
      <c r="G674" t="b">
        <v>0</v>
      </c>
      <c r="H674" t="b">
        <v>1</v>
      </c>
    </row>
    <row r="675" spans="1:8" x14ac:dyDescent="0.2">
      <c r="A675">
        <v>673</v>
      </c>
      <c r="B675" t="s">
        <v>1360</v>
      </c>
      <c r="C675" t="s">
        <v>1361</v>
      </c>
      <c r="D675" t="b">
        <v>0</v>
      </c>
      <c r="E675" t="b">
        <v>0</v>
      </c>
      <c r="F675" t="b">
        <v>1</v>
      </c>
      <c r="G675" t="b">
        <v>0</v>
      </c>
      <c r="H675" t="b">
        <v>0</v>
      </c>
    </row>
    <row r="676" spans="1:8" x14ac:dyDescent="0.2">
      <c r="A676">
        <v>674</v>
      </c>
      <c r="B676" t="s">
        <v>1362</v>
      </c>
      <c r="C676" t="s">
        <v>1363</v>
      </c>
      <c r="D676" t="b">
        <v>0</v>
      </c>
      <c r="E676" t="b">
        <v>0</v>
      </c>
      <c r="F676" t="b">
        <v>1</v>
      </c>
      <c r="G676" t="b">
        <v>0</v>
      </c>
      <c r="H676" t="b">
        <v>1</v>
      </c>
    </row>
    <row r="677" spans="1:8" x14ac:dyDescent="0.2">
      <c r="A677">
        <v>675</v>
      </c>
      <c r="B677" t="s">
        <v>1364</v>
      </c>
      <c r="C677" t="s">
        <v>1365</v>
      </c>
      <c r="D677" t="b">
        <v>0</v>
      </c>
      <c r="E677" t="b">
        <v>1</v>
      </c>
      <c r="F677" t="b">
        <v>1</v>
      </c>
      <c r="G677" t="b">
        <v>0</v>
      </c>
      <c r="H677" t="b">
        <v>0</v>
      </c>
    </row>
    <row r="678" spans="1:8" x14ac:dyDescent="0.2">
      <c r="A678">
        <v>676</v>
      </c>
      <c r="B678" t="s">
        <v>1366</v>
      </c>
      <c r="C678" t="s">
        <v>1367</v>
      </c>
      <c r="D678" t="b">
        <v>0</v>
      </c>
      <c r="E678" t="b">
        <v>0</v>
      </c>
      <c r="F678" t="b">
        <v>1</v>
      </c>
      <c r="G678" t="b">
        <v>0</v>
      </c>
      <c r="H678" t="b">
        <v>0</v>
      </c>
    </row>
    <row r="679" spans="1:8" x14ac:dyDescent="0.2">
      <c r="A679">
        <v>677</v>
      </c>
      <c r="B679" t="s">
        <v>1368</v>
      </c>
      <c r="C679" t="s">
        <v>1369</v>
      </c>
      <c r="D679" t="b">
        <v>1</v>
      </c>
      <c r="E679" t="b">
        <v>0</v>
      </c>
      <c r="F679" t="b">
        <v>0</v>
      </c>
      <c r="G679" t="b">
        <v>0</v>
      </c>
      <c r="H679" t="b">
        <v>0</v>
      </c>
    </row>
    <row r="680" spans="1:8" x14ac:dyDescent="0.2">
      <c r="A680">
        <v>678</v>
      </c>
      <c r="B680" t="s">
        <v>1370</v>
      </c>
      <c r="C680" t="s">
        <v>1371</v>
      </c>
      <c r="D680" t="b">
        <v>1</v>
      </c>
      <c r="E680" t="b">
        <v>1</v>
      </c>
      <c r="F680" t="b">
        <v>0</v>
      </c>
      <c r="G680" t="b">
        <v>1</v>
      </c>
      <c r="H680" t="b">
        <v>0</v>
      </c>
    </row>
    <row r="681" spans="1:8" x14ac:dyDescent="0.2">
      <c r="A681">
        <v>679</v>
      </c>
      <c r="B681" t="s">
        <v>1372</v>
      </c>
      <c r="C681" t="s">
        <v>1373</v>
      </c>
      <c r="D681" t="b">
        <v>0</v>
      </c>
      <c r="E681" t="b">
        <v>1</v>
      </c>
      <c r="F681" t="b">
        <v>1</v>
      </c>
      <c r="G681" t="b">
        <v>0</v>
      </c>
      <c r="H681" t="b">
        <v>0</v>
      </c>
    </row>
    <row r="682" spans="1:8" x14ac:dyDescent="0.2">
      <c r="A682">
        <v>680</v>
      </c>
      <c r="B682" t="s">
        <v>1374</v>
      </c>
      <c r="C682" t="s">
        <v>1375</v>
      </c>
      <c r="D682" t="b">
        <v>0</v>
      </c>
      <c r="E682" t="b">
        <v>0</v>
      </c>
      <c r="F682" t="b">
        <v>1</v>
      </c>
      <c r="G682" t="b">
        <v>0</v>
      </c>
      <c r="H682" t="b">
        <v>0</v>
      </c>
    </row>
    <row r="683" spans="1:8" x14ac:dyDescent="0.2">
      <c r="A683">
        <v>681</v>
      </c>
      <c r="B683" t="s">
        <v>1376</v>
      </c>
      <c r="C683" t="s">
        <v>1377</v>
      </c>
      <c r="D683" t="b">
        <v>0</v>
      </c>
      <c r="E683" t="b">
        <v>0</v>
      </c>
      <c r="F683" t="b">
        <v>1</v>
      </c>
      <c r="G683" t="b">
        <v>0</v>
      </c>
      <c r="H683" t="b">
        <v>0</v>
      </c>
    </row>
    <row r="684" spans="1:8" x14ac:dyDescent="0.2">
      <c r="A684">
        <v>682</v>
      </c>
      <c r="B684" t="s">
        <v>1378</v>
      </c>
      <c r="C684" t="s">
        <v>1379</v>
      </c>
      <c r="D684" t="b">
        <v>0</v>
      </c>
      <c r="E684" t="b">
        <v>1</v>
      </c>
      <c r="F684" t="b">
        <v>1</v>
      </c>
      <c r="G684" t="b">
        <v>0</v>
      </c>
      <c r="H684" t="b">
        <v>0</v>
      </c>
    </row>
    <row r="685" spans="1:8" x14ac:dyDescent="0.2">
      <c r="A685">
        <v>683</v>
      </c>
      <c r="B685" t="s">
        <v>1380</v>
      </c>
      <c r="C685" t="s">
        <v>1381</v>
      </c>
      <c r="D685" t="b">
        <v>0</v>
      </c>
      <c r="E685" t="b">
        <v>0</v>
      </c>
      <c r="F685" t="b">
        <v>1</v>
      </c>
      <c r="G685" t="b">
        <v>0</v>
      </c>
      <c r="H685" t="b">
        <v>1</v>
      </c>
    </row>
    <row r="686" spans="1:8" x14ac:dyDescent="0.2">
      <c r="A686">
        <v>684</v>
      </c>
      <c r="B686" t="s">
        <v>1382</v>
      </c>
      <c r="C686" t="s">
        <v>1383</v>
      </c>
      <c r="D686" t="b">
        <v>0</v>
      </c>
      <c r="E686" t="b">
        <v>1</v>
      </c>
      <c r="F686" t="b">
        <v>1</v>
      </c>
      <c r="G686" t="b">
        <v>0</v>
      </c>
      <c r="H686" t="b">
        <v>0</v>
      </c>
    </row>
    <row r="687" spans="1:8" x14ac:dyDescent="0.2">
      <c r="A687">
        <v>685</v>
      </c>
      <c r="B687" t="s">
        <v>1384</v>
      </c>
      <c r="C687" t="s">
        <v>1385</v>
      </c>
      <c r="D687" t="b">
        <v>0</v>
      </c>
      <c r="E687" t="b">
        <v>0</v>
      </c>
      <c r="F687" t="b">
        <v>1</v>
      </c>
      <c r="G687" t="b">
        <v>0</v>
      </c>
      <c r="H687" t="b">
        <v>1</v>
      </c>
    </row>
    <row r="688" spans="1:8" x14ac:dyDescent="0.2">
      <c r="A688">
        <v>686</v>
      </c>
      <c r="B688" t="s">
        <v>1386</v>
      </c>
      <c r="C688" t="s">
        <v>1387</v>
      </c>
      <c r="D688" t="b">
        <v>0</v>
      </c>
      <c r="E688" t="b">
        <v>0</v>
      </c>
      <c r="F688" t="b">
        <v>1</v>
      </c>
      <c r="G688" t="b">
        <v>0</v>
      </c>
      <c r="H688" t="b">
        <v>0</v>
      </c>
    </row>
    <row r="689" spans="1:8" x14ac:dyDescent="0.2">
      <c r="A689">
        <v>687</v>
      </c>
      <c r="B689" t="s">
        <v>1388</v>
      </c>
      <c r="C689" t="s">
        <v>1389</v>
      </c>
      <c r="D689" t="b">
        <v>0</v>
      </c>
      <c r="E689" t="b">
        <v>1</v>
      </c>
      <c r="F689" t="b">
        <v>1</v>
      </c>
      <c r="G689" t="b">
        <v>0</v>
      </c>
      <c r="H689" t="b">
        <v>0</v>
      </c>
    </row>
    <row r="690" spans="1:8" x14ac:dyDescent="0.2">
      <c r="A690">
        <v>688</v>
      </c>
      <c r="B690" t="s">
        <v>1390</v>
      </c>
      <c r="C690" t="s">
        <v>1391</v>
      </c>
      <c r="D690" t="b">
        <v>0</v>
      </c>
      <c r="E690" t="b">
        <v>0</v>
      </c>
      <c r="F690" t="b">
        <v>1</v>
      </c>
      <c r="G690" t="b">
        <v>0</v>
      </c>
      <c r="H690" t="b">
        <v>1</v>
      </c>
    </row>
    <row r="691" spans="1:8" x14ac:dyDescent="0.2">
      <c r="A691">
        <v>689</v>
      </c>
      <c r="B691" t="s">
        <v>1392</v>
      </c>
      <c r="C691" t="s">
        <v>1393</v>
      </c>
      <c r="D691" t="b">
        <v>0</v>
      </c>
      <c r="E691" t="b">
        <v>0</v>
      </c>
      <c r="F691" t="b">
        <v>1</v>
      </c>
      <c r="G691" t="b">
        <v>0</v>
      </c>
      <c r="H691" t="b">
        <v>0</v>
      </c>
    </row>
    <row r="692" spans="1:8" x14ac:dyDescent="0.2">
      <c r="A692">
        <v>690</v>
      </c>
      <c r="B692" t="s">
        <v>1394</v>
      </c>
      <c r="C692" t="s">
        <v>1395</v>
      </c>
      <c r="D692" t="b">
        <v>0</v>
      </c>
      <c r="E692" t="b">
        <v>0</v>
      </c>
      <c r="F692" t="b">
        <v>1</v>
      </c>
      <c r="G692" t="b">
        <v>0</v>
      </c>
      <c r="H692" t="b">
        <v>1</v>
      </c>
    </row>
    <row r="693" spans="1:8" x14ac:dyDescent="0.2">
      <c r="A693">
        <v>691</v>
      </c>
      <c r="B693" t="s">
        <v>1396</v>
      </c>
      <c r="C693" t="s">
        <v>1397</v>
      </c>
      <c r="D693" t="b">
        <v>0</v>
      </c>
      <c r="E693" t="b">
        <v>0</v>
      </c>
      <c r="F693" t="b">
        <v>1</v>
      </c>
      <c r="G693" t="b">
        <v>0</v>
      </c>
      <c r="H693" t="b">
        <v>1</v>
      </c>
    </row>
    <row r="694" spans="1:8" x14ac:dyDescent="0.2">
      <c r="A694">
        <v>692</v>
      </c>
      <c r="B694" t="s">
        <v>1398</v>
      </c>
      <c r="C694" t="s">
        <v>1399</v>
      </c>
      <c r="D694" t="b">
        <v>0</v>
      </c>
      <c r="E694" t="b">
        <v>0</v>
      </c>
      <c r="F694" t="b">
        <v>1</v>
      </c>
      <c r="G694" t="b">
        <v>0</v>
      </c>
      <c r="H694" t="b">
        <v>0</v>
      </c>
    </row>
    <row r="695" spans="1:8" x14ac:dyDescent="0.2">
      <c r="A695">
        <v>693</v>
      </c>
      <c r="B695" t="s">
        <v>1400</v>
      </c>
      <c r="C695" t="s">
        <v>1401</v>
      </c>
      <c r="D695" t="b">
        <v>0</v>
      </c>
      <c r="E695" t="b">
        <v>1</v>
      </c>
      <c r="F695" t="b">
        <v>1</v>
      </c>
      <c r="G695" t="b">
        <v>0</v>
      </c>
      <c r="H695" t="b">
        <v>0</v>
      </c>
    </row>
    <row r="696" spans="1:8" x14ac:dyDescent="0.2">
      <c r="A696">
        <v>694</v>
      </c>
      <c r="B696" t="s">
        <v>1402</v>
      </c>
      <c r="C696" t="s">
        <v>1403</v>
      </c>
      <c r="D696" t="b">
        <v>0</v>
      </c>
      <c r="E696" t="b">
        <v>1</v>
      </c>
      <c r="F696" t="b">
        <v>1</v>
      </c>
      <c r="G696" t="b">
        <v>0</v>
      </c>
      <c r="H696" t="b">
        <v>0</v>
      </c>
    </row>
    <row r="697" spans="1:8" x14ac:dyDescent="0.2">
      <c r="A697">
        <v>695</v>
      </c>
      <c r="B697" t="s">
        <v>1404</v>
      </c>
      <c r="C697" t="s">
        <v>1405</v>
      </c>
      <c r="D697" t="b">
        <v>0</v>
      </c>
      <c r="E697" t="b">
        <v>0</v>
      </c>
      <c r="F697" t="b">
        <v>1</v>
      </c>
      <c r="G697" t="b">
        <v>0</v>
      </c>
      <c r="H697" t="b">
        <v>0</v>
      </c>
    </row>
    <row r="698" spans="1:8" x14ac:dyDescent="0.2">
      <c r="A698">
        <v>696</v>
      </c>
      <c r="B698" t="s">
        <v>1406</v>
      </c>
      <c r="C698" t="s">
        <v>1407</v>
      </c>
      <c r="D698" t="b">
        <v>0</v>
      </c>
      <c r="E698" t="b">
        <v>1</v>
      </c>
      <c r="F698" t="b">
        <v>1</v>
      </c>
      <c r="G698" t="b">
        <v>0</v>
      </c>
      <c r="H698" t="b">
        <v>0</v>
      </c>
    </row>
    <row r="699" spans="1:8" x14ac:dyDescent="0.2">
      <c r="A699">
        <v>697</v>
      </c>
      <c r="B699" t="s">
        <v>1408</v>
      </c>
      <c r="C699" t="s">
        <v>1409</v>
      </c>
      <c r="D699" t="b">
        <v>0</v>
      </c>
      <c r="E699" t="b">
        <v>0</v>
      </c>
      <c r="F699" t="b">
        <v>1</v>
      </c>
      <c r="G699" t="b">
        <v>0</v>
      </c>
      <c r="H699" t="b">
        <v>0</v>
      </c>
    </row>
    <row r="700" spans="1:8" x14ac:dyDescent="0.2">
      <c r="A700">
        <v>698</v>
      </c>
      <c r="B700" t="s">
        <v>1410</v>
      </c>
      <c r="C700" t="s">
        <v>1411</v>
      </c>
      <c r="D700" t="b">
        <v>0</v>
      </c>
      <c r="E700" t="b">
        <v>1</v>
      </c>
      <c r="F700" t="b">
        <v>1</v>
      </c>
      <c r="G700" t="b">
        <v>0</v>
      </c>
      <c r="H700" t="b">
        <v>0</v>
      </c>
    </row>
    <row r="701" spans="1:8" x14ac:dyDescent="0.2">
      <c r="A701">
        <v>699</v>
      </c>
      <c r="B701" t="s">
        <v>1412</v>
      </c>
      <c r="C701" t="s">
        <v>1413</v>
      </c>
      <c r="D701" t="b">
        <v>0</v>
      </c>
      <c r="E701" t="b">
        <v>0</v>
      </c>
      <c r="F701" t="b">
        <v>1</v>
      </c>
      <c r="G701" t="b">
        <v>0</v>
      </c>
      <c r="H701" t="b">
        <v>0</v>
      </c>
    </row>
    <row r="702" spans="1:8" x14ac:dyDescent="0.2">
      <c r="A702">
        <v>700</v>
      </c>
      <c r="B702" t="s">
        <v>1414</v>
      </c>
      <c r="C702" t="s">
        <v>1415</v>
      </c>
      <c r="D702" t="b">
        <v>0</v>
      </c>
      <c r="E702" t="b">
        <v>0</v>
      </c>
      <c r="F702" t="b">
        <v>1</v>
      </c>
      <c r="G702" t="b">
        <v>0</v>
      </c>
      <c r="H702" t="b">
        <v>1</v>
      </c>
    </row>
    <row r="703" spans="1:8" x14ac:dyDescent="0.2">
      <c r="A703">
        <v>701</v>
      </c>
      <c r="B703" t="s">
        <v>1416</v>
      </c>
      <c r="C703" t="s">
        <v>1417</v>
      </c>
      <c r="D703" t="b">
        <v>0</v>
      </c>
      <c r="E703" t="b">
        <v>1</v>
      </c>
      <c r="F703" t="b">
        <v>1</v>
      </c>
      <c r="G703" t="b">
        <v>0</v>
      </c>
      <c r="H703" t="b">
        <v>0</v>
      </c>
    </row>
    <row r="704" spans="1:8" x14ac:dyDescent="0.2">
      <c r="A704">
        <v>702</v>
      </c>
      <c r="B704" t="s">
        <v>1418</v>
      </c>
      <c r="C704" t="s">
        <v>1419</v>
      </c>
      <c r="D704" t="b">
        <v>1</v>
      </c>
      <c r="E704" t="b">
        <v>0</v>
      </c>
      <c r="F704" t="b">
        <v>0</v>
      </c>
      <c r="G704" t="b">
        <v>0</v>
      </c>
      <c r="H704" t="b">
        <v>0</v>
      </c>
    </row>
    <row r="705" spans="1:8" x14ac:dyDescent="0.2">
      <c r="A705">
        <v>703</v>
      </c>
      <c r="B705" t="s">
        <v>1420</v>
      </c>
      <c r="C705" t="s">
        <v>1421</v>
      </c>
      <c r="D705" t="b">
        <v>1</v>
      </c>
      <c r="E705" t="b">
        <v>0</v>
      </c>
      <c r="F705" t="b">
        <v>0</v>
      </c>
      <c r="G705" t="b">
        <v>0</v>
      </c>
      <c r="H705" t="b">
        <v>0</v>
      </c>
    </row>
    <row r="706" spans="1:8" x14ac:dyDescent="0.2">
      <c r="A706">
        <v>704</v>
      </c>
      <c r="B706" t="s">
        <v>1422</v>
      </c>
      <c r="C706" t="s">
        <v>1423</v>
      </c>
      <c r="D706" t="b">
        <v>1</v>
      </c>
      <c r="E706" t="b">
        <v>0</v>
      </c>
      <c r="F706" t="b">
        <v>0</v>
      </c>
      <c r="G706" t="b">
        <v>0</v>
      </c>
      <c r="H706" t="b">
        <v>0</v>
      </c>
    </row>
    <row r="707" spans="1:8" x14ac:dyDescent="0.2">
      <c r="A707">
        <v>705</v>
      </c>
      <c r="B707" t="s">
        <v>1424</v>
      </c>
      <c r="C707" t="s">
        <v>1425</v>
      </c>
      <c r="D707" t="b">
        <v>1</v>
      </c>
      <c r="E707" t="b">
        <v>0</v>
      </c>
      <c r="F707" t="b">
        <v>0</v>
      </c>
      <c r="G707" t="b">
        <v>0</v>
      </c>
      <c r="H707" t="b">
        <v>0</v>
      </c>
    </row>
    <row r="708" spans="1:8" x14ac:dyDescent="0.2">
      <c r="A708">
        <v>706</v>
      </c>
      <c r="B708" t="s">
        <v>1426</v>
      </c>
      <c r="C708" t="s">
        <v>1427</v>
      </c>
      <c r="D708" t="b">
        <v>1</v>
      </c>
      <c r="E708" t="b">
        <v>0</v>
      </c>
      <c r="F708" t="b">
        <v>0</v>
      </c>
      <c r="G708" t="b">
        <v>0</v>
      </c>
      <c r="H708" t="b">
        <v>1</v>
      </c>
    </row>
    <row r="709" spans="1:8" x14ac:dyDescent="0.2">
      <c r="A709">
        <v>707</v>
      </c>
      <c r="B709" t="s">
        <v>1428</v>
      </c>
      <c r="C709" t="s">
        <v>1429</v>
      </c>
      <c r="D709" t="b">
        <v>1</v>
      </c>
      <c r="E709" t="b">
        <v>0</v>
      </c>
      <c r="F709" t="b">
        <v>0</v>
      </c>
      <c r="G709" t="b">
        <v>0</v>
      </c>
      <c r="H709" t="b">
        <v>0</v>
      </c>
    </row>
    <row r="710" spans="1:8" x14ac:dyDescent="0.2">
      <c r="A710">
        <v>708</v>
      </c>
      <c r="B710" t="s">
        <v>1430</v>
      </c>
      <c r="C710" t="s">
        <v>1431</v>
      </c>
      <c r="D710" t="b">
        <v>0</v>
      </c>
      <c r="E710" t="b">
        <v>0</v>
      </c>
      <c r="F710" t="b">
        <v>1</v>
      </c>
      <c r="G710" t="b">
        <v>0</v>
      </c>
      <c r="H710" t="b">
        <v>1</v>
      </c>
    </row>
    <row r="711" spans="1:8" x14ac:dyDescent="0.2">
      <c r="A711">
        <v>709</v>
      </c>
      <c r="B711" t="s">
        <v>1432</v>
      </c>
      <c r="C711" t="s">
        <v>1433</v>
      </c>
      <c r="D711" t="b">
        <v>0</v>
      </c>
      <c r="E711" t="b">
        <v>1</v>
      </c>
      <c r="F711" t="b">
        <v>1</v>
      </c>
      <c r="G711" t="b">
        <v>0</v>
      </c>
      <c r="H711" t="b">
        <v>0</v>
      </c>
    </row>
    <row r="712" spans="1:8" x14ac:dyDescent="0.2">
      <c r="A712">
        <v>710</v>
      </c>
      <c r="B712" t="s">
        <v>1434</v>
      </c>
      <c r="C712" t="s">
        <v>1435</v>
      </c>
      <c r="D712" t="b">
        <v>0</v>
      </c>
      <c r="E712" t="b">
        <v>0</v>
      </c>
      <c r="F712" t="b">
        <v>1</v>
      </c>
      <c r="G712" t="b">
        <v>0</v>
      </c>
      <c r="H712" t="b">
        <v>1</v>
      </c>
    </row>
    <row r="713" spans="1:8" x14ac:dyDescent="0.2">
      <c r="A713">
        <v>711</v>
      </c>
      <c r="B713" t="s">
        <v>1436</v>
      </c>
      <c r="C713" t="s">
        <v>1437</v>
      </c>
      <c r="D713" t="b">
        <v>0</v>
      </c>
      <c r="E713" t="b">
        <v>0</v>
      </c>
      <c r="F713" t="b">
        <v>1</v>
      </c>
      <c r="G713" t="b">
        <v>0</v>
      </c>
      <c r="H713" t="b">
        <v>1</v>
      </c>
    </row>
    <row r="714" spans="1:8" x14ac:dyDescent="0.2">
      <c r="A714">
        <v>712</v>
      </c>
      <c r="B714" t="s">
        <v>1438</v>
      </c>
      <c r="C714" t="s">
        <v>1439</v>
      </c>
      <c r="D714" t="b">
        <v>1</v>
      </c>
      <c r="E714" t="b">
        <v>0</v>
      </c>
      <c r="F714" t="b">
        <v>0</v>
      </c>
      <c r="G714" t="b">
        <v>0</v>
      </c>
      <c r="H714" t="b">
        <v>0</v>
      </c>
    </row>
    <row r="715" spans="1:8" x14ac:dyDescent="0.2">
      <c r="A715">
        <v>713</v>
      </c>
      <c r="B715" t="s">
        <v>1440</v>
      </c>
      <c r="C715" t="s">
        <v>1441</v>
      </c>
      <c r="D715" t="b">
        <v>1</v>
      </c>
      <c r="E715" t="b">
        <v>0</v>
      </c>
      <c r="F715" t="b">
        <v>0</v>
      </c>
      <c r="G715" t="b">
        <v>0</v>
      </c>
      <c r="H715" t="b">
        <v>1</v>
      </c>
    </row>
    <row r="716" spans="1:8" x14ac:dyDescent="0.2">
      <c r="A716">
        <v>714</v>
      </c>
      <c r="B716" t="s">
        <v>1442</v>
      </c>
      <c r="C716" t="s">
        <v>1298</v>
      </c>
      <c r="D716" t="b">
        <v>1</v>
      </c>
      <c r="E716" t="b">
        <v>0</v>
      </c>
      <c r="F716" t="b">
        <v>0</v>
      </c>
      <c r="G716" t="b">
        <v>0</v>
      </c>
      <c r="H716" t="b">
        <v>0</v>
      </c>
    </row>
    <row r="717" spans="1:8" x14ac:dyDescent="0.2">
      <c r="A717">
        <v>715</v>
      </c>
      <c r="B717" t="s">
        <v>1443</v>
      </c>
      <c r="C717" t="s">
        <v>1444</v>
      </c>
      <c r="D717" t="b">
        <v>1</v>
      </c>
      <c r="E717" t="b">
        <v>0</v>
      </c>
      <c r="F717" t="b">
        <v>0</v>
      </c>
      <c r="G717" t="b">
        <v>1</v>
      </c>
      <c r="H717" t="b">
        <v>0</v>
      </c>
    </row>
    <row r="718" spans="1:8" x14ac:dyDescent="0.2">
      <c r="A718">
        <v>716</v>
      </c>
      <c r="B718" t="s">
        <v>1445</v>
      </c>
      <c r="C718" t="s">
        <v>1446</v>
      </c>
      <c r="D718" t="b">
        <v>0</v>
      </c>
      <c r="E718" t="b">
        <v>0</v>
      </c>
      <c r="F718" t="b">
        <v>1</v>
      </c>
      <c r="G718" t="b">
        <v>0</v>
      </c>
      <c r="H718" t="b">
        <v>1</v>
      </c>
    </row>
    <row r="719" spans="1:8" x14ac:dyDescent="0.2">
      <c r="A719">
        <v>717</v>
      </c>
      <c r="B719" t="s">
        <v>1447</v>
      </c>
      <c r="C719" t="s">
        <v>1448</v>
      </c>
      <c r="D719" t="b">
        <v>0</v>
      </c>
      <c r="E719" t="b">
        <v>0</v>
      </c>
      <c r="F719" t="b">
        <v>1</v>
      </c>
      <c r="G719" t="b">
        <v>0</v>
      </c>
      <c r="H719" t="b">
        <v>1</v>
      </c>
    </row>
    <row r="720" spans="1:8" x14ac:dyDescent="0.2">
      <c r="A720">
        <v>718</v>
      </c>
      <c r="B720" t="s">
        <v>1449</v>
      </c>
      <c r="C720" t="s">
        <v>1450</v>
      </c>
      <c r="D720" t="b">
        <v>0</v>
      </c>
      <c r="E720" t="b">
        <v>1</v>
      </c>
      <c r="F720" t="b">
        <v>1</v>
      </c>
      <c r="G720" t="b">
        <v>0</v>
      </c>
      <c r="H720" t="b">
        <v>0</v>
      </c>
    </row>
    <row r="721" spans="1:8" x14ac:dyDescent="0.2">
      <c r="A721">
        <v>719</v>
      </c>
      <c r="B721" t="s">
        <v>1451</v>
      </c>
      <c r="C721" t="s">
        <v>1452</v>
      </c>
      <c r="D721" t="b">
        <v>0</v>
      </c>
      <c r="E721" t="b">
        <v>0</v>
      </c>
      <c r="F721" t="b">
        <v>1</v>
      </c>
      <c r="G721" t="b">
        <v>0</v>
      </c>
      <c r="H721" t="b">
        <v>0</v>
      </c>
    </row>
    <row r="722" spans="1:8" x14ac:dyDescent="0.2">
      <c r="A722">
        <v>720</v>
      </c>
      <c r="B722" t="s">
        <v>1453</v>
      </c>
      <c r="C722" t="s">
        <v>1454</v>
      </c>
      <c r="D722" t="b">
        <v>0</v>
      </c>
      <c r="E722" t="b">
        <v>0</v>
      </c>
      <c r="F722" t="b">
        <v>1</v>
      </c>
      <c r="G722" t="b">
        <v>0</v>
      </c>
      <c r="H722" t="b">
        <v>0</v>
      </c>
    </row>
    <row r="723" spans="1:8" x14ac:dyDescent="0.2">
      <c r="A723">
        <v>721</v>
      </c>
      <c r="B723" t="s">
        <v>1455</v>
      </c>
      <c r="C723" t="s">
        <v>1456</v>
      </c>
      <c r="D723" t="b">
        <v>0</v>
      </c>
      <c r="E723" t="b">
        <v>0</v>
      </c>
      <c r="F723" t="b">
        <v>1</v>
      </c>
      <c r="G723" t="b">
        <v>0</v>
      </c>
      <c r="H723" t="b">
        <v>1</v>
      </c>
    </row>
    <row r="724" spans="1:8" x14ac:dyDescent="0.2">
      <c r="A724">
        <v>722</v>
      </c>
      <c r="B724" t="s">
        <v>1457</v>
      </c>
      <c r="C724" t="s">
        <v>1458</v>
      </c>
      <c r="D724" t="b">
        <v>0</v>
      </c>
      <c r="E724" t="b">
        <v>1</v>
      </c>
      <c r="F724" t="b">
        <v>1</v>
      </c>
      <c r="G724" t="b">
        <v>0</v>
      </c>
      <c r="H724" t="b">
        <v>0</v>
      </c>
    </row>
    <row r="725" spans="1:8" x14ac:dyDescent="0.2">
      <c r="A725">
        <v>723</v>
      </c>
      <c r="B725" t="s">
        <v>1459</v>
      </c>
      <c r="C725" t="s">
        <v>1460</v>
      </c>
      <c r="D725" t="b">
        <v>0</v>
      </c>
      <c r="E725" t="b">
        <v>0</v>
      </c>
      <c r="F725" t="b">
        <v>1</v>
      </c>
      <c r="G725" t="b">
        <v>0</v>
      </c>
      <c r="H725" t="b">
        <v>1</v>
      </c>
    </row>
    <row r="726" spans="1:8" x14ac:dyDescent="0.2">
      <c r="A726">
        <v>724</v>
      </c>
      <c r="B726" t="s">
        <v>1461</v>
      </c>
      <c r="C726" t="s">
        <v>1462</v>
      </c>
      <c r="D726" t="b">
        <v>0</v>
      </c>
      <c r="E726" t="b">
        <v>0</v>
      </c>
      <c r="F726" t="b">
        <v>1</v>
      </c>
      <c r="G726" t="b">
        <v>0</v>
      </c>
      <c r="H726" t="b">
        <v>1</v>
      </c>
    </row>
    <row r="727" spans="1:8" x14ac:dyDescent="0.2">
      <c r="A727">
        <v>725</v>
      </c>
      <c r="B727" t="s">
        <v>1463</v>
      </c>
      <c r="C727" t="s">
        <v>1464</v>
      </c>
      <c r="D727" t="b">
        <v>0</v>
      </c>
      <c r="E727" t="b">
        <v>1</v>
      </c>
      <c r="F727" t="b">
        <v>1</v>
      </c>
      <c r="G727" t="b">
        <v>0</v>
      </c>
      <c r="H727" t="b">
        <v>0</v>
      </c>
    </row>
    <row r="728" spans="1:8" x14ac:dyDescent="0.2">
      <c r="A728">
        <v>726</v>
      </c>
      <c r="B728" t="s">
        <v>1465</v>
      </c>
      <c r="C728" t="s">
        <v>160</v>
      </c>
      <c r="D728" t="b">
        <v>0</v>
      </c>
      <c r="E728" t="b">
        <v>1</v>
      </c>
      <c r="F728" t="b">
        <v>1</v>
      </c>
      <c r="G728" t="b">
        <v>0</v>
      </c>
      <c r="H728" t="b">
        <v>0</v>
      </c>
    </row>
    <row r="729" spans="1:8" x14ac:dyDescent="0.2">
      <c r="A729">
        <v>727</v>
      </c>
      <c r="B729" t="s">
        <v>1466</v>
      </c>
      <c r="C729" t="s">
        <v>1467</v>
      </c>
      <c r="D729" t="b">
        <v>0</v>
      </c>
      <c r="E729" t="b">
        <v>0</v>
      </c>
      <c r="F729" t="b">
        <v>1</v>
      </c>
      <c r="G729" t="b">
        <v>0</v>
      </c>
      <c r="H729" t="b">
        <v>1</v>
      </c>
    </row>
    <row r="730" spans="1:8" x14ac:dyDescent="0.2">
      <c r="A730">
        <v>728</v>
      </c>
      <c r="B730" t="s">
        <v>1468</v>
      </c>
      <c r="C730" t="s">
        <v>1469</v>
      </c>
      <c r="D730" t="b">
        <v>0</v>
      </c>
      <c r="E730" t="b">
        <v>0</v>
      </c>
      <c r="F730" t="b">
        <v>1</v>
      </c>
      <c r="G730" t="b">
        <v>0</v>
      </c>
      <c r="H730" t="b">
        <v>1</v>
      </c>
    </row>
    <row r="731" spans="1:8" x14ac:dyDescent="0.2">
      <c r="A731">
        <v>729</v>
      </c>
      <c r="B731" t="s">
        <v>1470</v>
      </c>
      <c r="C731" t="s">
        <v>1471</v>
      </c>
      <c r="D731" t="b">
        <v>0</v>
      </c>
      <c r="E731" t="b">
        <v>0</v>
      </c>
      <c r="F731" t="b">
        <v>1</v>
      </c>
      <c r="G731" t="b">
        <v>0</v>
      </c>
      <c r="H731" t="b">
        <v>1</v>
      </c>
    </row>
    <row r="732" spans="1:8" x14ac:dyDescent="0.2">
      <c r="A732">
        <v>730</v>
      </c>
      <c r="B732" t="s">
        <v>1472</v>
      </c>
      <c r="C732" t="s">
        <v>1473</v>
      </c>
      <c r="D732" t="b">
        <v>0</v>
      </c>
      <c r="E732" t="b">
        <v>0</v>
      </c>
      <c r="F732" t="b">
        <v>1</v>
      </c>
      <c r="G732" t="b">
        <v>0</v>
      </c>
      <c r="H732" t="b">
        <v>1</v>
      </c>
    </row>
    <row r="733" spans="1:8" x14ac:dyDescent="0.2">
      <c r="A733">
        <v>731</v>
      </c>
      <c r="B733" t="s">
        <v>1474</v>
      </c>
      <c r="C733" t="s">
        <v>160</v>
      </c>
      <c r="D733" t="b">
        <v>0</v>
      </c>
      <c r="E733" t="b">
        <v>1</v>
      </c>
      <c r="F733" t="b">
        <v>1</v>
      </c>
      <c r="G733" t="b">
        <v>0</v>
      </c>
      <c r="H733" t="b">
        <v>0</v>
      </c>
    </row>
    <row r="734" spans="1:8" x14ac:dyDescent="0.2">
      <c r="A734">
        <v>732</v>
      </c>
      <c r="B734" t="s">
        <v>1475</v>
      </c>
      <c r="C734" t="s">
        <v>1476</v>
      </c>
      <c r="D734" t="b">
        <v>0</v>
      </c>
      <c r="E734" t="b">
        <v>0</v>
      </c>
      <c r="F734" t="b">
        <v>1</v>
      </c>
      <c r="G734" t="b">
        <v>0</v>
      </c>
      <c r="H734" t="b">
        <v>1</v>
      </c>
    </row>
    <row r="735" spans="1:8" x14ac:dyDescent="0.2">
      <c r="A735">
        <v>733</v>
      </c>
      <c r="B735" t="s">
        <v>1477</v>
      </c>
      <c r="C735" t="s">
        <v>1478</v>
      </c>
      <c r="D735" t="b">
        <v>0</v>
      </c>
      <c r="E735" t="b">
        <v>0</v>
      </c>
      <c r="F735" t="b">
        <v>1</v>
      </c>
      <c r="G735" t="b">
        <v>0</v>
      </c>
      <c r="H735" t="b">
        <v>0</v>
      </c>
    </row>
    <row r="736" spans="1:8" x14ac:dyDescent="0.2">
      <c r="A736">
        <v>734</v>
      </c>
      <c r="B736" t="s">
        <v>1479</v>
      </c>
      <c r="C736" t="s">
        <v>1480</v>
      </c>
      <c r="D736" t="b">
        <v>1</v>
      </c>
      <c r="E736" t="b">
        <v>0</v>
      </c>
      <c r="F736" t="b">
        <v>0</v>
      </c>
      <c r="G736" t="b">
        <v>1</v>
      </c>
      <c r="H736" t="b">
        <v>0</v>
      </c>
    </row>
    <row r="737" spans="1:8" x14ac:dyDescent="0.2">
      <c r="A737">
        <v>735</v>
      </c>
      <c r="B737" t="s">
        <v>1481</v>
      </c>
      <c r="C737" t="s">
        <v>1482</v>
      </c>
      <c r="D737" t="b">
        <v>0</v>
      </c>
      <c r="E737" t="b">
        <v>0</v>
      </c>
      <c r="F737" t="b">
        <v>1</v>
      </c>
      <c r="G737" t="b">
        <v>0</v>
      </c>
      <c r="H737" t="b">
        <v>0</v>
      </c>
    </row>
    <row r="738" spans="1:8" x14ac:dyDescent="0.2">
      <c r="A738">
        <v>736</v>
      </c>
      <c r="B738" t="s">
        <v>1483</v>
      </c>
      <c r="C738" t="s">
        <v>1484</v>
      </c>
      <c r="D738" t="b">
        <v>1</v>
      </c>
      <c r="E738" t="b">
        <v>0</v>
      </c>
      <c r="F738" t="b">
        <v>0</v>
      </c>
      <c r="G738" t="b">
        <v>0</v>
      </c>
      <c r="H738" t="b">
        <v>0</v>
      </c>
    </row>
    <row r="739" spans="1:8" x14ac:dyDescent="0.2">
      <c r="A739">
        <v>737</v>
      </c>
      <c r="B739" t="s">
        <v>1485</v>
      </c>
      <c r="C739" t="s">
        <v>1486</v>
      </c>
      <c r="D739" t="b">
        <v>1</v>
      </c>
      <c r="E739" t="b">
        <v>0</v>
      </c>
      <c r="F739" t="b">
        <v>0</v>
      </c>
      <c r="G739" t="b">
        <v>0</v>
      </c>
      <c r="H739" t="b">
        <v>1</v>
      </c>
    </row>
    <row r="740" spans="1:8" x14ac:dyDescent="0.2">
      <c r="A740">
        <v>738</v>
      </c>
      <c r="B740" t="s">
        <v>1487</v>
      </c>
      <c r="C740" t="s">
        <v>1488</v>
      </c>
      <c r="D740" t="b">
        <v>1</v>
      </c>
      <c r="E740" t="b">
        <v>0</v>
      </c>
      <c r="F740" t="b">
        <v>0</v>
      </c>
      <c r="G740" t="b">
        <v>0</v>
      </c>
      <c r="H740" t="b">
        <v>0</v>
      </c>
    </row>
    <row r="741" spans="1:8" x14ac:dyDescent="0.2">
      <c r="A741">
        <v>739</v>
      </c>
      <c r="B741" t="s">
        <v>1489</v>
      </c>
      <c r="C741" t="s">
        <v>1490</v>
      </c>
      <c r="D741" t="b">
        <v>1</v>
      </c>
      <c r="E741" t="b">
        <v>0</v>
      </c>
      <c r="F741" t="b">
        <v>0</v>
      </c>
      <c r="G741" t="b">
        <v>0</v>
      </c>
      <c r="H741" t="b">
        <v>1</v>
      </c>
    </row>
    <row r="742" spans="1:8" x14ac:dyDescent="0.2">
      <c r="A742">
        <v>740</v>
      </c>
      <c r="B742" t="s">
        <v>1491</v>
      </c>
      <c r="C742" t="s">
        <v>1492</v>
      </c>
      <c r="D742" t="b">
        <v>1</v>
      </c>
      <c r="E742" t="b">
        <v>0</v>
      </c>
      <c r="F742" t="b">
        <v>0</v>
      </c>
      <c r="G742" t="b">
        <v>1</v>
      </c>
      <c r="H742" t="b">
        <v>0</v>
      </c>
    </row>
    <row r="743" spans="1:8" x14ac:dyDescent="0.2">
      <c r="A743">
        <v>741</v>
      </c>
      <c r="B743" t="s">
        <v>1493</v>
      </c>
      <c r="C743" t="s">
        <v>1494</v>
      </c>
      <c r="D743" t="b">
        <v>0</v>
      </c>
      <c r="E743" t="b">
        <v>1</v>
      </c>
      <c r="F743" t="b">
        <v>1</v>
      </c>
      <c r="G743" t="b">
        <v>0</v>
      </c>
      <c r="H743" t="b">
        <v>0</v>
      </c>
    </row>
    <row r="744" spans="1:8" x14ac:dyDescent="0.2">
      <c r="A744">
        <v>742</v>
      </c>
      <c r="B744" t="s">
        <v>1495</v>
      </c>
      <c r="C744" t="s">
        <v>1496</v>
      </c>
      <c r="D744" t="b">
        <v>0</v>
      </c>
      <c r="E744" t="b">
        <v>0</v>
      </c>
      <c r="F744" t="b">
        <v>1</v>
      </c>
      <c r="G744" t="b">
        <v>0</v>
      </c>
      <c r="H744" t="b">
        <v>0</v>
      </c>
    </row>
    <row r="745" spans="1:8" x14ac:dyDescent="0.2">
      <c r="A745">
        <v>743</v>
      </c>
      <c r="B745" t="s">
        <v>1497</v>
      </c>
      <c r="C745" t="s">
        <v>1498</v>
      </c>
      <c r="D745" t="b">
        <v>0</v>
      </c>
      <c r="E745" t="b">
        <v>0</v>
      </c>
      <c r="F745" t="b">
        <v>1</v>
      </c>
      <c r="G745" t="b">
        <v>0</v>
      </c>
      <c r="H745" t="b">
        <v>0</v>
      </c>
    </row>
    <row r="746" spans="1:8" x14ac:dyDescent="0.2">
      <c r="A746">
        <v>744</v>
      </c>
      <c r="B746" t="s">
        <v>1499</v>
      </c>
      <c r="C746" t="s">
        <v>1500</v>
      </c>
      <c r="D746" t="b">
        <v>0</v>
      </c>
      <c r="E746" t="b">
        <v>0</v>
      </c>
      <c r="F746" t="b">
        <v>1</v>
      </c>
      <c r="G746" t="b">
        <v>0</v>
      </c>
      <c r="H746" t="b">
        <v>0</v>
      </c>
    </row>
    <row r="747" spans="1:8" x14ac:dyDescent="0.2">
      <c r="A747">
        <v>745</v>
      </c>
      <c r="B747" t="s">
        <v>1501</v>
      </c>
      <c r="C747" t="s">
        <v>1502</v>
      </c>
      <c r="D747" t="b">
        <v>0</v>
      </c>
      <c r="E747" t="b">
        <v>0</v>
      </c>
      <c r="F747" t="b">
        <v>1</v>
      </c>
      <c r="G747" t="b">
        <v>0</v>
      </c>
      <c r="H747" t="b">
        <v>0</v>
      </c>
    </row>
    <row r="748" spans="1:8" x14ac:dyDescent="0.2">
      <c r="A748">
        <v>746</v>
      </c>
      <c r="B748" t="s">
        <v>1503</v>
      </c>
      <c r="C748" t="s">
        <v>1504</v>
      </c>
      <c r="D748" t="b">
        <v>0</v>
      </c>
      <c r="E748" t="b">
        <v>0</v>
      </c>
      <c r="F748" t="b">
        <v>1</v>
      </c>
      <c r="G748" t="b">
        <v>0</v>
      </c>
      <c r="H748" t="b">
        <v>0</v>
      </c>
    </row>
    <row r="749" spans="1:8" x14ac:dyDescent="0.2">
      <c r="A749">
        <v>747</v>
      </c>
      <c r="B749" t="s">
        <v>1505</v>
      </c>
      <c r="C749" t="s">
        <v>1506</v>
      </c>
      <c r="D749" t="b">
        <v>0</v>
      </c>
      <c r="E749" t="b">
        <v>0</v>
      </c>
      <c r="F749" t="b">
        <v>1</v>
      </c>
      <c r="G749" t="b">
        <v>0</v>
      </c>
      <c r="H749" t="b">
        <v>0</v>
      </c>
    </row>
    <row r="750" spans="1:8" x14ac:dyDescent="0.2">
      <c r="A750">
        <v>748</v>
      </c>
      <c r="B750" t="s">
        <v>1507</v>
      </c>
      <c r="C750" t="s">
        <v>1508</v>
      </c>
      <c r="D750" t="b">
        <v>0</v>
      </c>
      <c r="E750" t="b">
        <v>0</v>
      </c>
      <c r="F750" t="b">
        <v>1</v>
      </c>
      <c r="G750" t="b">
        <v>0</v>
      </c>
      <c r="H750" t="b">
        <v>1</v>
      </c>
    </row>
    <row r="751" spans="1:8" x14ac:dyDescent="0.2">
      <c r="A751">
        <v>749</v>
      </c>
      <c r="B751" t="s">
        <v>1509</v>
      </c>
      <c r="C751" t="s">
        <v>1510</v>
      </c>
      <c r="D751" t="b">
        <v>0</v>
      </c>
      <c r="E751" t="b">
        <v>0</v>
      </c>
      <c r="F751" t="b">
        <v>1</v>
      </c>
      <c r="G751" t="b">
        <v>0</v>
      </c>
      <c r="H751" t="b">
        <v>0</v>
      </c>
    </row>
    <row r="752" spans="1:8" x14ac:dyDescent="0.2">
      <c r="A752">
        <v>750</v>
      </c>
      <c r="B752" t="s">
        <v>1511</v>
      </c>
      <c r="C752" t="s">
        <v>1512</v>
      </c>
      <c r="D752" t="b">
        <v>0</v>
      </c>
      <c r="E752" t="b">
        <v>0</v>
      </c>
      <c r="F752" t="b">
        <v>1</v>
      </c>
      <c r="G752" t="b">
        <v>0</v>
      </c>
      <c r="H752" t="b">
        <v>0</v>
      </c>
    </row>
    <row r="753" spans="1:8" x14ac:dyDescent="0.2">
      <c r="A753">
        <v>751</v>
      </c>
      <c r="B753" t="s">
        <v>1513</v>
      </c>
      <c r="C753" t="s">
        <v>1514</v>
      </c>
      <c r="D753" t="b">
        <v>0</v>
      </c>
      <c r="E753" t="b">
        <v>0</v>
      </c>
      <c r="F753" t="b">
        <v>1</v>
      </c>
      <c r="G753" t="b">
        <v>0</v>
      </c>
      <c r="H753" t="b">
        <v>1</v>
      </c>
    </row>
    <row r="754" spans="1:8" x14ac:dyDescent="0.2">
      <c r="A754">
        <v>752</v>
      </c>
      <c r="B754" t="s">
        <v>1515</v>
      </c>
      <c r="C754" t="s">
        <v>1516</v>
      </c>
      <c r="D754" t="b">
        <v>0</v>
      </c>
      <c r="E754" t="b">
        <v>0</v>
      </c>
      <c r="F754" t="b">
        <v>1</v>
      </c>
      <c r="G754" t="b">
        <v>0</v>
      </c>
      <c r="H754" t="b">
        <v>0</v>
      </c>
    </row>
    <row r="755" spans="1:8" x14ac:dyDescent="0.2">
      <c r="A755">
        <v>753</v>
      </c>
      <c r="B755" t="s">
        <v>1517</v>
      </c>
      <c r="C755" t="s">
        <v>1518</v>
      </c>
      <c r="D755" t="b">
        <v>0</v>
      </c>
      <c r="E755" t="b">
        <v>0</v>
      </c>
      <c r="F755" t="b">
        <v>1</v>
      </c>
      <c r="G755" t="b">
        <v>0</v>
      </c>
      <c r="H755" t="b">
        <v>0</v>
      </c>
    </row>
    <row r="756" spans="1:8" x14ac:dyDescent="0.2">
      <c r="A756">
        <v>754</v>
      </c>
      <c r="B756" t="s">
        <v>1519</v>
      </c>
      <c r="C756" t="s">
        <v>1520</v>
      </c>
      <c r="D756" t="b">
        <v>0</v>
      </c>
      <c r="E756" t="b">
        <v>0</v>
      </c>
      <c r="F756" t="b">
        <v>1</v>
      </c>
      <c r="G756" t="b">
        <v>0</v>
      </c>
      <c r="H756" t="b">
        <v>0</v>
      </c>
    </row>
    <row r="757" spans="1:8" x14ac:dyDescent="0.2">
      <c r="A757">
        <v>755</v>
      </c>
      <c r="B757" t="s">
        <v>1521</v>
      </c>
      <c r="C757" t="s">
        <v>1522</v>
      </c>
      <c r="D757" t="b">
        <v>0</v>
      </c>
      <c r="E757" t="b">
        <v>0</v>
      </c>
      <c r="F757" t="b">
        <v>1</v>
      </c>
      <c r="G757" t="b">
        <v>0</v>
      </c>
      <c r="H757" t="b">
        <v>0</v>
      </c>
    </row>
    <row r="758" spans="1:8" x14ac:dyDescent="0.2">
      <c r="A758">
        <v>756</v>
      </c>
      <c r="B758" t="s">
        <v>1523</v>
      </c>
      <c r="C758" t="s">
        <v>1524</v>
      </c>
      <c r="D758" t="b">
        <v>0</v>
      </c>
      <c r="E758" t="b">
        <v>0</v>
      </c>
      <c r="F758" t="b">
        <v>1</v>
      </c>
      <c r="G758" t="b">
        <v>0</v>
      </c>
      <c r="H758" t="b">
        <v>1</v>
      </c>
    </row>
    <row r="759" spans="1:8" x14ac:dyDescent="0.2">
      <c r="A759">
        <v>757</v>
      </c>
      <c r="B759" t="s">
        <v>1525</v>
      </c>
      <c r="C759" t="s">
        <v>1526</v>
      </c>
      <c r="D759" t="b">
        <v>0</v>
      </c>
      <c r="E759" t="b">
        <v>0</v>
      </c>
      <c r="F759" t="b">
        <v>1</v>
      </c>
      <c r="G759" t="b">
        <v>0</v>
      </c>
      <c r="H759" t="b">
        <v>0</v>
      </c>
    </row>
    <row r="760" spans="1:8" x14ac:dyDescent="0.2">
      <c r="A760">
        <v>758</v>
      </c>
      <c r="B760" t="s">
        <v>1527</v>
      </c>
      <c r="C760" t="s">
        <v>1528</v>
      </c>
      <c r="D760" t="b">
        <v>0</v>
      </c>
      <c r="E760" t="b">
        <v>0</v>
      </c>
      <c r="F760" t="b">
        <v>1</v>
      </c>
      <c r="G760" t="b">
        <v>0</v>
      </c>
      <c r="H760" t="b">
        <v>1</v>
      </c>
    </row>
    <row r="761" spans="1:8" x14ac:dyDescent="0.2">
      <c r="A761">
        <v>759</v>
      </c>
      <c r="B761" t="s">
        <v>1529</v>
      </c>
      <c r="C761" t="s">
        <v>1530</v>
      </c>
      <c r="D761" t="b">
        <v>0</v>
      </c>
      <c r="E761" t="b">
        <v>0</v>
      </c>
      <c r="F761" t="b">
        <v>1</v>
      </c>
      <c r="G761" t="b">
        <v>0</v>
      </c>
      <c r="H761" t="b">
        <v>0</v>
      </c>
    </row>
    <row r="762" spans="1:8" x14ac:dyDescent="0.2">
      <c r="A762">
        <v>760</v>
      </c>
      <c r="B762" t="s">
        <v>1531</v>
      </c>
      <c r="C762" t="s">
        <v>1532</v>
      </c>
      <c r="D762" t="b">
        <v>0</v>
      </c>
      <c r="E762" t="b">
        <v>0</v>
      </c>
      <c r="F762" t="b">
        <v>1</v>
      </c>
      <c r="G762" t="b">
        <v>0</v>
      </c>
      <c r="H762" t="b">
        <v>0</v>
      </c>
    </row>
    <row r="763" spans="1:8" x14ac:dyDescent="0.2">
      <c r="A763">
        <v>761</v>
      </c>
      <c r="B763" t="s">
        <v>1533</v>
      </c>
      <c r="C763" t="s">
        <v>1534</v>
      </c>
      <c r="D763" t="b">
        <v>0</v>
      </c>
      <c r="E763" t="b">
        <v>0</v>
      </c>
      <c r="F763" t="b">
        <v>1</v>
      </c>
      <c r="G763" t="b">
        <v>0</v>
      </c>
      <c r="H763" t="b">
        <v>0</v>
      </c>
    </row>
    <row r="764" spans="1:8" x14ac:dyDescent="0.2">
      <c r="A764">
        <v>762</v>
      </c>
      <c r="B764" t="s">
        <v>1535</v>
      </c>
      <c r="C764" t="s">
        <v>1536</v>
      </c>
      <c r="D764" t="b">
        <v>0</v>
      </c>
      <c r="E764" t="b">
        <v>0</v>
      </c>
      <c r="F764" t="b">
        <v>1</v>
      </c>
      <c r="G764" t="b">
        <v>0</v>
      </c>
      <c r="H764" t="b">
        <v>0</v>
      </c>
    </row>
    <row r="765" spans="1:8" x14ac:dyDescent="0.2">
      <c r="A765">
        <v>763</v>
      </c>
      <c r="B765" t="s">
        <v>1537</v>
      </c>
      <c r="C765" t="s">
        <v>1538</v>
      </c>
      <c r="D765" t="b">
        <v>0</v>
      </c>
      <c r="E765" t="b">
        <v>0</v>
      </c>
      <c r="F765" t="b">
        <v>1</v>
      </c>
      <c r="G765" t="b">
        <v>0</v>
      </c>
      <c r="H765" t="b">
        <v>0</v>
      </c>
    </row>
    <row r="766" spans="1:8" x14ac:dyDescent="0.2">
      <c r="A766">
        <v>764</v>
      </c>
      <c r="B766" t="s">
        <v>1539</v>
      </c>
      <c r="C766" t="s">
        <v>1540</v>
      </c>
      <c r="D766" t="b">
        <v>0</v>
      </c>
      <c r="E766" t="b">
        <v>0</v>
      </c>
      <c r="F766" t="b">
        <v>1</v>
      </c>
      <c r="G766" t="b">
        <v>0</v>
      </c>
      <c r="H766" t="b">
        <v>0</v>
      </c>
    </row>
    <row r="767" spans="1:8" x14ac:dyDescent="0.2">
      <c r="A767">
        <v>765</v>
      </c>
      <c r="B767" t="s">
        <v>1541</v>
      </c>
      <c r="C767" t="s">
        <v>1542</v>
      </c>
      <c r="D767" t="b">
        <v>0</v>
      </c>
      <c r="E767" t="b">
        <v>0</v>
      </c>
      <c r="F767" t="b">
        <v>1</v>
      </c>
      <c r="G767" t="b">
        <v>0</v>
      </c>
      <c r="H767" t="b">
        <v>0</v>
      </c>
    </row>
    <row r="768" spans="1:8" x14ac:dyDescent="0.2">
      <c r="A768">
        <v>766</v>
      </c>
      <c r="B768" t="s">
        <v>1543</v>
      </c>
      <c r="C768" t="s">
        <v>1544</v>
      </c>
      <c r="D768" t="b">
        <v>0</v>
      </c>
      <c r="E768" t="b">
        <v>0</v>
      </c>
      <c r="F768" t="b">
        <v>1</v>
      </c>
      <c r="G768" t="b">
        <v>0</v>
      </c>
      <c r="H768" t="b">
        <v>1</v>
      </c>
    </row>
    <row r="769" spans="1:8" x14ac:dyDescent="0.2">
      <c r="A769">
        <v>767</v>
      </c>
      <c r="B769" t="s">
        <v>1545</v>
      </c>
      <c r="C769" t="s">
        <v>1546</v>
      </c>
      <c r="D769" t="b">
        <v>0</v>
      </c>
      <c r="E769" t="b">
        <v>0</v>
      </c>
      <c r="F769" t="b">
        <v>1</v>
      </c>
      <c r="G769" t="b">
        <v>0</v>
      </c>
      <c r="H769" t="b">
        <v>0</v>
      </c>
    </row>
    <row r="770" spans="1:8" x14ac:dyDescent="0.2">
      <c r="A770">
        <v>768</v>
      </c>
      <c r="B770" t="s">
        <v>1547</v>
      </c>
      <c r="C770" t="s">
        <v>1548</v>
      </c>
      <c r="D770" t="b">
        <v>1</v>
      </c>
      <c r="E770" t="b">
        <v>0</v>
      </c>
      <c r="F770" t="b">
        <v>0</v>
      </c>
      <c r="G770" t="b">
        <v>0</v>
      </c>
      <c r="H770" t="b">
        <v>0</v>
      </c>
    </row>
    <row r="771" spans="1:8" x14ac:dyDescent="0.2">
      <c r="A771">
        <v>769</v>
      </c>
      <c r="B771" t="s">
        <v>1549</v>
      </c>
      <c r="C771" t="s">
        <v>1550</v>
      </c>
      <c r="D771" t="b">
        <v>1</v>
      </c>
      <c r="E771" t="b">
        <v>0</v>
      </c>
      <c r="F771" t="b">
        <v>0</v>
      </c>
      <c r="G771" t="b">
        <v>0</v>
      </c>
      <c r="H771" t="b">
        <v>0</v>
      </c>
    </row>
    <row r="772" spans="1:8" x14ac:dyDescent="0.2">
      <c r="A772">
        <v>770</v>
      </c>
      <c r="B772" t="s">
        <v>1551</v>
      </c>
      <c r="C772" t="s">
        <v>1552</v>
      </c>
      <c r="D772" t="b">
        <v>1</v>
      </c>
      <c r="E772" t="b">
        <v>0</v>
      </c>
      <c r="F772" t="b">
        <v>0</v>
      </c>
      <c r="G772" t="b">
        <v>1</v>
      </c>
      <c r="H772" t="b">
        <v>0</v>
      </c>
    </row>
    <row r="773" spans="1:8" x14ac:dyDescent="0.2">
      <c r="A773">
        <v>771</v>
      </c>
      <c r="B773" t="s">
        <v>1553</v>
      </c>
      <c r="C773" t="s">
        <v>1554</v>
      </c>
      <c r="D773" t="b">
        <v>0</v>
      </c>
      <c r="E773" t="b">
        <v>0</v>
      </c>
      <c r="F773" t="b">
        <v>1</v>
      </c>
      <c r="G773" t="b">
        <v>0</v>
      </c>
      <c r="H773" t="b">
        <v>0</v>
      </c>
    </row>
    <row r="774" spans="1:8" x14ac:dyDescent="0.2">
      <c r="A774">
        <v>772</v>
      </c>
      <c r="B774" t="s">
        <v>1555</v>
      </c>
      <c r="C774" t="s">
        <v>1556</v>
      </c>
      <c r="D774" t="b">
        <v>0</v>
      </c>
      <c r="E774" t="b">
        <v>0</v>
      </c>
      <c r="F774" t="b">
        <v>1</v>
      </c>
      <c r="G774" t="b">
        <v>0</v>
      </c>
      <c r="H774" t="b">
        <v>0</v>
      </c>
    </row>
    <row r="775" spans="1:8" x14ac:dyDescent="0.2">
      <c r="A775">
        <v>773</v>
      </c>
      <c r="B775" t="s">
        <v>1557</v>
      </c>
      <c r="C775" t="s">
        <v>1558</v>
      </c>
      <c r="D775" t="b">
        <v>0</v>
      </c>
      <c r="E775" t="b">
        <v>0</v>
      </c>
      <c r="F775" t="b">
        <v>1</v>
      </c>
      <c r="G775" t="b">
        <v>0</v>
      </c>
      <c r="H775" t="b">
        <v>0</v>
      </c>
    </row>
    <row r="776" spans="1:8" x14ac:dyDescent="0.2">
      <c r="A776">
        <v>774</v>
      </c>
      <c r="B776" t="s">
        <v>1559</v>
      </c>
      <c r="C776" t="s">
        <v>1560</v>
      </c>
      <c r="D776" t="b">
        <v>0</v>
      </c>
      <c r="E776" t="b">
        <v>0</v>
      </c>
      <c r="F776" t="b">
        <v>1</v>
      </c>
      <c r="G776" t="b">
        <v>0</v>
      </c>
      <c r="H776" t="b">
        <v>0</v>
      </c>
    </row>
    <row r="777" spans="1:8" x14ac:dyDescent="0.2">
      <c r="A777">
        <v>775</v>
      </c>
      <c r="B777" t="s">
        <v>1561</v>
      </c>
      <c r="C777" t="s">
        <v>1562</v>
      </c>
      <c r="D777" t="b">
        <v>0</v>
      </c>
      <c r="E777" t="b">
        <v>0</v>
      </c>
      <c r="F777" t="b">
        <v>1</v>
      </c>
      <c r="G777" t="b">
        <v>0</v>
      </c>
      <c r="H777" t="b">
        <v>0</v>
      </c>
    </row>
    <row r="778" spans="1:8" x14ac:dyDescent="0.2">
      <c r="A778">
        <v>776</v>
      </c>
      <c r="B778" t="s">
        <v>1563</v>
      </c>
      <c r="C778" t="s">
        <v>1564</v>
      </c>
      <c r="D778" t="b">
        <v>0</v>
      </c>
      <c r="E778" t="b">
        <v>0</v>
      </c>
      <c r="F778" t="b">
        <v>1</v>
      </c>
      <c r="G778" t="b">
        <v>0</v>
      </c>
      <c r="H778" t="b">
        <v>0</v>
      </c>
    </row>
    <row r="779" spans="1:8" x14ac:dyDescent="0.2">
      <c r="A779">
        <v>777</v>
      </c>
      <c r="B779" t="s">
        <v>1565</v>
      </c>
      <c r="C779" t="s">
        <v>1566</v>
      </c>
      <c r="D779" t="b">
        <v>0</v>
      </c>
      <c r="E779" t="b">
        <v>0</v>
      </c>
      <c r="F779" t="b">
        <v>1</v>
      </c>
      <c r="G779" t="b">
        <v>0</v>
      </c>
      <c r="H779" t="b">
        <v>0</v>
      </c>
    </row>
    <row r="780" spans="1:8" x14ac:dyDescent="0.2">
      <c r="A780">
        <v>778</v>
      </c>
      <c r="B780" t="s">
        <v>1567</v>
      </c>
      <c r="C780" t="s">
        <v>1568</v>
      </c>
      <c r="D780" t="b">
        <v>0</v>
      </c>
      <c r="E780" t="b">
        <v>0</v>
      </c>
      <c r="F780" t="b">
        <v>1</v>
      </c>
      <c r="G780" t="b">
        <v>0</v>
      </c>
      <c r="H780" t="b">
        <v>0</v>
      </c>
    </row>
    <row r="781" spans="1:8" x14ac:dyDescent="0.2">
      <c r="A781">
        <v>779</v>
      </c>
      <c r="B781" t="s">
        <v>1569</v>
      </c>
      <c r="C781" t="s">
        <v>160</v>
      </c>
      <c r="D781" t="b">
        <v>0</v>
      </c>
      <c r="E781" t="b">
        <v>1</v>
      </c>
      <c r="F781" t="b">
        <v>1</v>
      </c>
      <c r="G781" t="b">
        <v>0</v>
      </c>
      <c r="H781" t="b">
        <v>0</v>
      </c>
    </row>
    <row r="782" spans="1:8" x14ac:dyDescent="0.2">
      <c r="A782">
        <v>780</v>
      </c>
      <c r="B782" t="s">
        <v>1570</v>
      </c>
      <c r="C782" t="s">
        <v>1571</v>
      </c>
      <c r="D782" t="b">
        <v>0</v>
      </c>
      <c r="E782" t="b">
        <v>0</v>
      </c>
      <c r="F782" t="b">
        <v>1</v>
      </c>
      <c r="G782" t="b">
        <v>0</v>
      </c>
      <c r="H782" t="b">
        <v>0</v>
      </c>
    </row>
    <row r="783" spans="1:8" x14ac:dyDescent="0.2">
      <c r="A783">
        <v>781</v>
      </c>
      <c r="B783" t="s">
        <v>1572</v>
      </c>
      <c r="C783" t="s">
        <v>1573</v>
      </c>
      <c r="D783" t="b">
        <v>0</v>
      </c>
      <c r="E783" t="b">
        <v>0</v>
      </c>
      <c r="F783" t="b">
        <v>1</v>
      </c>
      <c r="G783" t="b">
        <v>0</v>
      </c>
      <c r="H783" t="b">
        <v>1</v>
      </c>
    </row>
    <row r="784" spans="1:8" x14ac:dyDescent="0.2">
      <c r="A784">
        <v>782</v>
      </c>
      <c r="B784" t="s">
        <v>1574</v>
      </c>
      <c r="C784" t="s">
        <v>1575</v>
      </c>
      <c r="D784" t="b">
        <v>0</v>
      </c>
      <c r="E784" t="b">
        <v>0</v>
      </c>
      <c r="F784" t="b">
        <v>1</v>
      </c>
      <c r="G784" t="b">
        <v>0</v>
      </c>
      <c r="H784" t="b">
        <v>1</v>
      </c>
    </row>
    <row r="785" spans="1:8" x14ac:dyDescent="0.2">
      <c r="A785">
        <v>783</v>
      </c>
      <c r="B785" t="s">
        <v>1576</v>
      </c>
      <c r="C785" t="s">
        <v>1577</v>
      </c>
      <c r="D785" t="b">
        <v>0</v>
      </c>
      <c r="E785" t="b">
        <v>0</v>
      </c>
      <c r="F785" t="b">
        <v>1</v>
      </c>
      <c r="G785" t="b">
        <v>0</v>
      </c>
      <c r="H785" t="b">
        <v>0</v>
      </c>
    </row>
    <row r="786" spans="1:8" x14ac:dyDescent="0.2">
      <c r="A786">
        <v>784</v>
      </c>
      <c r="B786" t="s">
        <v>1578</v>
      </c>
      <c r="C786" t="s">
        <v>160</v>
      </c>
      <c r="D786" t="b">
        <v>0</v>
      </c>
      <c r="E786" t="b">
        <v>1</v>
      </c>
      <c r="F786" t="b">
        <v>1</v>
      </c>
      <c r="G786" t="b">
        <v>0</v>
      </c>
      <c r="H786" t="b">
        <v>0</v>
      </c>
    </row>
    <row r="787" spans="1:8" x14ac:dyDescent="0.2">
      <c r="A787">
        <v>785</v>
      </c>
      <c r="B787" t="s">
        <v>1579</v>
      </c>
      <c r="C787" t="s">
        <v>1580</v>
      </c>
      <c r="D787" t="b">
        <v>0</v>
      </c>
      <c r="E787" t="b">
        <v>0</v>
      </c>
      <c r="F787" t="b">
        <v>1</v>
      </c>
      <c r="G787" t="b">
        <v>0</v>
      </c>
      <c r="H787" t="b">
        <v>0</v>
      </c>
    </row>
    <row r="788" spans="1:8" x14ac:dyDescent="0.2">
      <c r="A788">
        <v>786</v>
      </c>
      <c r="B788" t="s">
        <v>1581</v>
      </c>
      <c r="C788" t="s">
        <v>1582</v>
      </c>
      <c r="D788" t="b">
        <v>1</v>
      </c>
      <c r="E788" t="b">
        <v>0</v>
      </c>
      <c r="F788" t="b">
        <v>0</v>
      </c>
      <c r="G788" t="b">
        <v>1</v>
      </c>
      <c r="H788" t="b">
        <v>0</v>
      </c>
    </row>
    <row r="789" spans="1:8" x14ac:dyDescent="0.2">
      <c r="A789">
        <v>787</v>
      </c>
      <c r="B789" t="s">
        <v>1583</v>
      </c>
      <c r="C789" t="s">
        <v>1584</v>
      </c>
      <c r="D789" t="b">
        <v>0</v>
      </c>
      <c r="E789" t="b">
        <v>0</v>
      </c>
      <c r="F789" t="b">
        <v>1</v>
      </c>
      <c r="G789" t="b">
        <v>0</v>
      </c>
      <c r="H789" t="b">
        <v>0</v>
      </c>
    </row>
    <row r="790" spans="1:8" x14ac:dyDescent="0.2">
      <c r="A790">
        <v>788</v>
      </c>
      <c r="B790" t="s">
        <v>1585</v>
      </c>
      <c r="C790" t="s">
        <v>1586</v>
      </c>
      <c r="D790" t="b">
        <v>0</v>
      </c>
      <c r="E790" t="b">
        <v>0</v>
      </c>
      <c r="F790" t="b">
        <v>1</v>
      </c>
      <c r="G790" t="b">
        <v>0</v>
      </c>
      <c r="H790" t="b">
        <v>0</v>
      </c>
    </row>
    <row r="791" spans="1:8" x14ac:dyDescent="0.2">
      <c r="A791">
        <v>789</v>
      </c>
      <c r="B791" t="s">
        <v>1587</v>
      </c>
      <c r="C791" t="s">
        <v>1588</v>
      </c>
      <c r="D791" t="b">
        <v>0</v>
      </c>
      <c r="E791" t="b">
        <v>0</v>
      </c>
      <c r="F791" t="b">
        <v>1</v>
      </c>
      <c r="G791" t="b">
        <v>0</v>
      </c>
      <c r="H791" t="b">
        <v>0</v>
      </c>
    </row>
    <row r="792" spans="1:8" x14ac:dyDescent="0.2">
      <c r="A792">
        <v>790</v>
      </c>
      <c r="B792" t="s">
        <v>1589</v>
      </c>
      <c r="C792" t="s">
        <v>1590</v>
      </c>
      <c r="D792" t="b">
        <v>0</v>
      </c>
      <c r="E792" t="b">
        <v>0</v>
      </c>
      <c r="F792" t="b">
        <v>1</v>
      </c>
      <c r="G792" t="b">
        <v>0</v>
      </c>
      <c r="H792" t="b">
        <v>0</v>
      </c>
    </row>
    <row r="793" spans="1:8" x14ac:dyDescent="0.2">
      <c r="A793">
        <v>791</v>
      </c>
      <c r="B793" t="s">
        <v>1591</v>
      </c>
      <c r="C793" t="s">
        <v>1592</v>
      </c>
      <c r="D793" t="b">
        <v>0</v>
      </c>
      <c r="E793" t="b">
        <v>0</v>
      </c>
      <c r="F793" t="b">
        <v>1</v>
      </c>
      <c r="G793" t="b">
        <v>0</v>
      </c>
      <c r="H793" t="b">
        <v>1</v>
      </c>
    </row>
    <row r="794" spans="1:8" x14ac:dyDescent="0.2">
      <c r="A794">
        <v>792</v>
      </c>
      <c r="B794" t="s">
        <v>1593</v>
      </c>
      <c r="C794" t="s">
        <v>1594</v>
      </c>
      <c r="D794" t="b">
        <v>0</v>
      </c>
      <c r="E794" t="b">
        <v>0</v>
      </c>
      <c r="F794" t="b">
        <v>1</v>
      </c>
      <c r="G794" t="b">
        <v>0</v>
      </c>
      <c r="H794" t="b">
        <v>0</v>
      </c>
    </row>
    <row r="795" spans="1:8" x14ac:dyDescent="0.2">
      <c r="A795">
        <v>793</v>
      </c>
      <c r="B795" t="s">
        <v>1595</v>
      </c>
      <c r="C795" s="1" t="s">
        <v>1596</v>
      </c>
      <c r="D795" t="b">
        <v>0</v>
      </c>
      <c r="E795" t="b">
        <v>0</v>
      </c>
      <c r="F795" t="b">
        <v>1</v>
      </c>
      <c r="G795" t="b">
        <v>0</v>
      </c>
      <c r="H795" t="b">
        <v>0</v>
      </c>
    </row>
    <row r="796" spans="1:8" x14ac:dyDescent="0.2">
      <c r="A796">
        <v>794</v>
      </c>
      <c r="B796" t="s">
        <v>1597</v>
      </c>
      <c r="C796" t="s">
        <v>1598</v>
      </c>
      <c r="D796" t="b">
        <v>1</v>
      </c>
      <c r="E796" t="b">
        <v>0</v>
      </c>
      <c r="F796" t="b">
        <v>0</v>
      </c>
      <c r="G796" t="b">
        <v>0</v>
      </c>
      <c r="H796" t="b">
        <v>0</v>
      </c>
    </row>
    <row r="797" spans="1:8" x14ac:dyDescent="0.2">
      <c r="A797">
        <v>795</v>
      </c>
      <c r="B797" t="s">
        <v>1599</v>
      </c>
      <c r="C797" t="s">
        <v>160</v>
      </c>
      <c r="D797" t="b">
        <v>0</v>
      </c>
      <c r="E797" t="b">
        <v>1</v>
      </c>
      <c r="F797" t="b">
        <v>0</v>
      </c>
      <c r="G797" t="b">
        <v>0</v>
      </c>
      <c r="H797" t="b">
        <v>0</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0DEC5-9DEC-2D4D-82B6-280F43DB76D4}">
  <dimension ref="A1:N26"/>
  <sheetViews>
    <sheetView workbookViewId="0">
      <selection activeCell="C21" sqref="C21"/>
    </sheetView>
  </sheetViews>
  <sheetFormatPr baseColWidth="10" defaultRowHeight="16" x14ac:dyDescent="0.2"/>
  <cols>
    <col min="2" max="2" width="21.6640625" customWidth="1"/>
    <col min="3" max="3" width="15.33203125" customWidth="1"/>
    <col min="4" max="4" width="16.1640625" customWidth="1"/>
    <col min="5" max="5" width="13.6640625" customWidth="1"/>
    <col min="6" max="6" width="15" customWidth="1"/>
    <col min="7" max="7" width="14.33203125" customWidth="1"/>
    <col min="13" max="13" width="21.33203125" customWidth="1"/>
    <col min="14" max="14" width="24.33203125" customWidth="1"/>
  </cols>
  <sheetData>
    <row r="1" spans="1:14" x14ac:dyDescent="0.2">
      <c r="B1" t="s">
        <v>532</v>
      </c>
      <c r="C1" t="s">
        <v>602</v>
      </c>
      <c r="D1" t="s">
        <v>533</v>
      </c>
      <c r="E1" t="s">
        <v>534</v>
      </c>
      <c r="F1" t="s">
        <v>535</v>
      </c>
      <c r="G1" t="s">
        <v>855</v>
      </c>
      <c r="H1" t="s">
        <v>536</v>
      </c>
      <c r="J1" t="s">
        <v>609</v>
      </c>
      <c r="K1" t="s">
        <v>610</v>
      </c>
      <c r="M1" s="3" t="s">
        <v>611</v>
      </c>
      <c r="N1" t="s">
        <v>892</v>
      </c>
    </row>
    <row r="2" spans="1:14" x14ac:dyDescent="0.2">
      <c r="A2" t="s">
        <v>3361</v>
      </c>
      <c r="B2">
        <f>COUNTIF(main_exp_sheet!D:D, TRUE)</f>
        <v>93</v>
      </c>
      <c r="C2">
        <v>422</v>
      </c>
      <c r="D2">
        <f>COUNTIF(main_exp_sheet!E:E, TRUE)</f>
        <v>91</v>
      </c>
      <c r="E2">
        <f>COUNTIF(main_exp_sheet!F:F, TRUE)</f>
        <v>701</v>
      </c>
      <c r="F2">
        <f>COUNTIF(main_exp_sheet!G:G, TRUE)</f>
        <v>31</v>
      </c>
      <c r="G2">
        <f>(C2*F6)*B9 + C2 - ((C2*F6)*B9 + C2)*D6</f>
        <v>3136.5058505024545</v>
      </c>
      <c r="H2">
        <f>COUNTIF(main_exp_sheet!H:H, TRUE)</f>
        <v>197</v>
      </c>
      <c r="J2">
        <f>SUM(Timing!C:C) + 30*60</f>
        <v>17896</v>
      </c>
      <c r="K2">
        <f>AVERAGE(Timing!C:C)</f>
        <v>272.81355932203388</v>
      </c>
      <c r="M2" s="3">
        <f>(K2*C2)/60/60</f>
        <v>31.979811676082861</v>
      </c>
      <c r="N2">
        <f>(J2/B6)*G2 /60/60</f>
        <v>22.179116761732232</v>
      </c>
    </row>
    <row r="3" spans="1:14" x14ac:dyDescent="0.2">
      <c r="A3" t="s">
        <v>3362</v>
      </c>
      <c r="B3">
        <f>COUNTIFS(full_exp_sheet!F:F,TRUE)</f>
        <v>697</v>
      </c>
      <c r="D3">
        <f>COUNTIFS(full_exp_sheet!F:F,TRUE,full_exp_sheet!E:E,TRUE)</f>
        <v>0</v>
      </c>
      <c r="E3">
        <f>COUNTIFS(full_exp_sheet!H:H,TRUE)</f>
        <v>0</v>
      </c>
      <c r="F3">
        <f>COUNTIFS(full_exp_sheet!I:I,TRUE)</f>
        <v>0</v>
      </c>
      <c r="H3">
        <f>COUNTIFS(full_exp_sheet!F:F, TRUE, full_exp_sheet!G:G, TRUE)+COUNTIFS(full_exp_sheet!H:H,TRUE,full_exp_sheet!G:G,TRUE)</f>
        <v>0</v>
      </c>
      <c r="J3">
        <f>J2/60/60</f>
        <v>4.971111111111111</v>
      </c>
      <c r="K3">
        <f>K2/60</f>
        <v>4.5468926553672313</v>
      </c>
      <c r="N3" t="s">
        <v>891</v>
      </c>
    </row>
    <row r="5" spans="1:14" x14ac:dyDescent="0.2">
      <c r="B5" t="s">
        <v>537</v>
      </c>
      <c r="D5" t="s">
        <v>893</v>
      </c>
      <c r="F5" t="s">
        <v>856</v>
      </c>
      <c r="H5" t="s">
        <v>744</v>
      </c>
    </row>
    <row r="6" spans="1:14" x14ac:dyDescent="0.2">
      <c r="B6">
        <f>B2+E2-D2</f>
        <v>703</v>
      </c>
      <c r="D6">
        <f>D2/B6</f>
        <v>0.12944523470839261</v>
      </c>
      <c r="F6">
        <f>F2/B2</f>
        <v>0.33333333333333331</v>
      </c>
      <c r="H6">
        <f>(H2/B6)*100</f>
        <v>28.022759601706969</v>
      </c>
    </row>
    <row r="7" spans="1:14" x14ac:dyDescent="0.2">
      <c r="F7">
        <f>F3/B3</f>
        <v>0</v>
      </c>
      <c r="H7">
        <f>H3/(B3+E3)</f>
        <v>0</v>
      </c>
    </row>
    <row r="8" spans="1:14" x14ac:dyDescent="0.2">
      <c r="B8" t="s">
        <v>538</v>
      </c>
      <c r="C8" t="s">
        <v>603</v>
      </c>
    </row>
    <row r="9" spans="1:14" x14ac:dyDescent="0.2">
      <c r="B9">
        <f>E2/F2</f>
        <v>22.612903225806452</v>
      </c>
      <c r="C9">
        <f>(B2/C2) * 100</f>
        <v>22.037914691943129</v>
      </c>
    </row>
    <row r="12" spans="1:14" x14ac:dyDescent="0.2">
      <c r="B12" t="s">
        <v>894</v>
      </c>
    </row>
    <row r="13" spans="1:14" x14ac:dyDescent="0.2">
      <c r="B13">
        <f>G2 * 30/60/60</f>
        <v>26.137548754187119</v>
      </c>
    </row>
    <row r="21" spans="2:8" x14ac:dyDescent="0.2">
      <c r="B21" t="s">
        <v>1848</v>
      </c>
      <c r="D21" t="s">
        <v>1849</v>
      </c>
      <c r="H21" t="s">
        <v>1850</v>
      </c>
    </row>
    <row r="22" spans="2:8" x14ac:dyDescent="0.2">
      <c r="B22">
        <f>'Data Tinder'!J3</f>
        <v>0</v>
      </c>
      <c r="D22">
        <f>'Data Tinder'!F3+'Data Tinder'!G3+'Data Tinder'!H3+'Data Tinder'!I3</f>
        <v>247</v>
      </c>
      <c r="H22">
        <v>0</v>
      </c>
    </row>
    <row r="23" spans="2:8" x14ac:dyDescent="0.2">
      <c r="D23">
        <f>'Data Tinder'!I3</f>
        <v>7</v>
      </c>
    </row>
    <row r="25" spans="2:8" x14ac:dyDescent="0.2">
      <c r="D25" t="s">
        <v>893</v>
      </c>
    </row>
    <row r="26" spans="2:8" x14ac:dyDescent="0.2">
      <c r="D26">
        <f>D22/(B22+D22)*100</f>
        <v>100</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4A7916-FBBC-2F4B-A21F-FECCAD823CC5}">
  <dimension ref="A1:C2"/>
  <sheetViews>
    <sheetView workbookViewId="0">
      <selection activeCell="B3" sqref="B3"/>
    </sheetView>
  </sheetViews>
  <sheetFormatPr baseColWidth="10" defaultRowHeight="16" x14ac:dyDescent="0.2"/>
  <cols>
    <col min="1" max="1" width="22.83203125" customWidth="1"/>
  </cols>
  <sheetData>
    <row r="1" spans="1:3" x14ac:dyDescent="0.2">
      <c r="A1" t="s">
        <v>9177</v>
      </c>
      <c r="B1" t="s">
        <v>9178</v>
      </c>
    </row>
    <row r="2" spans="1:3" x14ac:dyDescent="0.2">
      <c r="A2">
        <f>COUNTIFS(full_exp_sheet!E:E,TRUE,full_exp_sheet!D:D,FALSE)</f>
        <v>0</v>
      </c>
      <c r="B2">
        <f>COUNTIFS(full_exp_sheet!F:F,TRUE,full_exp_sheet!D:D,FALSE)</f>
        <v>690</v>
      </c>
      <c r="C2">
        <f>A2+B2</f>
        <v>690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7864B-4BAE-3A42-AC8D-2D62398AE38E}">
  <dimension ref="A1:H2612"/>
  <sheetViews>
    <sheetView topLeftCell="A8" workbookViewId="0">
      <selection activeCell="G10" sqref="G10"/>
    </sheetView>
  </sheetViews>
  <sheetFormatPr baseColWidth="10" defaultRowHeight="16" x14ac:dyDescent="0.2"/>
  <cols>
    <col min="8" max="8" width="46.33203125" customWidth="1"/>
  </cols>
  <sheetData>
    <row r="1" spans="1:8" x14ac:dyDescent="0.2">
      <c r="B1" t="s">
        <v>0</v>
      </c>
      <c r="C1" t="s">
        <v>1</v>
      </c>
      <c r="D1" t="s">
        <v>3730</v>
      </c>
      <c r="E1" t="s">
        <v>3731</v>
      </c>
      <c r="F1" t="s">
        <v>3732</v>
      </c>
      <c r="G1" t="s">
        <v>3733</v>
      </c>
      <c r="H1" t="s">
        <v>3734</v>
      </c>
    </row>
    <row r="2" spans="1:8" ht="289" x14ac:dyDescent="0.2">
      <c r="A2">
        <v>0</v>
      </c>
      <c r="B2" t="s">
        <v>1611</v>
      </c>
      <c r="C2" t="s">
        <v>3051</v>
      </c>
      <c r="D2" t="s">
        <v>3735</v>
      </c>
      <c r="E2" t="s">
        <v>3736</v>
      </c>
      <c r="F2" t="s">
        <v>3737</v>
      </c>
      <c r="G2" t="s">
        <v>3738</v>
      </c>
      <c r="H2" s="6" t="s">
        <v>6704</v>
      </c>
    </row>
    <row r="3" spans="1:8" ht="289" x14ac:dyDescent="0.2">
      <c r="A3">
        <v>1</v>
      </c>
      <c r="B3" t="s">
        <v>1611</v>
      </c>
      <c r="C3" t="s">
        <v>3051</v>
      </c>
      <c r="D3" t="s">
        <v>3735</v>
      </c>
      <c r="E3" t="s">
        <v>3736</v>
      </c>
      <c r="F3" t="s">
        <v>3737</v>
      </c>
      <c r="G3" t="s">
        <v>3739</v>
      </c>
      <c r="H3" s="6" t="s">
        <v>6705</v>
      </c>
    </row>
    <row r="4" spans="1:8" ht="102" x14ac:dyDescent="0.2">
      <c r="A4">
        <v>2</v>
      </c>
      <c r="B4" t="s">
        <v>1611</v>
      </c>
      <c r="C4" t="s">
        <v>3051</v>
      </c>
      <c r="D4" t="s">
        <v>3735</v>
      </c>
      <c r="E4" t="s">
        <v>3736</v>
      </c>
      <c r="F4" t="s">
        <v>3737</v>
      </c>
      <c r="G4" t="s">
        <v>3740</v>
      </c>
      <c r="H4" s="6" t="s">
        <v>6706</v>
      </c>
    </row>
    <row r="5" spans="1:8" ht="119" x14ac:dyDescent="0.2">
      <c r="A5">
        <v>3</v>
      </c>
      <c r="B5" t="s">
        <v>1611</v>
      </c>
      <c r="C5" t="s">
        <v>3051</v>
      </c>
      <c r="D5" t="s">
        <v>3735</v>
      </c>
      <c r="E5" t="s">
        <v>3736</v>
      </c>
      <c r="F5" t="s">
        <v>3737</v>
      </c>
      <c r="G5" t="s">
        <v>3741</v>
      </c>
      <c r="H5" s="6" t="s">
        <v>6707</v>
      </c>
    </row>
    <row r="6" spans="1:8" ht="119" x14ac:dyDescent="0.2">
      <c r="A6">
        <v>4</v>
      </c>
      <c r="B6" t="s">
        <v>1611</v>
      </c>
      <c r="C6" t="s">
        <v>3051</v>
      </c>
      <c r="D6" t="s">
        <v>3735</v>
      </c>
      <c r="E6" t="s">
        <v>3736</v>
      </c>
      <c r="F6" t="s">
        <v>3737</v>
      </c>
      <c r="G6" t="s">
        <v>3742</v>
      </c>
      <c r="H6" s="6" t="s">
        <v>6708</v>
      </c>
    </row>
    <row r="7" spans="1:8" ht="102" x14ac:dyDescent="0.2">
      <c r="A7">
        <v>5</v>
      </c>
      <c r="B7" t="s">
        <v>1611</v>
      </c>
      <c r="C7" t="s">
        <v>3051</v>
      </c>
      <c r="D7" t="s">
        <v>3735</v>
      </c>
      <c r="E7" t="s">
        <v>3736</v>
      </c>
      <c r="F7" t="s">
        <v>3737</v>
      </c>
      <c r="G7" t="s">
        <v>3743</v>
      </c>
      <c r="H7" s="6" t="s">
        <v>6709</v>
      </c>
    </row>
    <row r="8" spans="1:8" ht="102" x14ac:dyDescent="0.2">
      <c r="A8">
        <v>6</v>
      </c>
      <c r="B8" t="s">
        <v>1611</v>
      </c>
      <c r="C8" t="s">
        <v>3051</v>
      </c>
      <c r="D8" t="s">
        <v>3735</v>
      </c>
      <c r="E8" t="s">
        <v>3736</v>
      </c>
      <c r="F8" t="s">
        <v>3737</v>
      </c>
      <c r="G8" t="s">
        <v>3744</v>
      </c>
      <c r="H8" s="6" t="s">
        <v>6710</v>
      </c>
    </row>
    <row r="9" spans="1:8" ht="51" x14ac:dyDescent="0.2">
      <c r="A9">
        <v>7</v>
      </c>
      <c r="B9" t="s">
        <v>1611</v>
      </c>
      <c r="C9" t="s">
        <v>3051</v>
      </c>
      <c r="D9" t="s">
        <v>3735</v>
      </c>
      <c r="E9" t="s">
        <v>3745</v>
      </c>
      <c r="F9" t="s">
        <v>3746</v>
      </c>
      <c r="G9" t="s">
        <v>3747</v>
      </c>
      <c r="H9" s="6" t="s">
        <v>6711</v>
      </c>
    </row>
    <row r="10" spans="1:8" ht="409.5" x14ac:dyDescent="0.2">
      <c r="A10">
        <v>8</v>
      </c>
      <c r="B10" t="s">
        <v>1611</v>
      </c>
      <c r="C10" t="s">
        <v>3051</v>
      </c>
      <c r="D10" t="s">
        <v>3735</v>
      </c>
      <c r="E10" t="s">
        <v>3745</v>
      </c>
      <c r="F10" t="s">
        <v>3746</v>
      </c>
      <c r="G10" s="7" t="s">
        <v>3748</v>
      </c>
      <c r="H10" s="6" t="s">
        <v>6712</v>
      </c>
    </row>
    <row r="11" spans="1:8" x14ac:dyDescent="0.2">
      <c r="A11">
        <v>9</v>
      </c>
      <c r="B11" t="s">
        <v>1611</v>
      </c>
      <c r="C11" t="s">
        <v>3051</v>
      </c>
      <c r="D11" t="s">
        <v>3735</v>
      </c>
      <c r="E11" t="s">
        <v>3745</v>
      </c>
      <c r="F11" t="s">
        <v>3746</v>
      </c>
      <c r="G11" t="s">
        <v>3749</v>
      </c>
      <c r="H11" s="6" t="s">
        <v>6713</v>
      </c>
    </row>
    <row r="12" spans="1:8" x14ac:dyDescent="0.2">
      <c r="A12">
        <v>10</v>
      </c>
      <c r="B12" t="s">
        <v>1611</v>
      </c>
      <c r="C12" t="s">
        <v>3051</v>
      </c>
      <c r="D12" t="s">
        <v>3735</v>
      </c>
      <c r="E12" t="s">
        <v>3750</v>
      </c>
      <c r="F12" t="s">
        <v>3746</v>
      </c>
      <c r="G12" t="s">
        <v>3751</v>
      </c>
      <c r="H12" s="6" t="s">
        <v>6714</v>
      </c>
    </row>
    <row r="13" spans="1:8" x14ac:dyDescent="0.2">
      <c r="A13">
        <v>11</v>
      </c>
      <c r="B13" t="s">
        <v>1611</v>
      </c>
      <c r="C13" t="s">
        <v>3051</v>
      </c>
      <c r="D13" t="s">
        <v>3735</v>
      </c>
      <c r="E13" t="s">
        <v>3750</v>
      </c>
      <c r="F13" t="s">
        <v>3746</v>
      </c>
      <c r="G13" t="s">
        <v>3752</v>
      </c>
      <c r="H13" s="6" t="s">
        <v>6715</v>
      </c>
    </row>
    <row r="14" spans="1:8" x14ac:dyDescent="0.2">
      <c r="A14">
        <v>12</v>
      </c>
      <c r="B14" t="s">
        <v>1611</v>
      </c>
      <c r="C14" t="s">
        <v>3051</v>
      </c>
      <c r="D14" t="s">
        <v>3735</v>
      </c>
      <c r="E14" t="s">
        <v>3750</v>
      </c>
      <c r="F14" t="s">
        <v>3746</v>
      </c>
      <c r="G14" t="s">
        <v>3753</v>
      </c>
      <c r="H14" s="6" t="s">
        <v>6716</v>
      </c>
    </row>
    <row r="15" spans="1:8" x14ac:dyDescent="0.2">
      <c r="A15">
        <v>13</v>
      </c>
      <c r="B15" t="s">
        <v>1611</v>
      </c>
      <c r="C15" t="s">
        <v>3051</v>
      </c>
      <c r="D15" t="s">
        <v>3735</v>
      </c>
      <c r="E15" t="s">
        <v>3750</v>
      </c>
      <c r="F15" t="s">
        <v>3746</v>
      </c>
      <c r="G15" t="s">
        <v>3754</v>
      </c>
      <c r="H15" s="6" t="s">
        <v>6717</v>
      </c>
    </row>
    <row r="16" spans="1:8" x14ac:dyDescent="0.2">
      <c r="A16">
        <v>14</v>
      </c>
      <c r="B16" t="s">
        <v>1611</v>
      </c>
      <c r="C16" t="s">
        <v>3051</v>
      </c>
      <c r="D16" t="s">
        <v>3735</v>
      </c>
      <c r="E16" t="s">
        <v>3750</v>
      </c>
      <c r="F16" t="s">
        <v>3746</v>
      </c>
      <c r="G16" t="s">
        <v>3755</v>
      </c>
      <c r="H16" s="6" t="s">
        <v>6718</v>
      </c>
    </row>
    <row r="17" spans="1:8" x14ac:dyDescent="0.2">
      <c r="A17">
        <v>15</v>
      </c>
      <c r="B17" t="s">
        <v>1611</v>
      </c>
      <c r="C17" t="s">
        <v>3051</v>
      </c>
      <c r="D17" t="s">
        <v>3735</v>
      </c>
      <c r="E17" t="s">
        <v>3750</v>
      </c>
      <c r="F17" t="s">
        <v>3746</v>
      </c>
      <c r="G17" t="s">
        <v>3756</v>
      </c>
      <c r="H17" s="6" t="s">
        <v>6719</v>
      </c>
    </row>
    <row r="18" spans="1:8" x14ac:dyDescent="0.2">
      <c r="A18">
        <v>16</v>
      </c>
      <c r="B18" t="s">
        <v>1611</v>
      </c>
      <c r="C18" t="s">
        <v>3051</v>
      </c>
      <c r="D18" t="s">
        <v>3735</v>
      </c>
      <c r="E18" t="s">
        <v>3750</v>
      </c>
      <c r="F18" t="s">
        <v>3746</v>
      </c>
      <c r="G18" t="s">
        <v>3757</v>
      </c>
      <c r="H18" s="6" t="s">
        <v>6720</v>
      </c>
    </row>
    <row r="19" spans="1:8" x14ac:dyDescent="0.2">
      <c r="A19">
        <v>17</v>
      </c>
      <c r="B19" t="s">
        <v>1611</v>
      </c>
      <c r="C19" t="s">
        <v>3051</v>
      </c>
      <c r="D19" t="s">
        <v>3735</v>
      </c>
      <c r="E19" t="s">
        <v>3750</v>
      </c>
      <c r="F19" t="s">
        <v>3746</v>
      </c>
      <c r="G19" t="s">
        <v>3758</v>
      </c>
      <c r="H19" s="6" t="s">
        <v>6721</v>
      </c>
    </row>
    <row r="20" spans="1:8" x14ac:dyDescent="0.2">
      <c r="A20">
        <v>18</v>
      </c>
      <c r="B20" t="s">
        <v>1611</v>
      </c>
      <c r="C20" t="s">
        <v>3051</v>
      </c>
      <c r="D20" t="s">
        <v>3735</v>
      </c>
      <c r="E20" t="s">
        <v>3750</v>
      </c>
      <c r="F20" t="s">
        <v>3746</v>
      </c>
      <c r="G20" t="s">
        <v>3759</v>
      </c>
      <c r="H20" s="6" t="s">
        <v>6722</v>
      </c>
    </row>
    <row r="21" spans="1:8" x14ac:dyDescent="0.2">
      <c r="A21">
        <v>19</v>
      </c>
      <c r="B21" t="s">
        <v>1611</v>
      </c>
      <c r="C21" t="s">
        <v>3051</v>
      </c>
      <c r="D21" t="s">
        <v>3735</v>
      </c>
      <c r="E21" t="s">
        <v>3760</v>
      </c>
      <c r="F21" t="s">
        <v>3761</v>
      </c>
      <c r="G21" t="s">
        <v>3762</v>
      </c>
      <c r="H21" s="6" t="s">
        <v>6723</v>
      </c>
    </row>
    <row r="22" spans="1:8" x14ac:dyDescent="0.2">
      <c r="A22">
        <v>20</v>
      </c>
      <c r="B22" t="s">
        <v>1611</v>
      </c>
      <c r="C22" t="s">
        <v>3051</v>
      </c>
      <c r="D22" t="s">
        <v>3735</v>
      </c>
      <c r="E22" t="s">
        <v>3760</v>
      </c>
      <c r="F22" t="s">
        <v>3761</v>
      </c>
      <c r="G22" t="s">
        <v>3763</v>
      </c>
      <c r="H22" s="6" t="s">
        <v>6724</v>
      </c>
    </row>
    <row r="23" spans="1:8" x14ac:dyDescent="0.2">
      <c r="A23">
        <v>21</v>
      </c>
      <c r="B23" t="s">
        <v>1611</v>
      </c>
      <c r="C23" t="s">
        <v>3051</v>
      </c>
      <c r="D23" t="s">
        <v>3735</v>
      </c>
      <c r="E23" t="s">
        <v>3760</v>
      </c>
      <c r="F23" t="s">
        <v>3761</v>
      </c>
      <c r="G23" t="s">
        <v>3764</v>
      </c>
      <c r="H23" s="6" t="s">
        <v>6725</v>
      </c>
    </row>
    <row r="24" spans="1:8" x14ac:dyDescent="0.2">
      <c r="A24">
        <v>22</v>
      </c>
      <c r="B24" t="s">
        <v>1611</v>
      </c>
      <c r="C24" t="s">
        <v>3051</v>
      </c>
      <c r="D24" t="s">
        <v>3735</v>
      </c>
      <c r="E24" t="s">
        <v>3760</v>
      </c>
      <c r="F24" t="s">
        <v>3761</v>
      </c>
      <c r="G24" t="s">
        <v>3765</v>
      </c>
      <c r="H24" s="6" t="s">
        <v>6726</v>
      </c>
    </row>
    <row r="25" spans="1:8" x14ac:dyDescent="0.2">
      <c r="A25">
        <v>23</v>
      </c>
      <c r="B25" t="s">
        <v>1611</v>
      </c>
      <c r="C25" t="s">
        <v>3051</v>
      </c>
      <c r="D25" t="s">
        <v>3735</v>
      </c>
      <c r="E25" t="s">
        <v>3760</v>
      </c>
      <c r="F25" t="s">
        <v>3761</v>
      </c>
      <c r="G25" t="s">
        <v>3766</v>
      </c>
      <c r="H25" s="6" t="s">
        <v>6727</v>
      </c>
    </row>
    <row r="26" spans="1:8" x14ac:dyDescent="0.2">
      <c r="A26">
        <v>24</v>
      </c>
      <c r="B26" t="s">
        <v>1611</v>
      </c>
      <c r="C26" t="s">
        <v>3051</v>
      </c>
      <c r="D26" t="s">
        <v>3735</v>
      </c>
      <c r="E26" t="s">
        <v>3760</v>
      </c>
      <c r="F26" t="s">
        <v>3761</v>
      </c>
      <c r="G26" t="s">
        <v>3767</v>
      </c>
      <c r="H26" s="6" t="s">
        <v>6728</v>
      </c>
    </row>
    <row r="27" spans="1:8" ht="187" x14ac:dyDescent="0.2">
      <c r="A27">
        <v>25</v>
      </c>
      <c r="B27" t="s">
        <v>1611</v>
      </c>
      <c r="C27" t="s">
        <v>3051</v>
      </c>
      <c r="D27" t="s">
        <v>3735</v>
      </c>
      <c r="E27" t="s">
        <v>3760</v>
      </c>
      <c r="F27" t="s">
        <v>3761</v>
      </c>
      <c r="G27" t="s">
        <v>3768</v>
      </c>
      <c r="H27" s="6" t="s">
        <v>6729</v>
      </c>
    </row>
    <row r="28" spans="1:8" ht="153" x14ac:dyDescent="0.2">
      <c r="A28">
        <v>26</v>
      </c>
      <c r="B28" t="s">
        <v>1611</v>
      </c>
      <c r="C28" t="s">
        <v>3051</v>
      </c>
      <c r="D28" t="s">
        <v>3735</v>
      </c>
      <c r="E28" t="s">
        <v>3769</v>
      </c>
      <c r="F28" t="s">
        <v>3770</v>
      </c>
      <c r="G28" t="s">
        <v>3771</v>
      </c>
      <c r="H28" s="6" t="s">
        <v>6730</v>
      </c>
    </row>
    <row r="29" spans="1:8" ht="85" x14ac:dyDescent="0.2">
      <c r="A29">
        <v>27</v>
      </c>
      <c r="B29" t="s">
        <v>1611</v>
      </c>
      <c r="C29" t="s">
        <v>3051</v>
      </c>
      <c r="D29" t="s">
        <v>3735</v>
      </c>
      <c r="E29" t="s">
        <v>3769</v>
      </c>
      <c r="F29" t="s">
        <v>3770</v>
      </c>
      <c r="G29" t="s">
        <v>3772</v>
      </c>
      <c r="H29" s="6" t="s">
        <v>6731</v>
      </c>
    </row>
    <row r="30" spans="1:8" ht="119" x14ac:dyDescent="0.2">
      <c r="A30">
        <v>28</v>
      </c>
      <c r="B30" t="s">
        <v>1611</v>
      </c>
      <c r="C30" t="s">
        <v>3051</v>
      </c>
      <c r="D30" t="s">
        <v>3735</v>
      </c>
      <c r="E30" t="s">
        <v>3769</v>
      </c>
      <c r="F30" t="s">
        <v>3770</v>
      </c>
      <c r="G30" t="s">
        <v>3773</v>
      </c>
      <c r="H30" s="6" t="s">
        <v>6732</v>
      </c>
    </row>
    <row r="31" spans="1:8" ht="119" x14ac:dyDescent="0.2">
      <c r="A31">
        <v>29</v>
      </c>
      <c r="B31" t="s">
        <v>1611</v>
      </c>
      <c r="C31" t="s">
        <v>3051</v>
      </c>
      <c r="D31" t="s">
        <v>3735</v>
      </c>
      <c r="E31" t="s">
        <v>3769</v>
      </c>
      <c r="F31" t="s">
        <v>3770</v>
      </c>
      <c r="G31" t="s">
        <v>3774</v>
      </c>
      <c r="H31" s="6" t="s">
        <v>6733</v>
      </c>
    </row>
    <row r="32" spans="1:8" ht="102" x14ac:dyDescent="0.2">
      <c r="A32">
        <v>30</v>
      </c>
      <c r="B32" t="s">
        <v>1611</v>
      </c>
      <c r="C32" t="s">
        <v>3051</v>
      </c>
      <c r="D32" t="s">
        <v>3735</v>
      </c>
      <c r="E32" t="s">
        <v>3769</v>
      </c>
      <c r="F32" t="s">
        <v>3770</v>
      </c>
      <c r="G32" t="s">
        <v>3775</v>
      </c>
      <c r="H32" s="6" t="s">
        <v>6734</v>
      </c>
    </row>
    <row r="33" spans="1:8" ht="51" x14ac:dyDescent="0.2">
      <c r="A33">
        <v>31</v>
      </c>
      <c r="B33" t="s">
        <v>1611</v>
      </c>
      <c r="C33" t="s">
        <v>3051</v>
      </c>
      <c r="D33" t="s">
        <v>3735</v>
      </c>
      <c r="E33" t="s">
        <v>3769</v>
      </c>
      <c r="F33" t="s">
        <v>3770</v>
      </c>
      <c r="G33" t="s">
        <v>3776</v>
      </c>
      <c r="H33" s="6" t="s">
        <v>6735</v>
      </c>
    </row>
    <row r="34" spans="1:8" ht="153" x14ac:dyDescent="0.2">
      <c r="A34">
        <v>32</v>
      </c>
      <c r="B34" t="s">
        <v>1611</v>
      </c>
      <c r="C34" t="s">
        <v>3051</v>
      </c>
      <c r="D34" t="s">
        <v>3735</v>
      </c>
      <c r="E34" t="s">
        <v>3777</v>
      </c>
      <c r="F34" t="s">
        <v>3778</v>
      </c>
      <c r="G34" t="s">
        <v>3779</v>
      </c>
      <c r="H34" s="6" t="s">
        <v>6736</v>
      </c>
    </row>
    <row r="35" spans="1:8" ht="85" x14ac:dyDescent="0.2">
      <c r="A35">
        <v>33</v>
      </c>
      <c r="B35" t="s">
        <v>1611</v>
      </c>
      <c r="C35" t="s">
        <v>3051</v>
      </c>
      <c r="D35" t="s">
        <v>3735</v>
      </c>
      <c r="E35" t="s">
        <v>3777</v>
      </c>
      <c r="F35" t="s">
        <v>3778</v>
      </c>
      <c r="G35" t="s">
        <v>3780</v>
      </c>
      <c r="H35" s="6" t="s">
        <v>6737</v>
      </c>
    </row>
    <row r="36" spans="1:8" ht="102" x14ac:dyDescent="0.2">
      <c r="A36">
        <v>34</v>
      </c>
      <c r="B36" t="s">
        <v>1611</v>
      </c>
      <c r="C36" t="s">
        <v>3051</v>
      </c>
      <c r="D36" t="s">
        <v>3735</v>
      </c>
      <c r="E36" t="s">
        <v>3777</v>
      </c>
      <c r="F36" t="s">
        <v>3778</v>
      </c>
      <c r="G36" t="s">
        <v>3781</v>
      </c>
      <c r="H36" s="6" t="s">
        <v>6738</v>
      </c>
    </row>
    <row r="37" spans="1:8" ht="102" x14ac:dyDescent="0.2">
      <c r="A37">
        <v>35</v>
      </c>
      <c r="B37" t="s">
        <v>1611</v>
      </c>
      <c r="C37" t="s">
        <v>3051</v>
      </c>
      <c r="D37" t="s">
        <v>3735</v>
      </c>
      <c r="E37" t="s">
        <v>3777</v>
      </c>
      <c r="F37" t="s">
        <v>3778</v>
      </c>
      <c r="G37" t="s">
        <v>3782</v>
      </c>
      <c r="H37" s="6" t="s">
        <v>6739</v>
      </c>
    </row>
    <row r="38" spans="1:8" ht="102" x14ac:dyDescent="0.2">
      <c r="A38">
        <v>36</v>
      </c>
      <c r="B38" t="s">
        <v>1611</v>
      </c>
      <c r="C38" t="s">
        <v>3051</v>
      </c>
      <c r="D38" t="s">
        <v>3735</v>
      </c>
      <c r="E38" t="s">
        <v>3777</v>
      </c>
      <c r="F38" t="s">
        <v>3778</v>
      </c>
      <c r="G38" t="s">
        <v>3783</v>
      </c>
      <c r="H38" s="6" t="s">
        <v>6740</v>
      </c>
    </row>
    <row r="39" spans="1:8" ht="68" x14ac:dyDescent="0.2">
      <c r="A39">
        <v>37</v>
      </c>
      <c r="B39" t="s">
        <v>1611</v>
      </c>
      <c r="C39" t="s">
        <v>3051</v>
      </c>
      <c r="D39" t="s">
        <v>3735</v>
      </c>
      <c r="E39" t="s">
        <v>3777</v>
      </c>
      <c r="F39" t="s">
        <v>3778</v>
      </c>
      <c r="G39" t="s">
        <v>3784</v>
      </c>
      <c r="H39" s="6" t="s">
        <v>6741</v>
      </c>
    </row>
    <row r="40" spans="1:8" ht="153" x14ac:dyDescent="0.2">
      <c r="A40">
        <v>38</v>
      </c>
      <c r="B40" t="s">
        <v>1611</v>
      </c>
      <c r="C40" t="s">
        <v>3051</v>
      </c>
      <c r="D40" t="s">
        <v>3735</v>
      </c>
      <c r="E40" t="s">
        <v>3785</v>
      </c>
      <c r="F40" t="s">
        <v>3786</v>
      </c>
      <c r="G40" t="s">
        <v>3787</v>
      </c>
      <c r="H40" s="6" t="s">
        <v>6742</v>
      </c>
    </row>
    <row r="41" spans="1:8" ht="85" x14ac:dyDescent="0.2">
      <c r="A41">
        <v>39</v>
      </c>
      <c r="B41" t="s">
        <v>1611</v>
      </c>
      <c r="C41" t="s">
        <v>3051</v>
      </c>
      <c r="D41" t="s">
        <v>3735</v>
      </c>
      <c r="E41" t="s">
        <v>3785</v>
      </c>
      <c r="F41" t="s">
        <v>3786</v>
      </c>
      <c r="G41" t="s">
        <v>3788</v>
      </c>
      <c r="H41" s="6" t="s">
        <v>6743</v>
      </c>
    </row>
    <row r="42" spans="1:8" ht="102" x14ac:dyDescent="0.2">
      <c r="A42">
        <v>40</v>
      </c>
      <c r="B42" t="s">
        <v>1611</v>
      </c>
      <c r="C42" t="s">
        <v>3051</v>
      </c>
      <c r="D42" t="s">
        <v>3735</v>
      </c>
      <c r="E42" t="s">
        <v>3785</v>
      </c>
      <c r="F42" t="s">
        <v>3786</v>
      </c>
      <c r="G42" t="s">
        <v>3789</v>
      </c>
      <c r="H42" s="6" t="s">
        <v>6744</v>
      </c>
    </row>
    <row r="43" spans="1:8" ht="119" x14ac:dyDescent="0.2">
      <c r="A43">
        <v>41</v>
      </c>
      <c r="B43" t="s">
        <v>1611</v>
      </c>
      <c r="C43" t="s">
        <v>3051</v>
      </c>
      <c r="D43" t="s">
        <v>3735</v>
      </c>
      <c r="E43" t="s">
        <v>3785</v>
      </c>
      <c r="F43" t="s">
        <v>3786</v>
      </c>
      <c r="G43" t="s">
        <v>3790</v>
      </c>
      <c r="H43" s="6" t="s">
        <v>6745</v>
      </c>
    </row>
    <row r="44" spans="1:8" ht="102" x14ac:dyDescent="0.2">
      <c r="A44">
        <v>42</v>
      </c>
      <c r="B44" t="s">
        <v>1611</v>
      </c>
      <c r="C44" t="s">
        <v>3051</v>
      </c>
      <c r="D44" t="s">
        <v>3735</v>
      </c>
      <c r="E44" t="s">
        <v>3785</v>
      </c>
      <c r="F44" t="s">
        <v>3786</v>
      </c>
      <c r="G44" t="s">
        <v>3791</v>
      </c>
      <c r="H44" s="6" t="s">
        <v>6746</v>
      </c>
    </row>
    <row r="45" spans="1:8" ht="51" x14ac:dyDescent="0.2">
      <c r="A45">
        <v>43</v>
      </c>
      <c r="B45" t="s">
        <v>1611</v>
      </c>
      <c r="C45" t="s">
        <v>3051</v>
      </c>
      <c r="D45" t="s">
        <v>3735</v>
      </c>
      <c r="E45" t="s">
        <v>3785</v>
      </c>
      <c r="F45" t="s">
        <v>3786</v>
      </c>
      <c r="G45" t="s">
        <v>3792</v>
      </c>
      <c r="H45" s="6" t="s">
        <v>6747</v>
      </c>
    </row>
    <row r="46" spans="1:8" ht="153" x14ac:dyDescent="0.2">
      <c r="A46">
        <v>44</v>
      </c>
      <c r="B46" t="s">
        <v>1611</v>
      </c>
      <c r="C46" t="s">
        <v>3051</v>
      </c>
      <c r="D46" t="s">
        <v>3735</v>
      </c>
      <c r="E46" t="s">
        <v>3793</v>
      </c>
      <c r="F46" t="s">
        <v>3794</v>
      </c>
      <c r="G46" t="s">
        <v>3795</v>
      </c>
      <c r="H46" s="6" t="s">
        <v>6748</v>
      </c>
    </row>
    <row r="47" spans="1:8" ht="85" x14ac:dyDescent="0.2">
      <c r="A47">
        <v>45</v>
      </c>
      <c r="B47" t="s">
        <v>1611</v>
      </c>
      <c r="C47" t="s">
        <v>3051</v>
      </c>
      <c r="D47" t="s">
        <v>3735</v>
      </c>
      <c r="E47" t="s">
        <v>3793</v>
      </c>
      <c r="F47" t="s">
        <v>3794</v>
      </c>
      <c r="G47" t="s">
        <v>3796</v>
      </c>
      <c r="H47" s="6" t="s">
        <v>6749</v>
      </c>
    </row>
    <row r="48" spans="1:8" ht="153" x14ac:dyDescent="0.2">
      <c r="A48">
        <v>46</v>
      </c>
      <c r="B48" t="s">
        <v>1611</v>
      </c>
      <c r="C48" t="s">
        <v>3051</v>
      </c>
      <c r="D48" t="s">
        <v>3735</v>
      </c>
      <c r="E48" t="s">
        <v>3793</v>
      </c>
      <c r="F48" t="s">
        <v>3794</v>
      </c>
      <c r="G48" t="s">
        <v>3797</v>
      </c>
      <c r="H48" s="6" t="s">
        <v>6750</v>
      </c>
    </row>
    <row r="49" spans="1:8" ht="136" x14ac:dyDescent="0.2">
      <c r="A49">
        <v>47</v>
      </c>
      <c r="B49" t="s">
        <v>1611</v>
      </c>
      <c r="C49" t="s">
        <v>3051</v>
      </c>
      <c r="D49" t="s">
        <v>3735</v>
      </c>
      <c r="E49" t="s">
        <v>3793</v>
      </c>
      <c r="F49" t="s">
        <v>3794</v>
      </c>
      <c r="G49" t="s">
        <v>3798</v>
      </c>
      <c r="H49" s="6" t="s">
        <v>6751</v>
      </c>
    </row>
    <row r="50" spans="1:8" ht="102" x14ac:dyDescent="0.2">
      <c r="A50">
        <v>48</v>
      </c>
      <c r="B50" t="s">
        <v>1611</v>
      </c>
      <c r="C50" t="s">
        <v>3051</v>
      </c>
      <c r="D50" t="s">
        <v>3735</v>
      </c>
      <c r="E50" t="s">
        <v>3793</v>
      </c>
      <c r="F50" t="s">
        <v>3794</v>
      </c>
      <c r="G50" t="s">
        <v>3799</v>
      </c>
      <c r="H50" s="6" t="s">
        <v>6752</v>
      </c>
    </row>
    <row r="51" spans="1:8" ht="51" x14ac:dyDescent="0.2">
      <c r="A51">
        <v>49</v>
      </c>
      <c r="B51" t="s">
        <v>1611</v>
      </c>
      <c r="C51" t="s">
        <v>3051</v>
      </c>
      <c r="D51" t="s">
        <v>3735</v>
      </c>
      <c r="E51" t="s">
        <v>3793</v>
      </c>
      <c r="F51" t="s">
        <v>3794</v>
      </c>
      <c r="G51" t="s">
        <v>3800</v>
      </c>
      <c r="H51" s="6" t="s">
        <v>6753</v>
      </c>
    </row>
    <row r="52" spans="1:8" ht="153" x14ac:dyDescent="0.2">
      <c r="A52">
        <v>50</v>
      </c>
      <c r="B52" t="s">
        <v>1611</v>
      </c>
      <c r="C52" t="s">
        <v>3051</v>
      </c>
      <c r="D52" t="s">
        <v>3735</v>
      </c>
      <c r="E52" t="s">
        <v>3801</v>
      </c>
      <c r="F52" t="s">
        <v>3802</v>
      </c>
      <c r="G52" t="s">
        <v>3803</v>
      </c>
      <c r="H52" s="6" t="s">
        <v>6754</v>
      </c>
    </row>
    <row r="53" spans="1:8" ht="85" x14ac:dyDescent="0.2">
      <c r="A53">
        <v>51</v>
      </c>
      <c r="B53" t="s">
        <v>1611</v>
      </c>
      <c r="C53" t="s">
        <v>3051</v>
      </c>
      <c r="D53" t="s">
        <v>3735</v>
      </c>
      <c r="E53" t="s">
        <v>3801</v>
      </c>
      <c r="F53" t="s">
        <v>3802</v>
      </c>
      <c r="G53" t="s">
        <v>3804</v>
      </c>
      <c r="H53" s="6" t="s">
        <v>6755</v>
      </c>
    </row>
    <row r="54" spans="1:8" ht="102" x14ac:dyDescent="0.2">
      <c r="A54">
        <v>52</v>
      </c>
      <c r="B54" t="s">
        <v>1611</v>
      </c>
      <c r="C54" t="s">
        <v>3051</v>
      </c>
      <c r="D54" t="s">
        <v>3735</v>
      </c>
      <c r="E54" t="s">
        <v>3801</v>
      </c>
      <c r="F54" t="s">
        <v>3802</v>
      </c>
      <c r="G54" t="s">
        <v>3805</v>
      </c>
      <c r="H54" s="6" t="s">
        <v>6756</v>
      </c>
    </row>
    <row r="55" spans="1:8" ht="119" x14ac:dyDescent="0.2">
      <c r="A55">
        <v>53</v>
      </c>
      <c r="B55" t="s">
        <v>1611</v>
      </c>
      <c r="C55" t="s">
        <v>3051</v>
      </c>
      <c r="D55" t="s">
        <v>3735</v>
      </c>
      <c r="E55" t="s">
        <v>3801</v>
      </c>
      <c r="F55" t="s">
        <v>3802</v>
      </c>
      <c r="G55" t="s">
        <v>3806</v>
      </c>
      <c r="H55" s="6" t="s">
        <v>6757</v>
      </c>
    </row>
    <row r="56" spans="1:8" ht="102" x14ac:dyDescent="0.2">
      <c r="A56">
        <v>54</v>
      </c>
      <c r="B56" t="s">
        <v>1611</v>
      </c>
      <c r="C56" t="s">
        <v>3051</v>
      </c>
      <c r="D56" t="s">
        <v>3735</v>
      </c>
      <c r="E56" t="s">
        <v>3801</v>
      </c>
      <c r="F56" t="s">
        <v>3802</v>
      </c>
      <c r="G56" t="s">
        <v>3807</v>
      </c>
      <c r="H56" s="6" t="s">
        <v>6758</v>
      </c>
    </row>
    <row r="57" spans="1:8" ht="68" x14ac:dyDescent="0.2">
      <c r="A57">
        <v>55</v>
      </c>
      <c r="B57" t="s">
        <v>1611</v>
      </c>
      <c r="C57" t="s">
        <v>3051</v>
      </c>
      <c r="D57" t="s">
        <v>3735</v>
      </c>
      <c r="E57" t="s">
        <v>3801</v>
      </c>
      <c r="F57" t="s">
        <v>3802</v>
      </c>
      <c r="G57" t="s">
        <v>3808</v>
      </c>
      <c r="H57" s="6" t="s">
        <v>6759</v>
      </c>
    </row>
    <row r="58" spans="1:8" ht="153" x14ac:dyDescent="0.2">
      <c r="A58">
        <v>56</v>
      </c>
      <c r="B58" t="s">
        <v>1611</v>
      </c>
      <c r="C58" t="s">
        <v>3051</v>
      </c>
      <c r="D58" t="s">
        <v>3735</v>
      </c>
      <c r="E58" t="s">
        <v>3809</v>
      </c>
      <c r="F58" t="s">
        <v>3810</v>
      </c>
      <c r="G58" t="s">
        <v>3811</v>
      </c>
      <c r="H58" s="6" t="s">
        <v>6760</v>
      </c>
    </row>
    <row r="59" spans="1:8" ht="85" x14ac:dyDescent="0.2">
      <c r="A59">
        <v>57</v>
      </c>
      <c r="B59" t="s">
        <v>1611</v>
      </c>
      <c r="C59" t="s">
        <v>3051</v>
      </c>
      <c r="D59" t="s">
        <v>3735</v>
      </c>
      <c r="E59" t="s">
        <v>3809</v>
      </c>
      <c r="F59" t="s">
        <v>3810</v>
      </c>
      <c r="G59" t="s">
        <v>3812</v>
      </c>
      <c r="H59" s="6" t="s">
        <v>6761</v>
      </c>
    </row>
    <row r="60" spans="1:8" ht="102" x14ac:dyDescent="0.2">
      <c r="A60">
        <v>58</v>
      </c>
      <c r="B60" t="s">
        <v>1611</v>
      </c>
      <c r="C60" t="s">
        <v>3051</v>
      </c>
      <c r="D60" t="s">
        <v>3735</v>
      </c>
      <c r="E60" t="s">
        <v>3809</v>
      </c>
      <c r="F60" t="s">
        <v>3810</v>
      </c>
      <c r="G60" t="s">
        <v>3813</v>
      </c>
      <c r="H60" s="6" t="s">
        <v>6762</v>
      </c>
    </row>
    <row r="61" spans="1:8" ht="102" x14ac:dyDescent="0.2">
      <c r="A61">
        <v>59</v>
      </c>
      <c r="B61" t="s">
        <v>1611</v>
      </c>
      <c r="C61" t="s">
        <v>3051</v>
      </c>
      <c r="D61" t="s">
        <v>3735</v>
      </c>
      <c r="E61" t="s">
        <v>3809</v>
      </c>
      <c r="F61" t="s">
        <v>3810</v>
      </c>
      <c r="G61" t="s">
        <v>3814</v>
      </c>
      <c r="H61" s="6" t="s">
        <v>6763</v>
      </c>
    </row>
    <row r="62" spans="1:8" ht="119" x14ac:dyDescent="0.2">
      <c r="A62">
        <v>60</v>
      </c>
      <c r="B62" t="s">
        <v>1611</v>
      </c>
      <c r="C62" t="s">
        <v>3051</v>
      </c>
      <c r="D62" t="s">
        <v>3735</v>
      </c>
      <c r="E62" t="s">
        <v>3809</v>
      </c>
      <c r="F62" t="s">
        <v>3810</v>
      </c>
      <c r="G62" t="s">
        <v>3815</v>
      </c>
      <c r="H62" s="6" t="s">
        <v>6764</v>
      </c>
    </row>
    <row r="63" spans="1:8" ht="51" x14ac:dyDescent="0.2">
      <c r="A63">
        <v>61</v>
      </c>
      <c r="B63" t="s">
        <v>1611</v>
      </c>
      <c r="C63" t="s">
        <v>3051</v>
      </c>
      <c r="D63" t="s">
        <v>3735</v>
      </c>
      <c r="E63" t="s">
        <v>3809</v>
      </c>
      <c r="F63" t="s">
        <v>3810</v>
      </c>
      <c r="G63" t="s">
        <v>3816</v>
      </c>
      <c r="H63" s="6" t="s">
        <v>6765</v>
      </c>
    </row>
    <row r="64" spans="1:8" ht="153" x14ac:dyDescent="0.2">
      <c r="A64">
        <v>62</v>
      </c>
      <c r="B64" t="s">
        <v>1611</v>
      </c>
      <c r="C64" t="s">
        <v>3051</v>
      </c>
      <c r="D64" t="s">
        <v>3735</v>
      </c>
      <c r="E64" t="s">
        <v>3817</v>
      </c>
      <c r="F64" t="s">
        <v>3818</v>
      </c>
      <c r="G64" t="s">
        <v>3819</v>
      </c>
      <c r="H64" s="6" t="s">
        <v>6766</v>
      </c>
    </row>
    <row r="65" spans="1:8" ht="85" x14ac:dyDescent="0.2">
      <c r="A65">
        <v>63</v>
      </c>
      <c r="B65" t="s">
        <v>1611</v>
      </c>
      <c r="C65" t="s">
        <v>3051</v>
      </c>
      <c r="D65" t="s">
        <v>3735</v>
      </c>
      <c r="E65" t="s">
        <v>3817</v>
      </c>
      <c r="F65" t="s">
        <v>3818</v>
      </c>
      <c r="G65" t="s">
        <v>3820</v>
      </c>
      <c r="H65" s="6" t="s">
        <v>6767</v>
      </c>
    </row>
    <row r="66" spans="1:8" ht="119" x14ac:dyDescent="0.2">
      <c r="A66">
        <v>64</v>
      </c>
      <c r="B66" t="s">
        <v>1611</v>
      </c>
      <c r="C66" t="s">
        <v>3051</v>
      </c>
      <c r="D66" t="s">
        <v>3735</v>
      </c>
      <c r="E66" t="s">
        <v>3817</v>
      </c>
      <c r="F66" t="s">
        <v>3818</v>
      </c>
      <c r="G66" t="s">
        <v>3821</v>
      </c>
      <c r="H66" s="6" t="s">
        <v>6768</v>
      </c>
    </row>
    <row r="67" spans="1:8" ht="102" x14ac:dyDescent="0.2">
      <c r="A67">
        <v>65</v>
      </c>
      <c r="B67" t="s">
        <v>1611</v>
      </c>
      <c r="C67" t="s">
        <v>3051</v>
      </c>
      <c r="D67" t="s">
        <v>3735</v>
      </c>
      <c r="E67" t="s">
        <v>3817</v>
      </c>
      <c r="F67" t="s">
        <v>3818</v>
      </c>
      <c r="G67" t="s">
        <v>3822</v>
      </c>
      <c r="H67" s="6" t="s">
        <v>6769</v>
      </c>
    </row>
    <row r="68" spans="1:8" ht="102" x14ac:dyDescent="0.2">
      <c r="A68">
        <v>66</v>
      </c>
      <c r="B68" t="s">
        <v>1611</v>
      </c>
      <c r="C68" t="s">
        <v>3051</v>
      </c>
      <c r="D68" t="s">
        <v>3735</v>
      </c>
      <c r="E68" t="s">
        <v>3817</v>
      </c>
      <c r="F68" t="s">
        <v>3818</v>
      </c>
      <c r="G68" t="s">
        <v>3823</v>
      </c>
      <c r="H68" s="6" t="s">
        <v>6770</v>
      </c>
    </row>
    <row r="69" spans="1:8" ht="68" x14ac:dyDescent="0.2">
      <c r="A69">
        <v>67</v>
      </c>
      <c r="B69" t="s">
        <v>1611</v>
      </c>
      <c r="C69" t="s">
        <v>3051</v>
      </c>
      <c r="D69" t="s">
        <v>3735</v>
      </c>
      <c r="E69" t="s">
        <v>3817</v>
      </c>
      <c r="F69" t="s">
        <v>3818</v>
      </c>
      <c r="G69" t="s">
        <v>3824</v>
      </c>
      <c r="H69" s="6" t="s">
        <v>6771</v>
      </c>
    </row>
    <row r="70" spans="1:8" ht="153" x14ac:dyDescent="0.2">
      <c r="A70">
        <v>68</v>
      </c>
      <c r="B70" t="s">
        <v>1611</v>
      </c>
      <c r="C70" t="s">
        <v>3051</v>
      </c>
      <c r="D70" t="s">
        <v>3735</v>
      </c>
      <c r="E70" t="s">
        <v>3825</v>
      </c>
      <c r="F70" t="s">
        <v>3826</v>
      </c>
      <c r="G70" t="s">
        <v>3827</v>
      </c>
      <c r="H70" s="6" t="s">
        <v>6772</v>
      </c>
    </row>
    <row r="71" spans="1:8" ht="85" x14ac:dyDescent="0.2">
      <c r="A71">
        <v>69</v>
      </c>
      <c r="B71" t="s">
        <v>1611</v>
      </c>
      <c r="C71" t="s">
        <v>3051</v>
      </c>
      <c r="D71" t="s">
        <v>3735</v>
      </c>
      <c r="E71" t="s">
        <v>3825</v>
      </c>
      <c r="F71" t="s">
        <v>3826</v>
      </c>
      <c r="G71" t="s">
        <v>3828</v>
      </c>
      <c r="H71" s="6" t="s">
        <v>6773</v>
      </c>
    </row>
    <row r="72" spans="1:8" ht="102" x14ac:dyDescent="0.2">
      <c r="A72">
        <v>70</v>
      </c>
      <c r="B72" t="s">
        <v>1611</v>
      </c>
      <c r="C72" t="s">
        <v>3051</v>
      </c>
      <c r="D72" t="s">
        <v>3735</v>
      </c>
      <c r="E72" t="s">
        <v>3825</v>
      </c>
      <c r="F72" t="s">
        <v>3826</v>
      </c>
      <c r="G72" t="s">
        <v>3829</v>
      </c>
      <c r="H72" s="6" t="s">
        <v>6774</v>
      </c>
    </row>
    <row r="73" spans="1:8" ht="102" x14ac:dyDescent="0.2">
      <c r="A73">
        <v>71</v>
      </c>
      <c r="B73" t="s">
        <v>1611</v>
      </c>
      <c r="C73" t="s">
        <v>3051</v>
      </c>
      <c r="D73" t="s">
        <v>3735</v>
      </c>
      <c r="E73" t="s">
        <v>3825</v>
      </c>
      <c r="F73" t="s">
        <v>3826</v>
      </c>
      <c r="G73" t="s">
        <v>3830</v>
      </c>
      <c r="H73" s="6" t="s">
        <v>6775</v>
      </c>
    </row>
    <row r="74" spans="1:8" ht="102" x14ac:dyDescent="0.2">
      <c r="A74">
        <v>72</v>
      </c>
      <c r="B74" t="s">
        <v>1611</v>
      </c>
      <c r="C74" t="s">
        <v>3051</v>
      </c>
      <c r="D74" t="s">
        <v>3735</v>
      </c>
      <c r="E74" t="s">
        <v>3825</v>
      </c>
      <c r="F74" t="s">
        <v>3826</v>
      </c>
      <c r="G74" t="s">
        <v>3831</v>
      </c>
      <c r="H74" s="6" t="s">
        <v>6776</v>
      </c>
    </row>
    <row r="75" spans="1:8" ht="51" x14ac:dyDescent="0.2">
      <c r="A75">
        <v>73</v>
      </c>
      <c r="B75" t="s">
        <v>1611</v>
      </c>
      <c r="C75" t="s">
        <v>3051</v>
      </c>
      <c r="D75" t="s">
        <v>3735</v>
      </c>
      <c r="E75" t="s">
        <v>3825</v>
      </c>
      <c r="F75" t="s">
        <v>3826</v>
      </c>
      <c r="G75" t="s">
        <v>3832</v>
      </c>
      <c r="H75" s="6" t="s">
        <v>6777</v>
      </c>
    </row>
    <row r="76" spans="1:8" ht="153" x14ac:dyDescent="0.2">
      <c r="A76">
        <v>74</v>
      </c>
      <c r="B76" t="s">
        <v>1611</v>
      </c>
      <c r="C76" t="s">
        <v>3051</v>
      </c>
      <c r="D76" t="s">
        <v>3735</v>
      </c>
      <c r="E76" t="s">
        <v>3833</v>
      </c>
      <c r="F76" t="s">
        <v>3834</v>
      </c>
      <c r="G76" t="s">
        <v>3835</v>
      </c>
      <c r="H76" s="6" t="s">
        <v>6778</v>
      </c>
    </row>
    <row r="77" spans="1:8" ht="85" x14ac:dyDescent="0.2">
      <c r="A77">
        <v>75</v>
      </c>
      <c r="B77" t="s">
        <v>1611</v>
      </c>
      <c r="C77" t="s">
        <v>3051</v>
      </c>
      <c r="D77" t="s">
        <v>3735</v>
      </c>
      <c r="E77" t="s">
        <v>3833</v>
      </c>
      <c r="F77" t="s">
        <v>3834</v>
      </c>
      <c r="G77" t="s">
        <v>3836</v>
      </c>
      <c r="H77" s="6" t="s">
        <v>6779</v>
      </c>
    </row>
    <row r="78" spans="1:8" ht="136" x14ac:dyDescent="0.2">
      <c r="A78">
        <v>76</v>
      </c>
      <c r="B78" t="s">
        <v>1611</v>
      </c>
      <c r="C78" t="s">
        <v>3051</v>
      </c>
      <c r="D78" t="s">
        <v>3735</v>
      </c>
      <c r="E78" t="s">
        <v>3833</v>
      </c>
      <c r="F78" t="s">
        <v>3834</v>
      </c>
      <c r="G78" t="s">
        <v>3837</v>
      </c>
      <c r="H78" s="6" t="s">
        <v>6780</v>
      </c>
    </row>
    <row r="79" spans="1:8" ht="102" x14ac:dyDescent="0.2">
      <c r="A79">
        <v>77</v>
      </c>
      <c r="B79" t="s">
        <v>1611</v>
      </c>
      <c r="C79" t="s">
        <v>3051</v>
      </c>
      <c r="D79" t="s">
        <v>3735</v>
      </c>
      <c r="E79" t="s">
        <v>3833</v>
      </c>
      <c r="F79" t="s">
        <v>3834</v>
      </c>
      <c r="G79" t="s">
        <v>3838</v>
      </c>
      <c r="H79" s="6" t="s">
        <v>6781</v>
      </c>
    </row>
    <row r="80" spans="1:8" ht="102" x14ac:dyDescent="0.2">
      <c r="A80">
        <v>78</v>
      </c>
      <c r="B80" t="s">
        <v>1611</v>
      </c>
      <c r="C80" t="s">
        <v>3051</v>
      </c>
      <c r="D80" t="s">
        <v>3735</v>
      </c>
      <c r="E80" t="s">
        <v>3833</v>
      </c>
      <c r="F80" t="s">
        <v>3834</v>
      </c>
      <c r="G80" t="s">
        <v>3839</v>
      </c>
      <c r="H80" s="6" t="s">
        <v>6782</v>
      </c>
    </row>
    <row r="81" spans="1:8" ht="68" x14ac:dyDescent="0.2">
      <c r="A81">
        <v>79</v>
      </c>
      <c r="B81" t="s">
        <v>1611</v>
      </c>
      <c r="C81" t="s">
        <v>3051</v>
      </c>
      <c r="D81" t="s">
        <v>3735</v>
      </c>
      <c r="E81" t="s">
        <v>3833</v>
      </c>
      <c r="F81" t="s">
        <v>3834</v>
      </c>
      <c r="G81" t="s">
        <v>3840</v>
      </c>
      <c r="H81" s="6" t="s">
        <v>6783</v>
      </c>
    </row>
    <row r="82" spans="1:8" ht="153" x14ac:dyDescent="0.2">
      <c r="A82">
        <v>80</v>
      </c>
      <c r="B82" t="s">
        <v>1611</v>
      </c>
      <c r="C82" t="s">
        <v>3051</v>
      </c>
      <c r="D82" t="s">
        <v>3735</v>
      </c>
      <c r="E82" t="s">
        <v>3841</v>
      </c>
      <c r="F82" t="s">
        <v>3842</v>
      </c>
      <c r="G82" t="s">
        <v>3843</v>
      </c>
      <c r="H82" s="6" t="s">
        <v>6784</v>
      </c>
    </row>
    <row r="83" spans="1:8" ht="85" x14ac:dyDescent="0.2">
      <c r="A83">
        <v>81</v>
      </c>
      <c r="B83" t="s">
        <v>1611</v>
      </c>
      <c r="C83" t="s">
        <v>3051</v>
      </c>
      <c r="D83" t="s">
        <v>3735</v>
      </c>
      <c r="E83" t="s">
        <v>3841</v>
      </c>
      <c r="F83" t="s">
        <v>3842</v>
      </c>
      <c r="G83" t="s">
        <v>3844</v>
      </c>
      <c r="H83" s="6" t="s">
        <v>6785</v>
      </c>
    </row>
    <row r="84" spans="1:8" ht="102" x14ac:dyDescent="0.2">
      <c r="A84">
        <v>82</v>
      </c>
      <c r="B84" t="s">
        <v>1611</v>
      </c>
      <c r="C84" t="s">
        <v>3051</v>
      </c>
      <c r="D84" t="s">
        <v>3735</v>
      </c>
      <c r="E84" t="s">
        <v>3841</v>
      </c>
      <c r="F84" t="s">
        <v>3842</v>
      </c>
      <c r="G84" t="s">
        <v>3845</v>
      </c>
      <c r="H84" s="6" t="s">
        <v>6786</v>
      </c>
    </row>
    <row r="85" spans="1:8" ht="85" x14ac:dyDescent="0.2">
      <c r="A85">
        <v>83</v>
      </c>
      <c r="B85" t="s">
        <v>1611</v>
      </c>
      <c r="C85" t="s">
        <v>3051</v>
      </c>
      <c r="D85" t="s">
        <v>3735</v>
      </c>
      <c r="E85" t="s">
        <v>3841</v>
      </c>
      <c r="F85" t="s">
        <v>3842</v>
      </c>
      <c r="G85" t="s">
        <v>3846</v>
      </c>
      <c r="H85" s="6" t="s">
        <v>6787</v>
      </c>
    </row>
    <row r="86" spans="1:8" ht="136" x14ac:dyDescent="0.2">
      <c r="A86">
        <v>84</v>
      </c>
      <c r="B86" t="s">
        <v>1611</v>
      </c>
      <c r="C86" t="s">
        <v>3051</v>
      </c>
      <c r="D86" t="s">
        <v>3735</v>
      </c>
      <c r="E86" t="s">
        <v>3841</v>
      </c>
      <c r="F86" t="s">
        <v>3842</v>
      </c>
      <c r="G86" t="s">
        <v>3847</v>
      </c>
      <c r="H86" s="6" t="s">
        <v>6788</v>
      </c>
    </row>
    <row r="87" spans="1:8" ht="51" x14ac:dyDescent="0.2">
      <c r="A87">
        <v>85</v>
      </c>
      <c r="B87" t="s">
        <v>1611</v>
      </c>
      <c r="C87" t="s">
        <v>3051</v>
      </c>
      <c r="D87" t="s">
        <v>3735</v>
      </c>
      <c r="E87" t="s">
        <v>3841</v>
      </c>
      <c r="F87" t="s">
        <v>3842</v>
      </c>
      <c r="G87" t="s">
        <v>3848</v>
      </c>
      <c r="H87" s="6" t="s">
        <v>6789</v>
      </c>
    </row>
    <row r="88" spans="1:8" ht="153" x14ac:dyDescent="0.2">
      <c r="A88">
        <v>86</v>
      </c>
      <c r="B88" t="s">
        <v>1611</v>
      </c>
      <c r="C88" t="s">
        <v>3051</v>
      </c>
      <c r="D88" t="s">
        <v>3735</v>
      </c>
      <c r="E88" t="s">
        <v>3849</v>
      </c>
      <c r="F88" t="s">
        <v>3850</v>
      </c>
      <c r="G88" t="s">
        <v>3851</v>
      </c>
      <c r="H88" s="6" t="s">
        <v>6790</v>
      </c>
    </row>
    <row r="89" spans="1:8" ht="85" x14ac:dyDescent="0.2">
      <c r="A89">
        <v>87</v>
      </c>
      <c r="B89" t="s">
        <v>1611</v>
      </c>
      <c r="C89" t="s">
        <v>3051</v>
      </c>
      <c r="D89" t="s">
        <v>3735</v>
      </c>
      <c r="E89" t="s">
        <v>3849</v>
      </c>
      <c r="F89" t="s">
        <v>3850</v>
      </c>
      <c r="G89" t="s">
        <v>3852</v>
      </c>
      <c r="H89" s="6" t="s">
        <v>6791</v>
      </c>
    </row>
    <row r="90" spans="1:8" ht="102" x14ac:dyDescent="0.2">
      <c r="A90">
        <v>88</v>
      </c>
      <c r="B90" t="s">
        <v>1611</v>
      </c>
      <c r="C90" t="s">
        <v>3051</v>
      </c>
      <c r="D90" t="s">
        <v>3735</v>
      </c>
      <c r="E90" t="s">
        <v>3849</v>
      </c>
      <c r="F90" t="s">
        <v>3850</v>
      </c>
      <c r="G90" t="s">
        <v>3853</v>
      </c>
      <c r="H90" s="6" t="s">
        <v>6792</v>
      </c>
    </row>
    <row r="91" spans="1:8" ht="85" x14ac:dyDescent="0.2">
      <c r="A91">
        <v>89</v>
      </c>
      <c r="B91" t="s">
        <v>1611</v>
      </c>
      <c r="C91" t="s">
        <v>3051</v>
      </c>
      <c r="D91" t="s">
        <v>3735</v>
      </c>
      <c r="E91" t="s">
        <v>3849</v>
      </c>
      <c r="F91" t="s">
        <v>3850</v>
      </c>
      <c r="G91" t="s">
        <v>3854</v>
      </c>
      <c r="H91" s="6" t="s">
        <v>6793</v>
      </c>
    </row>
    <row r="92" spans="1:8" ht="102" x14ac:dyDescent="0.2">
      <c r="A92">
        <v>90</v>
      </c>
      <c r="B92" t="s">
        <v>1611</v>
      </c>
      <c r="C92" t="s">
        <v>3051</v>
      </c>
      <c r="D92" t="s">
        <v>3735</v>
      </c>
      <c r="E92" t="s">
        <v>3849</v>
      </c>
      <c r="F92" t="s">
        <v>3850</v>
      </c>
      <c r="G92" t="s">
        <v>3855</v>
      </c>
      <c r="H92" s="6" t="s">
        <v>6794</v>
      </c>
    </row>
    <row r="93" spans="1:8" ht="68" x14ac:dyDescent="0.2">
      <c r="A93">
        <v>91</v>
      </c>
      <c r="B93" t="s">
        <v>1611</v>
      </c>
      <c r="C93" t="s">
        <v>3051</v>
      </c>
      <c r="D93" t="s">
        <v>3735</v>
      </c>
      <c r="E93" t="s">
        <v>3849</v>
      </c>
      <c r="F93" t="s">
        <v>3850</v>
      </c>
      <c r="G93" t="s">
        <v>3856</v>
      </c>
      <c r="H93" s="6" t="s">
        <v>6795</v>
      </c>
    </row>
    <row r="94" spans="1:8" ht="153" x14ac:dyDescent="0.2">
      <c r="A94">
        <v>92</v>
      </c>
      <c r="B94" t="s">
        <v>1611</v>
      </c>
      <c r="C94" t="s">
        <v>3051</v>
      </c>
      <c r="D94" t="s">
        <v>3735</v>
      </c>
      <c r="E94" t="s">
        <v>3857</v>
      </c>
      <c r="F94" t="s">
        <v>3858</v>
      </c>
      <c r="G94" t="s">
        <v>3859</v>
      </c>
      <c r="H94" s="6" t="s">
        <v>6796</v>
      </c>
    </row>
    <row r="95" spans="1:8" ht="85" x14ac:dyDescent="0.2">
      <c r="A95">
        <v>93</v>
      </c>
      <c r="B95" t="s">
        <v>1611</v>
      </c>
      <c r="C95" t="s">
        <v>3051</v>
      </c>
      <c r="D95" t="s">
        <v>3735</v>
      </c>
      <c r="E95" t="s">
        <v>3857</v>
      </c>
      <c r="F95" t="s">
        <v>3858</v>
      </c>
      <c r="G95" t="s">
        <v>3860</v>
      </c>
      <c r="H95" s="6" t="s">
        <v>6797</v>
      </c>
    </row>
    <row r="96" spans="1:8" ht="102" x14ac:dyDescent="0.2">
      <c r="A96">
        <v>94</v>
      </c>
      <c r="B96" t="s">
        <v>1611</v>
      </c>
      <c r="C96" t="s">
        <v>3051</v>
      </c>
      <c r="D96" t="s">
        <v>3735</v>
      </c>
      <c r="E96" t="s">
        <v>3857</v>
      </c>
      <c r="F96" t="s">
        <v>3858</v>
      </c>
      <c r="G96" t="s">
        <v>3861</v>
      </c>
      <c r="H96" s="6" t="s">
        <v>6798</v>
      </c>
    </row>
    <row r="97" spans="1:8" ht="85" x14ac:dyDescent="0.2">
      <c r="A97">
        <v>95</v>
      </c>
      <c r="B97" t="s">
        <v>1611</v>
      </c>
      <c r="C97" t="s">
        <v>3051</v>
      </c>
      <c r="D97" t="s">
        <v>3735</v>
      </c>
      <c r="E97" t="s">
        <v>3857</v>
      </c>
      <c r="F97" t="s">
        <v>3858</v>
      </c>
      <c r="G97" t="s">
        <v>3862</v>
      </c>
      <c r="H97" s="6" t="s">
        <v>6799</v>
      </c>
    </row>
    <row r="98" spans="1:8" ht="136" x14ac:dyDescent="0.2">
      <c r="A98">
        <v>96</v>
      </c>
      <c r="B98" t="s">
        <v>1611</v>
      </c>
      <c r="C98" t="s">
        <v>3051</v>
      </c>
      <c r="D98" t="s">
        <v>3735</v>
      </c>
      <c r="E98" t="s">
        <v>3857</v>
      </c>
      <c r="F98" t="s">
        <v>3858</v>
      </c>
      <c r="G98" t="s">
        <v>3863</v>
      </c>
      <c r="H98" s="6" t="s">
        <v>6800</v>
      </c>
    </row>
    <row r="99" spans="1:8" ht="68" x14ac:dyDescent="0.2">
      <c r="A99">
        <v>97</v>
      </c>
      <c r="B99" t="s">
        <v>1611</v>
      </c>
      <c r="C99" t="s">
        <v>3051</v>
      </c>
      <c r="D99" t="s">
        <v>3735</v>
      </c>
      <c r="E99" t="s">
        <v>3857</v>
      </c>
      <c r="F99" t="s">
        <v>3858</v>
      </c>
      <c r="G99" t="s">
        <v>3864</v>
      </c>
      <c r="H99" s="6" t="s">
        <v>6801</v>
      </c>
    </row>
    <row r="100" spans="1:8" ht="153" x14ac:dyDescent="0.2">
      <c r="A100">
        <v>98</v>
      </c>
      <c r="B100" t="s">
        <v>1611</v>
      </c>
      <c r="C100" t="s">
        <v>3051</v>
      </c>
      <c r="D100" t="s">
        <v>3735</v>
      </c>
      <c r="E100" t="s">
        <v>3865</v>
      </c>
      <c r="F100" t="s">
        <v>3866</v>
      </c>
      <c r="G100" t="s">
        <v>3867</v>
      </c>
      <c r="H100" s="6" t="s">
        <v>6802</v>
      </c>
    </row>
    <row r="101" spans="1:8" ht="85" x14ac:dyDescent="0.2">
      <c r="A101">
        <v>99</v>
      </c>
      <c r="B101" t="s">
        <v>1611</v>
      </c>
      <c r="C101" t="s">
        <v>3051</v>
      </c>
      <c r="D101" t="s">
        <v>3735</v>
      </c>
      <c r="E101" t="s">
        <v>3865</v>
      </c>
      <c r="F101" t="s">
        <v>3866</v>
      </c>
      <c r="G101" t="s">
        <v>3868</v>
      </c>
      <c r="H101" s="6" t="s">
        <v>6803</v>
      </c>
    </row>
    <row r="102" spans="1:8" ht="102" x14ac:dyDescent="0.2">
      <c r="A102">
        <v>100</v>
      </c>
      <c r="B102" t="s">
        <v>1611</v>
      </c>
      <c r="C102" t="s">
        <v>3051</v>
      </c>
      <c r="D102" t="s">
        <v>3735</v>
      </c>
      <c r="E102" t="s">
        <v>3865</v>
      </c>
      <c r="F102" t="s">
        <v>3866</v>
      </c>
      <c r="G102" t="s">
        <v>3869</v>
      </c>
      <c r="H102" s="6" t="s">
        <v>6804</v>
      </c>
    </row>
    <row r="103" spans="1:8" ht="85" x14ac:dyDescent="0.2">
      <c r="A103">
        <v>101</v>
      </c>
      <c r="B103" t="s">
        <v>1611</v>
      </c>
      <c r="C103" t="s">
        <v>3051</v>
      </c>
      <c r="D103" t="s">
        <v>3735</v>
      </c>
      <c r="E103" t="s">
        <v>3865</v>
      </c>
      <c r="F103" t="s">
        <v>3866</v>
      </c>
      <c r="G103" t="s">
        <v>3870</v>
      </c>
      <c r="H103" s="6" t="s">
        <v>6787</v>
      </c>
    </row>
    <row r="104" spans="1:8" ht="102" x14ac:dyDescent="0.2">
      <c r="A104">
        <v>102</v>
      </c>
      <c r="B104" t="s">
        <v>1611</v>
      </c>
      <c r="C104" t="s">
        <v>3051</v>
      </c>
      <c r="D104" t="s">
        <v>3735</v>
      </c>
      <c r="E104" t="s">
        <v>3865</v>
      </c>
      <c r="F104" t="s">
        <v>3866</v>
      </c>
      <c r="G104" t="s">
        <v>3871</v>
      </c>
      <c r="H104" s="6" t="s">
        <v>6805</v>
      </c>
    </row>
    <row r="105" spans="1:8" ht="51" x14ac:dyDescent="0.2">
      <c r="A105">
        <v>103</v>
      </c>
      <c r="B105" t="s">
        <v>1611</v>
      </c>
      <c r="C105" t="s">
        <v>3051</v>
      </c>
      <c r="D105" t="s">
        <v>3735</v>
      </c>
      <c r="E105" t="s">
        <v>3865</v>
      </c>
      <c r="F105" t="s">
        <v>3866</v>
      </c>
      <c r="G105" t="s">
        <v>3872</v>
      </c>
      <c r="H105" s="6" t="s">
        <v>6806</v>
      </c>
    </row>
    <row r="106" spans="1:8" ht="153" x14ac:dyDescent="0.2">
      <c r="A106">
        <v>104</v>
      </c>
      <c r="B106" t="s">
        <v>1611</v>
      </c>
      <c r="C106" t="s">
        <v>3051</v>
      </c>
      <c r="D106" t="s">
        <v>3735</v>
      </c>
      <c r="E106" t="s">
        <v>3873</v>
      </c>
      <c r="F106" t="s">
        <v>3874</v>
      </c>
      <c r="G106" t="s">
        <v>3875</v>
      </c>
      <c r="H106" s="6" t="s">
        <v>6807</v>
      </c>
    </row>
    <row r="107" spans="1:8" ht="85" x14ac:dyDescent="0.2">
      <c r="A107">
        <v>105</v>
      </c>
      <c r="B107" t="s">
        <v>1611</v>
      </c>
      <c r="C107" t="s">
        <v>3051</v>
      </c>
      <c r="D107" t="s">
        <v>3735</v>
      </c>
      <c r="E107" t="s">
        <v>3873</v>
      </c>
      <c r="F107" t="s">
        <v>3874</v>
      </c>
      <c r="G107" t="s">
        <v>3876</v>
      </c>
      <c r="H107" s="6" t="s">
        <v>6808</v>
      </c>
    </row>
    <row r="108" spans="1:8" ht="85" x14ac:dyDescent="0.2">
      <c r="A108">
        <v>106</v>
      </c>
      <c r="B108" t="s">
        <v>1611</v>
      </c>
      <c r="C108" t="s">
        <v>3051</v>
      </c>
      <c r="D108" t="s">
        <v>3735</v>
      </c>
      <c r="E108" t="s">
        <v>3873</v>
      </c>
      <c r="F108" t="s">
        <v>3874</v>
      </c>
      <c r="G108" t="s">
        <v>3877</v>
      </c>
      <c r="H108" s="6" t="s">
        <v>6809</v>
      </c>
    </row>
    <row r="109" spans="1:8" ht="153" x14ac:dyDescent="0.2">
      <c r="A109">
        <v>107</v>
      </c>
      <c r="B109" t="s">
        <v>1611</v>
      </c>
      <c r="C109" t="s">
        <v>3051</v>
      </c>
      <c r="D109" t="s">
        <v>3735</v>
      </c>
      <c r="E109" t="s">
        <v>3878</v>
      </c>
      <c r="F109" t="s">
        <v>3879</v>
      </c>
      <c r="G109" t="s">
        <v>3880</v>
      </c>
      <c r="H109" s="6" t="s">
        <v>6810</v>
      </c>
    </row>
    <row r="110" spans="1:8" ht="85" x14ac:dyDescent="0.2">
      <c r="A110">
        <v>108</v>
      </c>
      <c r="B110" t="s">
        <v>1611</v>
      </c>
      <c r="C110" t="s">
        <v>3051</v>
      </c>
      <c r="D110" t="s">
        <v>3735</v>
      </c>
      <c r="E110" t="s">
        <v>3878</v>
      </c>
      <c r="F110" t="s">
        <v>3879</v>
      </c>
      <c r="G110" t="s">
        <v>3881</v>
      </c>
      <c r="H110" s="6" t="s">
        <v>6811</v>
      </c>
    </row>
    <row r="111" spans="1:8" ht="136" x14ac:dyDescent="0.2">
      <c r="A111">
        <v>109</v>
      </c>
      <c r="B111" t="s">
        <v>1611</v>
      </c>
      <c r="C111" t="s">
        <v>3051</v>
      </c>
      <c r="D111" t="s">
        <v>3735</v>
      </c>
      <c r="E111" t="s">
        <v>3878</v>
      </c>
      <c r="F111" t="s">
        <v>3879</v>
      </c>
      <c r="G111" t="s">
        <v>3882</v>
      </c>
      <c r="H111" s="6" t="s">
        <v>6812</v>
      </c>
    </row>
    <row r="112" spans="1:8" ht="102" x14ac:dyDescent="0.2">
      <c r="A112">
        <v>110</v>
      </c>
      <c r="B112" t="s">
        <v>1611</v>
      </c>
      <c r="C112" t="s">
        <v>3051</v>
      </c>
      <c r="D112" t="s">
        <v>3735</v>
      </c>
      <c r="E112" t="s">
        <v>3878</v>
      </c>
      <c r="F112" t="s">
        <v>3879</v>
      </c>
      <c r="G112" t="s">
        <v>3883</v>
      </c>
      <c r="H112" s="6" t="s">
        <v>6813</v>
      </c>
    </row>
    <row r="113" spans="1:8" ht="102" x14ac:dyDescent="0.2">
      <c r="A113">
        <v>111</v>
      </c>
      <c r="B113" t="s">
        <v>1611</v>
      </c>
      <c r="C113" t="s">
        <v>3051</v>
      </c>
      <c r="D113" t="s">
        <v>3735</v>
      </c>
      <c r="E113" t="s">
        <v>3878</v>
      </c>
      <c r="F113" t="s">
        <v>3879</v>
      </c>
      <c r="G113" t="s">
        <v>3884</v>
      </c>
      <c r="H113" s="6" t="s">
        <v>6814</v>
      </c>
    </row>
    <row r="114" spans="1:8" ht="51" x14ac:dyDescent="0.2">
      <c r="A114">
        <v>112</v>
      </c>
      <c r="B114" t="s">
        <v>1611</v>
      </c>
      <c r="C114" t="s">
        <v>3051</v>
      </c>
      <c r="D114" t="s">
        <v>3735</v>
      </c>
      <c r="E114" t="s">
        <v>3878</v>
      </c>
      <c r="F114" t="s">
        <v>3879</v>
      </c>
      <c r="G114" t="s">
        <v>3885</v>
      </c>
      <c r="H114" s="6" t="s">
        <v>6815</v>
      </c>
    </row>
    <row r="115" spans="1:8" ht="153" x14ac:dyDescent="0.2">
      <c r="A115">
        <v>113</v>
      </c>
      <c r="B115" t="s">
        <v>1611</v>
      </c>
      <c r="C115" t="s">
        <v>3051</v>
      </c>
      <c r="D115" t="s">
        <v>3735</v>
      </c>
      <c r="E115" t="s">
        <v>3886</v>
      </c>
      <c r="F115" t="s">
        <v>3887</v>
      </c>
      <c r="G115" t="s">
        <v>3888</v>
      </c>
      <c r="H115" s="6" t="s">
        <v>6816</v>
      </c>
    </row>
    <row r="116" spans="1:8" ht="85" x14ac:dyDescent="0.2">
      <c r="A116">
        <v>114</v>
      </c>
      <c r="B116" t="s">
        <v>1611</v>
      </c>
      <c r="C116" t="s">
        <v>3051</v>
      </c>
      <c r="D116" t="s">
        <v>3735</v>
      </c>
      <c r="E116" t="s">
        <v>3886</v>
      </c>
      <c r="F116" t="s">
        <v>3887</v>
      </c>
      <c r="G116" t="s">
        <v>3889</v>
      </c>
      <c r="H116" s="6" t="s">
        <v>6817</v>
      </c>
    </row>
    <row r="117" spans="1:8" ht="102" x14ac:dyDescent="0.2">
      <c r="A117">
        <v>115</v>
      </c>
      <c r="B117" t="s">
        <v>1611</v>
      </c>
      <c r="C117" t="s">
        <v>3051</v>
      </c>
      <c r="D117" t="s">
        <v>3735</v>
      </c>
      <c r="E117" t="s">
        <v>3886</v>
      </c>
      <c r="F117" t="s">
        <v>3887</v>
      </c>
      <c r="G117" t="s">
        <v>3890</v>
      </c>
      <c r="H117" s="6" t="s">
        <v>6818</v>
      </c>
    </row>
    <row r="118" spans="1:8" ht="85" x14ac:dyDescent="0.2">
      <c r="A118">
        <v>116</v>
      </c>
      <c r="B118" t="s">
        <v>1611</v>
      </c>
      <c r="C118" t="s">
        <v>3051</v>
      </c>
      <c r="D118" t="s">
        <v>3735</v>
      </c>
      <c r="E118" t="s">
        <v>3886</v>
      </c>
      <c r="F118" t="s">
        <v>3887</v>
      </c>
      <c r="G118" t="s">
        <v>3891</v>
      </c>
      <c r="H118" s="6" t="s">
        <v>6787</v>
      </c>
    </row>
    <row r="119" spans="1:8" ht="102" x14ac:dyDescent="0.2">
      <c r="A119">
        <v>117</v>
      </c>
      <c r="B119" t="s">
        <v>1611</v>
      </c>
      <c r="C119" t="s">
        <v>3051</v>
      </c>
      <c r="D119" t="s">
        <v>3735</v>
      </c>
      <c r="E119" t="s">
        <v>3886</v>
      </c>
      <c r="F119" t="s">
        <v>3887</v>
      </c>
      <c r="G119" t="s">
        <v>3892</v>
      </c>
      <c r="H119" s="6" t="s">
        <v>6819</v>
      </c>
    </row>
    <row r="120" spans="1:8" ht="68" x14ac:dyDescent="0.2">
      <c r="A120">
        <v>118</v>
      </c>
      <c r="B120" t="s">
        <v>1611</v>
      </c>
      <c r="C120" t="s">
        <v>3051</v>
      </c>
      <c r="D120" t="s">
        <v>3735</v>
      </c>
      <c r="E120" t="s">
        <v>3886</v>
      </c>
      <c r="F120" t="s">
        <v>3887</v>
      </c>
      <c r="G120" t="s">
        <v>3893</v>
      </c>
      <c r="H120" s="6" t="s">
        <v>6820</v>
      </c>
    </row>
    <row r="121" spans="1:8" ht="153" x14ac:dyDescent="0.2">
      <c r="A121">
        <v>119</v>
      </c>
      <c r="B121" t="s">
        <v>1611</v>
      </c>
      <c r="C121" t="s">
        <v>3051</v>
      </c>
      <c r="D121" t="s">
        <v>3735</v>
      </c>
      <c r="E121" t="s">
        <v>3894</v>
      </c>
      <c r="F121" t="s">
        <v>3895</v>
      </c>
      <c r="G121" t="s">
        <v>3896</v>
      </c>
      <c r="H121" s="6" t="s">
        <v>6821</v>
      </c>
    </row>
    <row r="122" spans="1:8" ht="85" x14ac:dyDescent="0.2">
      <c r="A122">
        <v>120</v>
      </c>
      <c r="B122" t="s">
        <v>1611</v>
      </c>
      <c r="C122" t="s">
        <v>3051</v>
      </c>
      <c r="D122" t="s">
        <v>3735</v>
      </c>
      <c r="E122" t="s">
        <v>3894</v>
      </c>
      <c r="F122" t="s">
        <v>3895</v>
      </c>
      <c r="G122" t="s">
        <v>3897</v>
      </c>
      <c r="H122" s="6" t="s">
        <v>6822</v>
      </c>
    </row>
    <row r="123" spans="1:8" ht="102" x14ac:dyDescent="0.2">
      <c r="A123">
        <v>121</v>
      </c>
      <c r="B123" t="s">
        <v>1611</v>
      </c>
      <c r="C123" t="s">
        <v>3051</v>
      </c>
      <c r="D123" t="s">
        <v>3735</v>
      </c>
      <c r="E123" t="s">
        <v>3894</v>
      </c>
      <c r="F123" t="s">
        <v>3895</v>
      </c>
      <c r="G123" t="s">
        <v>3898</v>
      </c>
      <c r="H123" s="6" t="s">
        <v>6823</v>
      </c>
    </row>
    <row r="124" spans="1:8" ht="102" x14ac:dyDescent="0.2">
      <c r="A124">
        <v>122</v>
      </c>
      <c r="B124" t="s">
        <v>1611</v>
      </c>
      <c r="C124" t="s">
        <v>3051</v>
      </c>
      <c r="D124" t="s">
        <v>3735</v>
      </c>
      <c r="E124" t="s">
        <v>3894</v>
      </c>
      <c r="F124" t="s">
        <v>3895</v>
      </c>
      <c r="G124" t="s">
        <v>3899</v>
      </c>
      <c r="H124" s="6" t="s">
        <v>6824</v>
      </c>
    </row>
    <row r="125" spans="1:8" ht="102" x14ac:dyDescent="0.2">
      <c r="A125">
        <v>123</v>
      </c>
      <c r="B125" t="s">
        <v>1611</v>
      </c>
      <c r="C125" t="s">
        <v>3051</v>
      </c>
      <c r="D125" t="s">
        <v>3735</v>
      </c>
      <c r="E125" t="s">
        <v>3894</v>
      </c>
      <c r="F125" t="s">
        <v>3895</v>
      </c>
      <c r="G125" t="s">
        <v>3900</v>
      </c>
      <c r="H125" s="6" t="s">
        <v>6825</v>
      </c>
    </row>
    <row r="126" spans="1:8" ht="51" x14ac:dyDescent="0.2">
      <c r="A126">
        <v>124</v>
      </c>
      <c r="B126" t="s">
        <v>1611</v>
      </c>
      <c r="C126" t="s">
        <v>3051</v>
      </c>
      <c r="D126" t="s">
        <v>3735</v>
      </c>
      <c r="E126" t="s">
        <v>3894</v>
      </c>
      <c r="F126" t="s">
        <v>3895</v>
      </c>
      <c r="G126" t="s">
        <v>3901</v>
      </c>
      <c r="H126" s="6" t="s">
        <v>6826</v>
      </c>
    </row>
    <row r="127" spans="1:8" ht="153" x14ac:dyDescent="0.2">
      <c r="A127">
        <v>125</v>
      </c>
      <c r="B127" t="s">
        <v>1611</v>
      </c>
      <c r="C127" t="s">
        <v>3051</v>
      </c>
      <c r="D127" t="s">
        <v>3735</v>
      </c>
      <c r="E127" t="s">
        <v>3902</v>
      </c>
      <c r="F127" t="s">
        <v>3903</v>
      </c>
      <c r="G127" t="s">
        <v>3904</v>
      </c>
      <c r="H127" s="6" t="s">
        <v>6827</v>
      </c>
    </row>
    <row r="128" spans="1:8" ht="85" x14ac:dyDescent="0.2">
      <c r="A128">
        <v>126</v>
      </c>
      <c r="B128" t="s">
        <v>1611</v>
      </c>
      <c r="C128" t="s">
        <v>3051</v>
      </c>
      <c r="D128" t="s">
        <v>3735</v>
      </c>
      <c r="E128" t="s">
        <v>3902</v>
      </c>
      <c r="F128" t="s">
        <v>3903</v>
      </c>
      <c r="G128" t="s">
        <v>3905</v>
      </c>
      <c r="H128" s="6" t="s">
        <v>6828</v>
      </c>
    </row>
    <row r="129" spans="1:8" ht="119" x14ac:dyDescent="0.2">
      <c r="A129">
        <v>127</v>
      </c>
      <c r="B129" t="s">
        <v>1611</v>
      </c>
      <c r="C129" t="s">
        <v>3051</v>
      </c>
      <c r="D129" t="s">
        <v>3735</v>
      </c>
      <c r="E129" t="s">
        <v>3902</v>
      </c>
      <c r="F129" t="s">
        <v>3903</v>
      </c>
      <c r="G129" t="s">
        <v>3906</v>
      </c>
      <c r="H129" s="6" t="s">
        <v>6829</v>
      </c>
    </row>
    <row r="130" spans="1:8" ht="102" x14ac:dyDescent="0.2">
      <c r="A130">
        <v>128</v>
      </c>
      <c r="B130" t="s">
        <v>1611</v>
      </c>
      <c r="C130" t="s">
        <v>3051</v>
      </c>
      <c r="D130" t="s">
        <v>3735</v>
      </c>
      <c r="E130" t="s">
        <v>3902</v>
      </c>
      <c r="F130" t="s">
        <v>3903</v>
      </c>
      <c r="G130" t="s">
        <v>3907</v>
      </c>
      <c r="H130" s="6" t="s">
        <v>6830</v>
      </c>
    </row>
    <row r="131" spans="1:8" ht="102" x14ac:dyDescent="0.2">
      <c r="A131">
        <v>129</v>
      </c>
      <c r="B131" t="s">
        <v>1611</v>
      </c>
      <c r="C131" t="s">
        <v>3051</v>
      </c>
      <c r="D131" t="s">
        <v>3735</v>
      </c>
      <c r="E131" t="s">
        <v>3902</v>
      </c>
      <c r="F131" t="s">
        <v>3903</v>
      </c>
      <c r="G131" t="s">
        <v>3908</v>
      </c>
      <c r="H131" s="6" t="s">
        <v>6831</v>
      </c>
    </row>
    <row r="132" spans="1:8" ht="68" x14ac:dyDescent="0.2">
      <c r="A132">
        <v>130</v>
      </c>
      <c r="B132" t="s">
        <v>1611</v>
      </c>
      <c r="C132" t="s">
        <v>3051</v>
      </c>
      <c r="D132" t="s">
        <v>3735</v>
      </c>
      <c r="E132" t="s">
        <v>3902</v>
      </c>
      <c r="F132" t="s">
        <v>3903</v>
      </c>
      <c r="G132" t="s">
        <v>3909</v>
      </c>
      <c r="H132" s="6" t="s">
        <v>6832</v>
      </c>
    </row>
    <row r="133" spans="1:8" ht="153" x14ac:dyDescent="0.2">
      <c r="A133">
        <v>131</v>
      </c>
      <c r="B133" t="s">
        <v>1611</v>
      </c>
      <c r="C133" t="s">
        <v>3051</v>
      </c>
      <c r="D133" t="s">
        <v>3735</v>
      </c>
      <c r="E133" t="s">
        <v>3910</v>
      </c>
      <c r="F133" t="s">
        <v>3911</v>
      </c>
      <c r="G133" t="s">
        <v>3912</v>
      </c>
      <c r="H133" s="6" t="s">
        <v>6833</v>
      </c>
    </row>
    <row r="134" spans="1:8" ht="85" x14ac:dyDescent="0.2">
      <c r="A134">
        <v>132</v>
      </c>
      <c r="B134" t="s">
        <v>1611</v>
      </c>
      <c r="C134" t="s">
        <v>3051</v>
      </c>
      <c r="D134" t="s">
        <v>3735</v>
      </c>
      <c r="E134" t="s">
        <v>3910</v>
      </c>
      <c r="F134" t="s">
        <v>3911</v>
      </c>
      <c r="G134" t="s">
        <v>3913</v>
      </c>
      <c r="H134" s="6" t="s">
        <v>6834</v>
      </c>
    </row>
    <row r="135" spans="1:8" ht="102" x14ac:dyDescent="0.2">
      <c r="A135">
        <v>133</v>
      </c>
      <c r="B135" t="s">
        <v>1611</v>
      </c>
      <c r="C135" t="s">
        <v>3051</v>
      </c>
      <c r="D135" t="s">
        <v>3735</v>
      </c>
      <c r="E135" t="s">
        <v>3910</v>
      </c>
      <c r="F135" t="s">
        <v>3911</v>
      </c>
      <c r="G135" t="s">
        <v>3914</v>
      </c>
      <c r="H135" s="6" t="s">
        <v>6738</v>
      </c>
    </row>
    <row r="136" spans="1:8" ht="136" x14ac:dyDescent="0.2">
      <c r="A136">
        <v>134</v>
      </c>
      <c r="B136" t="s">
        <v>1611</v>
      </c>
      <c r="C136" t="s">
        <v>3051</v>
      </c>
      <c r="D136" t="s">
        <v>3735</v>
      </c>
      <c r="E136" t="s">
        <v>3910</v>
      </c>
      <c r="F136" t="s">
        <v>3911</v>
      </c>
      <c r="G136" t="s">
        <v>3915</v>
      </c>
      <c r="H136" s="6" t="s">
        <v>6835</v>
      </c>
    </row>
    <row r="137" spans="1:8" ht="119" x14ac:dyDescent="0.2">
      <c r="A137">
        <v>135</v>
      </c>
      <c r="B137" t="s">
        <v>1611</v>
      </c>
      <c r="C137" t="s">
        <v>3051</v>
      </c>
      <c r="D137" t="s">
        <v>3735</v>
      </c>
      <c r="E137" t="s">
        <v>3910</v>
      </c>
      <c r="F137" t="s">
        <v>3911</v>
      </c>
      <c r="G137" t="s">
        <v>3916</v>
      </c>
      <c r="H137" s="6" t="s">
        <v>6836</v>
      </c>
    </row>
    <row r="138" spans="1:8" ht="85" x14ac:dyDescent="0.2">
      <c r="A138">
        <v>136</v>
      </c>
      <c r="B138" t="s">
        <v>1611</v>
      </c>
      <c r="C138" t="s">
        <v>3051</v>
      </c>
      <c r="D138" t="s">
        <v>3735</v>
      </c>
      <c r="E138" t="s">
        <v>3910</v>
      </c>
      <c r="F138" t="s">
        <v>3911</v>
      </c>
      <c r="G138" t="s">
        <v>3917</v>
      </c>
      <c r="H138" s="6" t="s">
        <v>6837</v>
      </c>
    </row>
    <row r="139" spans="1:8" ht="153" x14ac:dyDescent="0.2">
      <c r="A139">
        <v>137</v>
      </c>
      <c r="B139" t="s">
        <v>1611</v>
      </c>
      <c r="C139" t="s">
        <v>3051</v>
      </c>
      <c r="D139" t="s">
        <v>3735</v>
      </c>
      <c r="E139" t="s">
        <v>3918</v>
      </c>
      <c r="F139" t="s">
        <v>3919</v>
      </c>
      <c r="G139" t="s">
        <v>3920</v>
      </c>
      <c r="H139" s="6" t="s">
        <v>6838</v>
      </c>
    </row>
    <row r="140" spans="1:8" ht="85" x14ac:dyDescent="0.2">
      <c r="A140">
        <v>138</v>
      </c>
      <c r="B140" t="s">
        <v>1611</v>
      </c>
      <c r="C140" t="s">
        <v>3051</v>
      </c>
      <c r="D140" t="s">
        <v>3735</v>
      </c>
      <c r="E140" t="s">
        <v>3918</v>
      </c>
      <c r="F140" t="s">
        <v>3919</v>
      </c>
      <c r="G140" t="s">
        <v>3921</v>
      </c>
      <c r="H140" s="6" t="s">
        <v>6839</v>
      </c>
    </row>
    <row r="141" spans="1:8" ht="102" x14ac:dyDescent="0.2">
      <c r="A141">
        <v>139</v>
      </c>
      <c r="B141" t="s">
        <v>1611</v>
      </c>
      <c r="C141" t="s">
        <v>3051</v>
      </c>
      <c r="D141" t="s">
        <v>3735</v>
      </c>
      <c r="E141" t="s">
        <v>3918</v>
      </c>
      <c r="F141" t="s">
        <v>3919</v>
      </c>
      <c r="G141" t="s">
        <v>3922</v>
      </c>
      <c r="H141" s="6" t="s">
        <v>6840</v>
      </c>
    </row>
    <row r="142" spans="1:8" ht="340" x14ac:dyDescent="0.2">
      <c r="A142">
        <v>140</v>
      </c>
      <c r="B142" t="s">
        <v>1611</v>
      </c>
      <c r="C142" t="s">
        <v>3051</v>
      </c>
      <c r="D142" t="s">
        <v>3735</v>
      </c>
      <c r="E142" t="s">
        <v>3918</v>
      </c>
      <c r="F142" t="s">
        <v>3919</v>
      </c>
      <c r="G142" t="s">
        <v>3923</v>
      </c>
      <c r="H142" s="6" t="s">
        <v>6841</v>
      </c>
    </row>
    <row r="143" spans="1:8" ht="153" x14ac:dyDescent="0.2">
      <c r="A143">
        <v>141</v>
      </c>
      <c r="B143" t="s">
        <v>1611</v>
      </c>
      <c r="C143" t="s">
        <v>3051</v>
      </c>
      <c r="D143" t="s">
        <v>3735</v>
      </c>
      <c r="E143" t="s">
        <v>3924</v>
      </c>
      <c r="F143" t="s">
        <v>3925</v>
      </c>
      <c r="G143" t="s">
        <v>3926</v>
      </c>
      <c r="H143" s="6" t="s">
        <v>6842</v>
      </c>
    </row>
    <row r="144" spans="1:8" ht="85" x14ac:dyDescent="0.2">
      <c r="A144">
        <v>142</v>
      </c>
      <c r="B144" t="s">
        <v>1611</v>
      </c>
      <c r="C144" t="s">
        <v>3051</v>
      </c>
      <c r="D144" t="s">
        <v>3735</v>
      </c>
      <c r="E144" t="s">
        <v>3924</v>
      </c>
      <c r="F144" t="s">
        <v>3925</v>
      </c>
      <c r="G144" t="s">
        <v>3927</v>
      </c>
      <c r="H144" s="6" t="s">
        <v>6843</v>
      </c>
    </row>
    <row r="145" spans="1:8" ht="119" x14ac:dyDescent="0.2">
      <c r="A145">
        <v>143</v>
      </c>
      <c r="B145" t="s">
        <v>1611</v>
      </c>
      <c r="C145" t="s">
        <v>3051</v>
      </c>
      <c r="D145" t="s">
        <v>3735</v>
      </c>
      <c r="E145" t="s">
        <v>3924</v>
      </c>
      <c r="F145" t="s">
        <v>3925</v>
      </c>
      <c r="G145" t="s">
        <v>3928</v>
      </c>
      <c r="H145" s="6" t="s">
        <v>6844</v>
      </c>
    </row>
    <row r="146" spans="1:8" ht="102" x14ac:dyDescent="0.2">
      <c r="A146">
        <v>144</v>
      </c>
      <c r="B146" t="s">
        <v>1611</v>
      </c>
      <c r="C146" t="s">
        <v>3051</v>
      </c>
      <c r="D146" t="s">
        <v>3735</v>
      </c>
      <c r="E146" t="s">
        <v>3924</v>
      </c>
      <c r="F146" t="s">
        <v>3925</v>
      </c>
      <c r="G146" t="s">
        <v>3929</v>
      </c>
      <c r="H146" s="6" t="s">
        <v>6845</v>
      </c>
    </row>
    <row r="147" spans="1:8" ht="102" x14ac:dyDescent="0.2">
      <c r="A147">
        <v>145</v>
      </c>
      <c r="B147" t="s">
        <v>1611</v>
      </c>
      <c r="C147" t="s">
        <v>3051</v>
      </c>
      <c r="D147" t="s">
        <v>3735</v>
      </c>
      <c r="E147" t="s">
        <v>3924</v>
      </c>
      <c r="F147" t="s">
        <v>3925</v>
      </c>
      <c r="G147" t="s">
        <v>3930</v>
      </c>
      <c r="H147" s="6" t="s">
        <v>6846</v>
      </c>
    </row>
    <row r="148" spans="1:8" ht="68" x14ac:dyDescent="0.2">
      <c r="A148">
        <v>146</v>
      </c>
      <c r="B148" t="s">
        <v>1611</v>
      </c>
      <c r="C148" t="s">
        <v>3051</v>
      </c>
      <c r="D148" t="s">
        <v>3735</v>
      </c>
      <c r="E148" t="s">
        <v>3924</v>
      </c>
      <c r="F148" t="s">
        <v>3925</v>
      </c>
      <c r="G148" t="s">
        <v>3931</v>
      </c>
      <c r="H148" s="6" t="s">
        <v>6847</v>
      </c>
    </row>
    <row r="149" spans="1:8" ht="153" x14ac:dyDescent="0.2">
      <c r="A149">
        <v>147</v>
      </c>
      <c r="B149" t="s">
        <v>1611</v>
      </c>
      <c r="C149" t="s">
        <v>3051</v>
      </c>
      <c r="D149" t="s">
        <v>3735</v>
      </c>
      <c r="E149" t="s">
        <v>3932</v>
      </c>
      <c r="F149" t="s">
        <v>3933</v>
      </c>
      <c r="G149" t="s">
        <v>3934</v>
      </c>
      <c r="H149" s="6" t="s">
        <v>6848</v>
      </c>
    </row>
    <row r="150" spans="1:8" ht="85" x14ac:dyDescent="0.2">
      <c r="A150">
        <v>148</v>
      </c>
      <c r="B150" t="s">
        <v>1611</v>
      </c>
      <c r="C150" t="s">
        <v>3051</v>
      </c>
      <c r="D150" t="s">
        <v>3735</v>
      </c>
      <c r="E150" t="s">
        <v>3932</v>
      </c>
      <c r="F150" t="s">
        <v>3933</v>
      </c>
      <c r="G150" t="s">
        <v>3935</v>
      </c>
      <c r="H150" s="6" t="s">
        <v>6849</v>
      </c>
    </row>
    <row r="151" spans="1:8" ht="136" x14ac:dyDescent="0.2">
      <c r="A151">
        <v>149</v>
      </c>
      <c r="B151" t="s">
        <v>1611</v>
      </c>
      <c r="C151" t="s">
        <v>3051</v>
      </c>
      <c r="D151" t="s">
        <v>3735</v>
      </c>
      <c r="E151" t="s">
        <v>3932</v>
      </c>
      <c r="F151" t="s">
        <v>3933</v>
      </c>
      <c r="G151" t="s">
        <v>3936</v>
      </c>
      <c r="H151" s="6" t="s">
        <v>6850</v>
      </c>
    </row>
    <row r="152" spans="1:8" ht="119" x14ac:dyDescent="0.2">
      <c r="A152">
        <v>150</v>
      </c>
      <c r="B152" t="s">
        <v>1611</v>
      </c>
      <c r="C152" t="s">
        <v>3051</v>
      </c>
      <c r="D152" t="s">
        <v>3735</v>
      </c>
      <c r="E152" t="s">
        <v>3932</v>
      </c>
      <c r="F152" t="s">
        <v>3933</v>
      </c>
      <c r="G152" t="s">
        <v>3937</v>
      </c>
      <c r="H152" s="6" t="s">
        <v>6851</v>
      </c>
    </row>
    <row r="153" spans="1:8" ht="102" x14ac:dyDescent="0.2">
      <c r="A153">
        <v>151</v>
      </c>
      <c r="B153" t="s">
        <v>1611</v>
      </c>
      <c r="C153" t="s">
        <v>3051</v>
      </c>
      <c r="D153" t="s">
        <v>3735</v>
      </c>
      <c r="E153" t="s">
        <v>3932</v>
      </c>
      <c r="F153" t="s">
        <v>3933</v>
      </c>
      <c r="G153" t="s">
        <v>3938</v>
      </c>
      <c r="H153" s="6" t="s">
        <v>6852</v>
      </c>
    </row>
    <row r="154" spans="1:8" ht="68" x14ac:dyDescent="0.2">
      <c r="A154">
        <v>152</v>
      </c>
      <c r="B154" t="s">
        <v>1611</v>
      </c>
      <c r="C154" t="s">
        <v>3051</v>
      </c>
      <c r="D154" t="s">
        <v>3735</v>
      </c>
      <c r="E154" t="s">
        <v>3932</v>
      </c>
      <c r="F154" t="s">
        <v>3933</v>
      </c>
      <c r="G154" t="s">
        <v>3939</v>
      </c>
      <c r="H154" s="6" t="s">
        <v>6853</v>
      </c>
    </row>
    <row r="155" spans="1:8" ht="153" x14ac:dyDescent="0.2">
      <c r="A155">
        <v>153</v>
      </c>
      <c r="B155" t="s">
        <v>1611</v>
      </c>
      <c r="C155" t="s">
        <v>3051</v>
      </c>
      <c r="D155" t="s">
        <v>3735</v>
      </c>
      <c r="E155" t="s">
        <v>3940</v>
      </c>
      <c r="F155" t="s">
        <v>3941</v>
      </c>
      <c r="G155" t="s">
        <v>3942</v>
      </c>
      <c r="H155" s="6" t="s">
        <v>6854</v>
      </c>
    </row>
    <row r="156" spans="1:8" ht="85" x14ac:dyDescent="0.2">
      <c r="A156">
        <v>154</v>
      </c>
      <c r="B156" t="s">
        <v>1611</v>
      </c>
      <c r="C156" t="s">
        <v>3051</v>
      </c>
      <c r="D156" t="s">
        <v>3735</v>
      </c>
      <c r="E156" t="s">
        <v>3940</v>
      </c>
      <c r="F156" t="s">
        <v>3941</v>
      </c>
      <c r="G156" t="s">
        <v>3943</v>
      </c>
      <c r="H156" s="6" t="s">
        <v>6855</v>
      </c>
    </row>
    <row r="157" spans="1:8" ht="119" x14ac:dyDescent="0.2">
      <c r="A157">
        <v>155</v>
      </c>
      <c r="B157" t="s">
        <v>1611</v>
      </c>
      <c r="C157" t="s">
        <v>3051</v>
      </c>
      <c r="D157" t="s">
        <v>3735</v>
      </c>
      <c r="E157" t="s">
        <v>3940</v>
      </c>
      <c r="F157" t="s">
        <v>3941</v>
      </c>
      <c r="G157" t="s">
        <v>3944</v>
      </c>
      <c r="H157" s="6" t="s">
        <v>6856</v>
      </c>
    </row>
    <row r="158" spans="1:8" ht="119" x14ac:dyDescent="0.2">
      <c r="A158">
        <v>156</v>
      </c>
      <c r="B158" t="s">
        <v>1611</v>
      </c>
      <c r="C158" t="s">
        <v>3051</v>
      </c>
      <c r="D158" t="s">
        <v>3735</v>
      </c>
      <c r="E158" t="s">
        <v>3940</v>
      </c>
      <c r="F158" t="s">
        <v>3941</v>
      </c>
      <c r="G158" t="s">
        <v>3945</v>
      </c>
      <c r="H158" s="6" t="s">
        <v>6857</v>
      </c>
    </row>
    <row r="159" spans="1:8" ht="102" x14ac:dyDescent="0.2">
      <c r="A159">
        <v>157</v>
      </c>
      <c r="B159" t="s">
        <v>1611</v>
      </c>
      <c r="C159" t="s">
        <v>3051</v>
      </c>
      <c r="D159" t="s">
        <v>3735</v>
      </c>
      <c r="E159" t="s">
        <v>3940</v>
      </c>
      <c r="F159" t="s">
        <v>3941</v>
      </c>
      <c r="G159" t="s">
        <v>3946</v>
      </c>
      <c r="H159" s="6" t="s">
        <v>6858</v>
      </c>
    </row>
    <row r="160" spans="1:8" ht="68" x14ac:dyDescent="0.2">
      <c r="A160">
        <v>158</v>
      </c>
      <c r="B160" t="s">
        <v>1611</v>
      </c>
      <c r="C160" t="s">
        <v>3051</v>
      </c>
      <c r="D160" t="s">
        <v>3735</v>
      </c>
      <c r="E160" t="s">
        <v>3940</v>
      </c>
      <c r="F160" t="s">
        <v>3941</v>
      </c>
      <c r="G160" t="s">
        <v>3947</v>
      </c>
      <c r="H160" s="6" t="s">
        <v>6859</v>
      </c>
    </row>
    <row r="161" spans="1:8" ht="153" x14ac:dyDescent="0.2">
      <c r="A161">
        <v>159</v>
      </c>
      <c r="B161" t="s">
        <v>1611</v>
      </c>
      <c r="C161" t="s">
        <v>3051</v>
      </c>
      <c r="D161" t="s">
        <v>3735</v>
      </c>
      <c r="E161" t="s">
        <v>3948</v>
      </c>
      <c r="F161" t="s">
        <v>3949</v>
      </c>
      <c r="G161" t="s">
        <v>3950</v>
      </c>
      <c r="H161" s="6" t="s">
        <v>6860</v>
      </c>
    </row>
    <row r="162" spans="1:8" ht="85" x14ac:dyDescent="0.2">
      <c r="A162">
        <v>160</v>
      </c>
      <c r="B162" t="s">
        <v>1611</v>
      </c>
      <c r="C162" t="s">
        <v>3051</v>
      </c>
      <c r="D162" t="s">
        <v>3735</v>
      </c>
      <c r="E162" t="s">
        <v>3948</v>
      </c>
      <c r="F162" t="s">
        <v>3949</v>
      </c>
      <c r="G162" t="s">
        <v>3951</v>
      </c>
      <c r="H162" s="6" t="s">
        <v>6861</v>
      </c>
    </row>
    <row r="163" spans="1:8" ht="102" x14ac:dyDescent="0.2">
      <c r="A163">
        <v>161</v>
      </c>
      <c r="B163" t="s">
        <v>1611</v>
      </c>
      <c r="C163" t="s">
        <v>3051</v>
      </c>
      <c r="D163" t="s">
        <v>3735</v>
      </c>
      <c r="E163" t="s">
        <v>3948</v>
      </c>
      <c r="F163" t="s">
        <v>3949</v>
      </c>
      <c r="G163" t="s">
        <v>3952</v>
      </c>
      <c r="H163" s="6" t="s">
        <v>6862</v>
      </c>
    </row>
    <row r="164" spans="1:8" ht="102" x14ac:dyDescent="0.2">
      <c r="A164">
        <v>162</v>
      </c>
      <c r="B164" t="s">
        <v>1611</v>
      </c>
      <c r="C164" t="s">
        <v>3051</v>
      </c>
      <c r="D164" t="s">
        <v>3735</v>
      </c>
      <c r="E164" t="s">
        <v>3948</v>
      </c>
      <c r="F164" t="s">
        <v>3949</v>
      </c>
      <c r="G164" t="s">
        <v>3953</v>
      </c>
      <c r="H164" s="6" t="s">
        <v>6863</v>
      </c>
    </row>
    <row r="165" spans="1:8" ht="119" x14ac:dyDescent="0.2">
      <c r="A165">
        <v>163</v>
      </c>
      <c r="B165" t="s">
        <v>1611</v>
      </c>
      <c r="C165" t="s">
        <v>3051</v>
      </c>
      <c r="D165" t="s">
        <v>3735</v>
      </c>
      <c r="E165" t="s">
        <v>3948</v>
      </c>
      <c r="F165" t="s">
        <v>3949</v>
      </c>
      <c r="G165" t="s">
        <v>3954</v>
      </c>
      <c r="H165" s="6" t="s">
        <v>6864</v>
      </c>
    </row>
    <row r="166" spans="1:8" ht="68" x14ac:dyDescent="0.2">
      <c r="A166">
        <v>164</v>
      </c>
      <c r="B166" t="s">
        <v>1611</v>
      </c>
      <c r="C166" t="s">
        <v>3051</v>
      </c>
      <c r="D166" t="s">
        <v>3735</v>
      </c>
      <c r="E166" t="s">
        <v>3948</v>
      </c>
      <c r="F166" t="s">
        <v>3949</v>
      </c>
      <c r="G166" t="s">
        <v>3955</v>
      </c>
      <c r="H166" s="6" t="s">
        <v>6865</v>
      </c>
    </row>
    <row r="167" spans="1:8" ht="153" x14ac:dyDescent="0.2">
      <c r="A167">
        <v>165</v>
      </c>
      <c r="B167" t="s">
        <v>1611</v>
      </c>
      <c r="C167" t="s">
        <v>3051</v>
      </c>
      <c r="D167" t="s">
        <v>3735</v>
      </c>
      <c r="E167" t="s">
        <v>3956</v>
      </c>
      <c r="F167" t="s">
        <v>3957</v>
      </c>
      <c r="G167" t="s">
        <v>3958</v>
      </c>
      <c r="H167" s="6" t="s">
        <v>6866</v>
      </c>
    </row>
    <row r="168" spans="1:8" ht="85" x14ac:dyDescent="0.2">
      <c r="A168">
        <v>166</v>
      </c>
      <c r="B168" t="s">
        <v>1611</v>
      </c>
      <c r="C168" t="s">
        <v>3051</v>
      </c>
      <c r="D168" t="s">
        <v>3735</v>
      </c>
      <c r="E168" t="s">
        <v>3956</v>
      </c>
      <c r="F168" t="s">
        <v>3957</v>
      </c>
      <c r="G168" t="s">
        <v>3959</v>
      </c>
      <c r="H168" s="6" t="s">
        <v>6867</v>
      </c>
    </row>
    <row r="169" spans="1:8" ht="136" x14ac:dyDescent="0.2">
      <c r="A169">
        <v>167</v>
      </c>
      <c r="B169" t="s">
        <v>1611</v>
      </c>
      <c r="C169" t="s">
        <v>3051</v>
      </c>
      <c r="D169" t="s">
        <v>3735</v>
      </c>
      <c r="E169" t="s">
        <v>3956</v>
      </c>
      <c r="F169" t="s">
        <v>3957</v>
      </c>
      <c r="G169" t="s">
        <v>3960</v>
      </c>
      <c r="H169" s="6" t="s">
        <v>6868</v>
      </c>
    </row>
    <row r="170" spans="1:8" ht="102" x14ac:dyDescent="0.2">
      <c r="A170">
        <v>168</v>
      </c>
      <c r="B170" t="s">
        <v>1611</v>
      </c>
      <c r="C170" t="s">
        <v>3051</v>
      </c>
      <c r="D170" t="s">
        <v>3735</v>
      </c>
      <c r="E170" t="s">
        <v>3956</v>
      </c>
      <c r="F170" t="s">
        <v>3957</v>
      </c>
      <c r="G170" t="s">
        <v>3961</v>
      </c>
      <c r="H170" s="6" t="s">
        <v>6869</v>
      </c>
    </row>
    <row r="171" spans="1:8" ht="102" x14ac:dyDescent="0.2">
      <c r="A171">
        <v>169</v>
      </c>
      <c r="B171" t="s">
        <v>1611</v>
      </c>
      <c r="C171" t="s">
        <v>3051</v>
      </c>
      <c r="D171" t="s">
        <v>3735</v>
      </c>
      <c r="E171" t="s">
        <v>3956</v>
      </c>
      <c r="F171" t="s">
        <v>3957</v>
      </c>
      <c r="G171" t="s">
        <v>3962</v>
      </c>
      <c r="H171" s="6" t="s">
        <v>6870</v>
      </c>
    </row>
    <row r="172" spans="1:8" ht="68" x14ac:dyDescent="0.2">
      <c r="A172">
        <v>170</v>
      </c>
      <c r="B172" t="s">
        <v>1611</v>
      </c>
      <c r="C172" t="s">
        <v>3051</v>
      </c>
      <c r="D172" t="s">
        <v>3735</v>
      </c>
      <c r="E172" t="s">
        <v>3956</v>
      </c>
      <c r="F172" t="s">
        <v>3957</v>
      </c>
      <c r="G172" t="s">
        <v>3963</v>
      </c>
      <c r="H172" s="6" t="s">
        <v>6871</v>
      </c>
    </row>
    <row r="173" spans="1:8" ht="153" x14ac:dyDescent="0.2">
      <c r="A173">
        <v>171</v>
      </c>
      <c r="B173" t="s">
        <v>1611</v>
      </c>
      <c r="C173" t="s">
        <v>3051</v>
      </c>
      <c r="D173" t="s">
        <v>3735</v>
      </c>
      <c r="E173" t="s">
        <v>3964</v>
      </c>
      <c r="F173" t="s">
        <v>3965</v>
      </c>
      <c r="G173" t="s">
        <v>3966</v>
      </c>
      <c r="H173" s="6" t="s">
        <v>6872</v>
      </c>
    </row>
    <row r="174" spans="1:8" ht="85" x14ac:dyDescent="0.2">
      <c r="A174">
        <v>172</v>
      </c>
      <c r="B174" t="s">
        <v>1611</v>
      </c>
      <c r="C174" t="s">
        <v>3051</v>
      </c>
      <c r="D174" t="s">
        <v>3735</v>
      </c>
      <c r="E174" t="s">
        <v>3964</v>
      </c>
      <c r="F174" t="s">
        <v>3965</v>
      </c>
      <c r="G174" t="s">
        <v>3967</v>
      </c>
      <c r="H174" s="6" t="s">
        <v>6873</v>
      </c>
    </row>
    <row r="175" spans="1:8" ht="119" x14ac:dyDescent="0.2">
      <c r="A175">
        <v>173</v>
      </c>
      <c r="B175" t="s">
        <v>1611</v>
      </c>
      <c r="C175" t="s">
        <v>3051</v>
      </c>
      <c r="D175" t="s">
        <v>3735</v>
      </c>
      <c r="E175" t="s">
        <v>3964</v>
      </c>
      <c r="F175" t="s">
        <v>3965</v>
      </c>
      <c r="G175" t="s">
        <v>3968</v>
      </c>
      <c r="H175" s="6" t="s">
        <v>6874</v>
      </c>
    </row>
    <row r="176" spans="1:8" ht="102" x14ac:dyDescent="0.2">
      <c r="A176">
        <v>174</v>
      </c>
      <c r="B176" t="s">
        <v>1611</v>
      </c>
      <c r="C176" t="s">
        <v>3051</v>
      </c>
      <c r="D176" t="s">
        <v>3735</v>
      </c>
      <c r="E176" t="s">
        <v>3964</v>
      </c>
      <c r="F176" t="s">
        <v>3965</v>
      </c>
      <c r="G176" t="s">
        <v>3969</v>
      </c>
      <c r="H176" s="6" t="s">
        <v>6875</v>
      </c>
    </row>
    <row r="177" spans="1:8" ht="102" x14ac:dyDescent="0.2">
      <c r="A177">
        <v>175</v>
      </c>
      <c r="B177" t="s">
        <v>1611</v>
      </c>
      <c r="C177" t="s">
        <v>3051</v>
      </c>
      <c r="D177" t="s">
        <v>3735</v>
      </c>
      <c r="E177" t="s">
        <v>3964</v>
      </c>
      <c r="F177" t="s">
        <v>3965</v>
      </c>
      <c r="G177" t="s">
        <v>3970</v>
      </c>
      <c r="H177" s="6" t="s">
        <v>6876</v>
      </c>
    </row>
    <row r="178" spans="1:8" ht="68" x14ac:dyDescent="0.2">
      <c r="A178">
        <v>176</v>
      </c>
      <c r="B178" t="s">
        <v>1611</v>
      </c>
      <c r="C178" t="s">
        <v>3051</v>
      </c>
      <c r="D178" t="s">
        <v>3735</v>
      </c>
      <c r="E178" t="s">
        <v>3964</v>
      </c>
      <c r="F178" t="s">
        <v>3965</v>
      </c>
      <c r="G178" t="s">
        <v>3971</v>
      </c>
      <c r="H178" s="6" t="s">
        <v>6877</v>
      </c>
    </row>
    <row r="179" spans="1:8" ht="153" x14ac:dyDescent="0.2">
      <c r="A179">
        <v>177</v>
      </c>
      <c r="B179" t="s">
        <v>1611</v>
      </c>
      <c r="C179" t="s">
        <v>3051</v>
      </c>
      <c r="D179" t="s">
        <v>3735</v>
      </c>
      <c r="E179" t="s">
        <v>3972</v>
      </c>
      <c r="F179" t="s">
        <v>3973</v>
      </c>
      <c r="G179" t="s">
        <v>3974</v>
      </c>
      <c r="H179" s="6" t="s">
        <v>6878</v>
      </c>
    </row>
    <row r="180" spans="1:8" ht="85" x14ac:dyDescent="0.2">
      <c r="A180">
        <v>178</v>
      </c>
      <c r="B180" t="s">
        <v>1611</v>
      </c>
      <c r="C180" t="s">
        <v>3051</v>
      </c>
      <c r="D180" t="s">
        <v>3735</v>
      </c>
      <c r="E180" t="s">
        <v>3972</v>
      </c>
      <c r="F180" t="s">
        <v>3973</v>
      </c>
      <c r="G180" t="s">
        <v>3975</v>
      </c>
      <c r="H180" s="6" t="s">
        <v>6879</v>
      </c>
    </row>
    <row r="181" spans="1:8" ht="153" x14ac:dyDescent="0.2">
      <c r="A181">
        <v>179</v>
      </c>
      <c r="B181" t="s">
        <v>1611</v>
      </c>
      <c r="C181" t="s">
        <v>3051</v>
      </c>
      <c r="D181" t="s">
        <v>3735</v>
      </c>
      <c r="E181" t="s">
        <v>3976</v>
      </c>
      <c r="F181" t="s">
        <v>3977</v>
      </c>
      <c r="G181" t="s">
        <v>3978</v>
      </c>
      <c r="H181" s="6" t="s">
        <v>6880</v>
      </c>
    </row>
    <row r="182" spans="1:8" ht="85" x14ac:dyDescent="0.2">
      <c r="A182">
        <v>180</v>
      </c>
      <c r="B182" t="s">
        <v>1611</v>
      </c>
      <c r="C182" t="s">
        <v>3051</v>
      </c>
      <c r="D182" t="s">
        <v>3735</v>
      </c>
      <c r="E182" t="s">
        <v>3976</v>
      </c>
      <c r="F182" t="s">
        <v>3977</v>
      </c>
      <c r="G182" t="s">
        <v>3979</v>
      </c>
      <c r="H182" s="6" t="s">
        <v>6881</v>
      </c>
    </row>
    <row r="183" spans="1:8" ht="153" x14ac:dyDescent="0.2">
      <c r="A183">
        <v>181</v>
      </c>
      <c r="B183" t="s">
        <v>1611</v>
      </c>
      <c r="C183" t="s">
        <v>3051</v>
      </c>
      <c r="D183" t="s">
        <v>3735</v>
      </c>
      <c r="E183" t="s">
        <v>3976</v>
      </c>
      <c r="F183" t="s">
        <v>3977</v>
      </c>
      <c r="G183" t="s">
        <v>3980</v>
      </c>
      <c r="H183" s="6" t="s">
        <v>6882</v>
      </c>
    </row>
    <row r="184" spans="1:8" ht="102" x14ac:dyDescent="0.2">
      <c r="A184">
        <v>182</v>
      </c>
      <c r="B184" t="s">
        <v>1611</v>
      </c>
      <c r="C184" t="s">
        <v>3051</v>
      </c>
      <c r="D184" t="s">
        <v>3735</v>
      </c>
      <c r="E184" t="s">
        <v>3976</v>
      </c>
      <c r="F184" t="s">
        <v>3977</v>
      </c>
      <c r="G184" t="s">
        <v>3981</v>
      </c>
      <c r="H184" s="6" t="s">
        <v>6883</v>
      </c>
    </row>
    <row r="185" spans="1:8" ht="102" x14ac:dyDescent="0.2">
      <c r="A185">
        <v>183</v>
      </c>
      <c r="B185" t="s">
        <v>1611</v>
      </c>
      <c r="C185" t="s">
        <v>3051</v>
      </c>
      <c r="D185" t="s">
        <v>3735</v>
      </c>
      <c r="E185" t="s">
        <v>3976</v>
      </c>
      <c r="F185" t="s">
        <v>3977</v>
      </c>
      <c r="G185" t="s">
        <v>3982</v>
      </c>
      <c r="H185" s="6" t="s">
        <v>6884</v>
      </c>
    </row>
    <row r="186" spans="1:8" ht="51" x14ac:dyDescent="0.2">
      <c r="A186">
        <v>184</v>
      </c>
      <c r="B186" t="s">
        <v>1611</v>
      </c>
      <c r="C186" t="s">
        <v>3051</v>
      </c>
      <c r="D186" t="s">
        <v>3735</v>
      </c>
      <c r="E186" t="s">
        <v>3976</v>
      </c>
      <c r="F186" t="s">
        <v>3977</v>
      </c>
      <c r="G186" t="s">
        <v>3983</v>
      </c>
      <c r="H186" s="6" t="s">
        <v>6885</v>
      </c>
    </row>
    <row r="187" spans="1:8" ht="153" x14ac:dyDescent="0.2">
      <c r="A187">
        <v>185</v>
      </c>
      <c r="B187" t="s">
        <v>1611</v>
      </c>
      <c r="C187" t="s">
        <v>3051</v>
      </c>
      <c r="D187" t="s">
        <v>3735</v>
      </c>
      <c r="E187" t="s">
        <v>3984</v>
      </c>
      <c r="F187" t="s">
        <v>3985</v>
      </c>
      <c r="G187" t="s">
        <v>3986</v>
      </c>
      <c r="H187" s="6" t="s">
        <v>6886</v>
      </c>
    </row>
    <row r="188" spans="1:8" ht="85" x14ac:dyDescent="0.2">
      <c r="A188">
        <v>186</v>
      </c>
      <c r="B188" t="s">
        <v>1611</v>
      </c>
      <c r="C188" t="s">
        <v>3051</v>
      </c>
      <c r="D188" t="s">
        <v>3735</v>
      </c>
      <c r="E188" t="s">
        <v>3984</v>
      </c>
      <c r="F188" t="s">
        <v>3985</v>
      </c>
      <c r="G188" t="s">
        <v>3987</v>
      </c>
      <c r="H188" s="6" t="s">
        <v>6887</v>
      </c>
    </row>
    <row r="189" spans="1:8" ht="102" x14ac:dyDescent="0.2">
      <c r="A189">
        <v>187</v>
      </c>
      <c r="B189" t="s">
        <v>1611</v>
      </c>
      <c r="C189" t="s">
        <v>3051</v>
      </c>
      <c r="D189" t="s">
        <v>3735</v>
      </c>
      <c r="E189" t="s">
        <v>3984</v>
      </c>
      <c r="F189" t="s">
        <v>3985</v>
      </c>
      <c r="G189" t="s">
        <v>3988</v>
      </c>
      <c r="H189" s="6" t="s">
        <v>6888</v>
      </c>
    </row>
    <row r="190" spans="1:8" ht="102" x14ac:dyDescent="0.2">
      <c r="A190">
        <v>188</v>
      </c>
      <c r="B190" t="s">
        <v>1611</v>
      </c>
      <c r="C190" t="s">
        <v>3051</v>
      </c>
      <c r="D190" t="s">
        <v>3735</v>
      </c>
      <c r="E190" t="s">
        <v>3984</v>
      </c>
      <c r="F190" t="s">
        <v>3985</v>
      </c>
      <c r="G190" t="s">
        <v>3989</v>
      </c>
      <c r="H190" s="6" t="s">
        <v>6889</v>
      </c>
    </row>
    <row r="191" spans="1:8" ht="136" x14ac:dyDescent="0.2">
      <c r="A191">
        <v>189</v>
      </c>
      <c r="B191" t="s">
        <v>1611</v>
      </c>
      <c r="C191" t="s">
        <v>3051</v>
      </c>
      <c r="D191" t="s">
        <v>3735</v>
      </c>
      <c r="E191" t="s">
        <v>3984</v>
      </c>
      <c r="F191" t="s">
        <v>3985</v>
      </c>
      <c r="G191" t="s">
        <v>3990</v>
      </c>
      <c r="H191" s="6" t="s">
        <v>6890</v>
      </c>
    </row>
    <row r="192" spans="1:8" ht="51" x14ac:dyDescent="0.2">
      <c r="A192">
        <v>190</v>
      </c>
      <c r="B192" t="s">
        <v>1611</v>
      </c>
      <c r="C192" t="s">
        <v>3051</v>
      </c>
      <c r="D192" t="s">
        <v>3735</v>
      </c>
      <c r="E192" t="s">
        <v>3984</v>
      </c>
      <c r="F192" t="s">
        <v>3985</v>
      </c>
      <c r="G192" t="s">
        <v>3991</v>
      </c>
      <c r="H192" s="6" t="s">
        <v>6891</v>
      </c>
    </row>
    <row r="193" spans="1:8" ht="153" x14ac:dyDescent="0.2">
      <c r="A193">
        <v>191</v>
      </c>
      <c r="B193" t="s">
        <v>1611</v>
      </c>
      <c r="C193" t="s">
        <v>3051</v>
      </c>
      <c r="D193" t="s">
        <v>3735</v>
      </c>
      <c r="E193" t="s">
        <v>3992</v>
      </c>
      <c r="F193" t="s">
        <v>3993</v>
      </c>
      <c r="G193" t="s">
        <v>3994</v>
      </c>
      <c r="H193" s="6" t="s">
        <v>6892</v>
      </c>
    </row>
    <row r="194" spans="1:8" ht="85" x14ac:dyDescent="0.2">
      <c r="A194">
        <v>192</v>
      </c>
      <c r="B194" t="s">
        <v>1611</v>
      </c>
      <c r="C194" t="s">
        <v>3051</v>
      </c>
      <c r="D194" t="s">
        <v>3735</v>
      </c>
      <c r="E194" t="s">
        <v>3992</v>
      </c>
      <c r="F194" t="s">
        <v>3993</v>
      </c>
      <c r="G194" t="s">
        <v>3995</v>
      </c>
      <c r="H194" s="6" t="s">
        <v>6893</v>
      </c>
    </row>
    <row r="195" spans="1:8" ht="119" x14ac:dyDescent="0.2">
      <c r="A195">
        <v>193</v>
      </c>
      <c r="B195" t="s">
        <v>1611</v>
      </c>
      <c r="C195" t="s">
        <v>3051</v>
      </c>
      <c r="D195" t="s">
        <v>3735</v>
      </c>
      <c r="E195" t="s">
        <v>3992</v>
      </c>
      <c r="F195" t="s">
        <v>3993</v>
      </c>
      <c r="G195" t="s">
        <v>3996</v>
      </c>
      <c r="H195" s="6" t="s">
        <v>6894</v>
      </c>
    </row>
    <row r="196" spans="1:8" ht="102" x14ac:dyDescent="0.2">
      <c r="A196">
        <v>194</v>
      </c>
      <c r="B196" t="s">
        <v>1611</v>
      </c>
      <c r="C196" t="s">
        <v>3051</v>
      </c>
      <c r="D196" t="s">
        <v>3735</v>
      </c>
      <c r="E196" t="s">
        <v>3992</v>
      </c>
      <c r="F196" t="s">
        <v>3993</v>
      </c>
      <c r="G196" t="s">
        <v>3997</v>
      </c>
      <c r="H196" s="6" t="s">
        <v>6895</v>
      </c>
    </row>
    <row r="197" spans="1:8" ht="102" x14ac:dyDescent="0.2">
      <c r="A197">
        <v>195</v>
      </c>
      <c r="B197" t="s">
        <v>1611</v>
      </c>
      <c r="C197" t="s">
        <v>3051</v>
      </c>
      <c r="D197" t="s">
        <v>3735</v>
      </c>
      <c r="E197" t="s">
        <v>3992</v>
      </c>
      <c r="F197" t="s">
        <v>3993</v>
      </c>
      <c r="G197" t="s">
        <v>3998</v>
      </c>
      <c r="H197" s="6" t="s">
        <v>6896</v>
      </c>
    </row>
    <row r="198" spans="1:8" ht="68" x14ac:dyDescent="0.2">
      <c r="A198">
        <v>196</v>
      </c>
      <c r="B198" t="s">
        <v>1611</v>
      </c>
      <c r="C198" t="s">
        <v>3051</v>
      </c>
      <c r="D198" t="s">
        <v>3735</v>
      </c>
      <c r="E198" t="s">
        <v>3992</v>
      </c>
      <c r="F198" t="s">
        <v>3993</v>
      </c>
      <c r="G198" t="s">
        <v>3999</v>
      </c>
      <c r="H198" s="6" t="s">
        <v>6897</v>
      </c>
    </row>
    <row r="199" spans="1:8" ht="153" x14ac:dyDescent="0.2">
      <c r="A199">
        <v>197</v>
      </c>
      <c r="B199" t="s">
        <v>1611</v>
      </c>
      <c r="C199" t="s">
        <v>3051</v>
      </c>
      <c r="D199" t="s">
        <v>3735</v>
      </c>
      <c r="E199" t="s">
        <v>4000</v>
      </c>
      <c r="F199" t="s">
        <v>4001</v>
      </c>
      <c r="G199" t="s">
        <v>4002</v>
      </c>
      <c r="H199" s="6" t="s">
        <v>6898</v>
      </c>
    </row>
    <row r="200" spans="1:8" ht="85" x14ac:dyDescent="0.2">
      <c r="A200">
        <v>198</v>
      </c>
      <c r="B200" t="s">
        <v>1611</v>
      </c>
      <c r="C200" t="s">
        <v>3051</v>
      </c>
      <c r="D200" t="s">
        <v>3735</v>
      </c>
      <c r="E200" t="s">
        <v>4000</v>
      </c>
      <c r="F200" t="s">
        <v>4001</v>
      </c>
      <c r="G200" t="s">
        <v>4003</v>
      </c>
      <c r="H200" s="6" t="s">
        <v>6899</v>
      </c>
    </row>
    <row r="201" spans="1:8" ht="119" x14ac:dyDescent="0.2">
      <c r="A201">
        <v>199</v>
      </c>
      <c r="B201" t="s">
        <v>1611</v>
      </c>
      <c r="C201" t="s">
        <v>3051</v>
      </c>
      <c r="D201" t="s">
        <v>3735</v>
      </c>
      <c r="E201" t="s">
        <v>4000</v>
      </c>
      <c r="F201" t="s">
        <v>4001</v>
      </c>
      <c r="G201" t="s">
        <v>4004</v>
      </c>
      <c r="H201" s="6" t="s">
        <v>6900</v>
      </c>
    </row>
    <row r="202" spans="1:8" ht="102" x14ac:dyDescent="0.2">
      <c r="A202">
        <v>200</v>
      </c>
      <c r="B202" t="s">
        <v>1611</v>
      </c>
      <c r="C202" t="s">
        <v>3051</v>
      </c>
      <c r="D202" t="s">
        <v>3735</v>
      </c>
      <c r="E202" t="s">
        <v>4000</v>
      </c>
      <c r="F202" t="s">
        <v>4001</v>
      </c>
      <c r="G202" t="s">
        <v>4005</v>
      </c>
      <c r="H202" s="6" t="s">
        <v>6901</v>
      </c>
    </row>
    <row r="203" spans="1:8" ht="102" x14ac:dyDescent="0.2">
      <c r="A203">
        <v>201</v>
      </c>
      <c r="B203" t="s">
        <v>1611</v>
      </c>
      <c r="C203" t="s">
        <v>3051</v>
      </c>
      <c r="D203" t="s">
        <v>3735</v>
      </c>
      <c r="E203" t="s">
        <v>4000</v>
      </c>
      <c r="F203" t="s">
        <v>4001</v>
      </c>
      <c r="G203" t="s">
        <v>4006</v>
      </c>
      <c r="H203" s="6" t="s">
        <v>6902</v>
      </c>
    </row>
    <row r="204" spans="1:8" ht="51" x14ac:dyDescent="0.2">
      <c r="A204">
        <v>202</v>
      </c>
      <c r="B204" t="s">
        <v>1611</v>
      </c>
      <c r="C204" t="s">
        <v>3051</v>
      </c>
      <c r="D204" t="s">
        <v>3735</v>
      </c>
      <c r="E204" t="s">
        <v>4000</v>
      </c>
      <c r="F204" t="s">
        <v>4001</v>
      </c>
      <c r="G204" t="s">
        <v>4007</v>
      </c>
      <c r="H204" s="6" t="s">
        <v>6903</v>
      </c>
    </row>
    <row r="205" spans="1:8" ht="153" x14ac:dyDescent="0.2">
      <c r="A205">
        <v>203</v>
      </c>
      <c r="B205" t="s">
        <v>1611</v>
      </c>
      <c r="C205" t="s">
        <v>3051</v>
      </c>
      <c r="D205" t="s">
        <v>3735</v>
      </c>
      <c r="E205" t="s">
        <v>4008</v>
      </c>
      <c r="F205" t="s">
        <v>4009</v>
      </c>
      <c r="G205" t="s">
        <v>4010</v>
      </c>
      <c r="H205" s="6" t="s">
        <v>6904</v>
      </c>
    </row>
    <row r="206" spans="1:8" ht="85" x14ac:dyDescent="0.2">
      <c r="A206">
        <v>204</v>
      </c>
      <c r="B206" t="s">
        <v>1611</v>
      </c>
      <c r="C206" t="s">
        <v>3051</v>
      </c>
      <c r="D206" t="s">
        <v>3735</v>
      </c>
      <c r="E206" t="s">
        <v>4008</v>
      </c>
      <c r="F206" t="s">
        <v>4009</v>
      </c>
      <c r="G206" t="s">
        <v>4011</v>
      </c>
      <c r="H206" s="6" t="s">
        <v>6905</v>
      </c>
    </row>
    <row r="207" spans="1:8" ht="102" x14ac:dyDescent="0.2">
      <c r="A207">
        <v>205</v>
      </c>
      <c r="B207" t="s">
        <v>1611</v>
      </c>
      <c r="C207" t="s">
        <v>3051</v>
      </c>
      <c r="D207" t="s">
        <v>3735</v>
      </c>
      <c r="E207" t="s">
        <v>4008</v>
      </c>
      <c r="F207" t="s">
        <v>4009</v>
      </c>
      <c r="G207" t="s">
        <v>4012</v>
      </c>
      <c r="H207" s="6" t="s">
        <v>6906</v>
      </c>
    </row>
    <row r="208" spans="1:8" ht="85" x14ac:dyDescent="0.2">
      <c r="A208">
        <v>206</v>
      </c>
      <c r="B208" t="s">
        <v>1611</v>
      </c>
      <c r="C208" t="s">
        <v>3051</v>
      </c>
      <c r="D208" t="s">
        <v>3735</v>
      </c>
      <c r="E208" t="s">
        <v>4008</v>
      </c>
      <c r="F208" t="s">
        <v>4009</v>
      </c>
      <c r="G208" t="s">
        <v>4013</v>
      </c>
      <c r="H208" s="6" t="s">
        <v>6907</v>
      </c>
    </row>
    <row r="209" spans="1:8" ht="85" x14ac:dyDescent="0.2">
      <c r="A209">
        <v>207</v>
      </c>
      <c r="B209" t="s">
        <v>1611</v>
      </c>
      <c r="C209" t="s">
        <v>3051</v>
      </c>
      <c r="D209" t="s">
        <v>3735</v>
      </c>
      <c r="E209" t="s">
        <v>4008</v>
      </c>
      <c r="F209" t="s">
        <v>4009</v>
      </c>
      <c r="G209" t="s">
        <v>4014</v>
      </c>
      <c r="H209" s="6" t="s">
        <v>6908</v>
      </c>
    </row>
    <row r="210" spans="1:8" ht="102" x14ac:dyDescent="0.2">
      <c r="A210">
        <v>208</v>
      </c>
      <c r="B210" t="s">
        <v>1611</v>
      </c>
      <c r="C210" t="s">
        <v>3051</v>
      </c>
      <c r="D210" t="s">
        <v>3735</v>
      </c>
      <c r="E210" t="s">
        <v>4008</v>
      </c>
      <c r="F210" t="s">
        <v>4009</v>
      </c>
      <c r="G210" t="s">
        <v>4015</v>
      </c>
      <c r="H210" s="6" t="s">
        <v>6909</v>
      </c>
    </row>
    <row r="211" spans="1:8" ht="102" x14ac:dyDescent="0.2">
      <c r="A211">
        <v>209</v>
      </c>
      <c r="B211" t="s">
        <v>1611</v>
      </c>
      <c r="C211" t="s">
        <v>3051</v>
      </c>
      <c r="D211" t="s">
        <v>3735</v>
      </c>
      <c r="E211" t="s">
        <v>4008</v>
      </c>
      <c r="F211" t="s">
        <v>4009</v>
      </c>
      <c r="G211" t="s">
        <v>4016</v>
      </c>
      <c r="H211" s="6" t="s">
        <v>6910</v>
      </c>
    </row>
    <row r="212" spans="1:8" ht="102" x14ac:dyDescent="0.2">
      <c r="A212">
        <v>210</v>
      </c>
      <c r="B212" t="s">
        <v>1611</v>
      </c>
      <c r="C212" t="s">
        <v>3051</v>
      </c>
      <c r="D212" t="s">
        <v>3735</v>
      </c>
      <c r="E212" t="s">
        <v>4008</v>
      </c>
      <c r="F212" t="s">
        <v>4009</v>
      </c>
      <c r="G212" t="s">
        <v>4017</v>
      </c>
      <c r="H212" s="6" t="s">
        <v>6858</v>
      </c>
    </row>
    <row r="213" spans="1:8" ht="68" x14ac:dyDescent="0.2">
      <c r="A213">
        <v>211</v>
      </c>
      <c r="B213" t="s">
        <v>1611</v>
      </c>
      <c r="C213" t="s">
        <v>3051</v>
      </c>
      <c r="D213" t="s">
        <v>3735</v>
      </c>
      <c r="E213" t="s">
        <v>4008</v>
      </c>
      <c r="F213" t="s">
        <v>4009</v>
      </c>
      <c r="G213" t="s">
        <v>4018</v>
      </c>
      <c r="H213" s="6" t="s">
        <v>6911</v>
      </c>
    </row>
    <row r="214" spans="1:8" ht="153" x14ac:dyDescent="0.2">
      <c r="A214">
        <v>212</v>
      </c>
      <c r="B214" t="s">
        <v>1611</v>
      </c>
      <c r="C214" t="s">
        <v>3051</v>
      </c>
      <c r="D214" t="s">
        <v>3735</v>
      </c>
      <c r="E214" t="s">
        <v>4019</v>
      </c>
      <c r="F214" t="s">
        <v>4020</v>
      </c>
      <c r="G214" t="s">
        <v>4021</v>
      </c>
      <c r="H214" s="6" t="s">
        <v>6912</v>
      </c>
    </row>
    <row r="215" spans="1:8" ht="85" x14ac:dyDescent="0.2">
      <c r="A215">
        <v>213</v>
      </c>
      <c r="B215" t="s">
        <v>1611</v>
      </c>
      <c r="C215" t="s">
        <v>3051</v>
      </c>
      <c r="D215" t="s">
        <v>3735</v>
      </c>
      <c r="E215" t="s">
        <v>4019</v>
      </c>
      <c r="F215" t="s">
        <v>4020</v>
      </c>
      <c r="G215" t="s">
        <v>4022</v>
      </c>
      <c r="H215" s="6" t="s">
        <v>6913</v>
      </c>
    </row>
    <row r="216" spans="1:8" ht="102" x14ac:dyDescent="0.2">
      <c r="A216">
        <v>214</v>
      </c>
      <c r="B216" t="s">
        <v>1611</v>
      </c>
      <c r="C216" t="s">
        <v>3051</v>
      </c>
      <c r="D216" t="s">
        <v>3735</v>
      </c>
      <c r="E216" t="s">
        <v>4019</v>
      </c>
      <c r="F216" t="s">
        <v>4020</v>
      </c>
      <c r="G216" t="s">
        <v>4023</v>
      </c>
      <c r="H216" s="6" t="s">
        <v>6738</v>
      </c>
    </row>
    <row r="217" spans="1:8" ht="102" x14ac:dyDescent="0.2">
      <c r="A217">
        <v>215</v>
      </c>
      <c r="B217" t="s">
        <v>1611</v>
      </c>
      <c r="C217" t="s">
        <v>3051</v>
      </c>
      <c r="D217" t="s">
        <v>3735</v>
      </c>
      <c r="E217" t="s">
        <v>4019</v>
      </c>
      <c r="F217" t="s">
        <v>4020</v>
      </c>
      <c r="G217" t="s">
        <v>4024</v>
      </c>
      <c r="H217" s="6" t="s">
        <v>6914</v>
      </c>
    </row>
    <row r="218" spans="1:8" ht="102" x14ac:dyDescent="0.2">
      <c r="A218">
        <v>216</v>
      </c>
      <c r="B218" t="s">
        <v>1611</v>
      </c>
      <c r="C218" t="s">
        <v>3051</v>
      </c>
      <c r="D218" t="s">
        <v>3735</v>
      </c>
      <c r="E218" t="s">
        <v>4019</v>
      </c>
      <c r="F218" t="s">
        <v>4020</v>
      </c>
      <c r="G218" t="s">
        <v>4025</v>
      </c>
      <c r="H218" s="6" t="s">
        <v>6915</v>
      </c>
    </row>
    <row r="219" spans="1:8" ht="68" x14ac:dyDescent="0.2">
      <c r="A219">
        <v>217</v>
      </c>
      <c r="B219" t="s">
        <v>1611</v>
      </c>
      <c r="C219" t="s">
        <v>3051</v>
      </c>
      <c r="D219" t="s">
        <v>3735</v>
      </c>
      <c r="E219" t="s">
        <v>4019</v>
      </c>
      <c r="F219" t="s">
        <v>4020</v>
      </c>
      <c r="G219" t="s">
        <v>4026</v>
      </c>
      <c r="H219" s="6" t="s">
        <v>6916</v>
      </c>
    </row>
    <row r="220" spans="1:8" ht="153" x14ac:dyDescent="0.2">
      <c r="A220">
        <v>218</v>
      </c>
      <c r="B220" t="s">
        <v>1611</v>
      </c>
      <c r="C220" t="s">
        <v>3051</v>
      </c>
      <c r="D220" t="s">
        <v>3735</v>
      </c>
      <c r="E220" t="s">
        <v>4027</v>
      </c>
      <c r="F220" t="s">
        <v>4028</v>
      </c>
      <c r="G220" t="s">
        <v>4029</v>
      </c>
      <c r="H220" s="6" t="s">
        <v>6917</v>
      </c>
    </row>
    <row r="221" spans="1:8" ht="85" x14ac:dyDescent="0.2">
      <c r="A221">
        <v>219</v>
      </c>
      <c r="B221" t="s">
        <v>1611</v>
      </c>
      <c r="C221" t="s">
        <v>3051</v>
      </c>
      <c r="D221" t="s">
        <v>3735</v>
      </c>
      <c r="E221" t="s">
        <v>4027</v>
      </c>
      <c r="F221" t="s">
        <v>4028</v>
      </c>
      <c r="G221" t="s">
        <v>4030</v>
      </c>
      <c r="H221" s="6" t="s">
        <v>6918</v>
      </c>
    </row>
    <row r="222" spans="1:8" ht="102" x14ac:dyDescent="0.2">
      <c r="A222">
        <v>220</v>
      </c>
      <c r="B222" t="s">
        <v>1611</v>
      </c>
      <c r="C222" t="s">
        <v>3051</v>
      </c>
      <c r="D222" t="s">
        <v>3735</v>
      </c>
      <c r="E222" t="s">
        <v>4027</v>
      </c>
      <c r="F222" t="s">
        <v>4028</v>
      </c>
      <c r="G222" t="s">
        <v>4031</v>
      </c>
      <c r="H222" s="6" t="s">
        <v>6919</v>
      </c>
    </row>
    <row r="223" spans="1:8" ht="102" x14ac:dyDescent="0.2">
      <c r="A223">
        <v>221</v>
      </c>
      <c r="B223" t="s">
        <v>1611</v>
      </c>
      <c r="C223" t="s">
        <v>3051</v>
      </c>
      <c r="D223" t="s">
        <v>3735</v>
      </c>
      <c r="E223" t="s">
        <v>4027</v>
      </c>
      <c r="F223" t="s">
        <v>4028</v>
      </c>
      <c r="G223" t="s">
        <v>4032</v>
      </c>
      <c r="H223" s="6" t="s">
        <v>6920</v>
      </c>
    </row>
    <row r="224" spans="1:8" ht="102" x14ac:dyDescent="0.2">
      <c r="A224">
        <v>222</v>
      </c>
      <c r="B224" t="s">
        <v>1611</v>
      </c>
      <c r="C224" t="s">
        <v>3051</v>
      </c>
      <c r="D224" t="s">
        <v>3735</v>
      </c>
      <c r="E224" t="s">
        <v>4027</v>
      </c>
      <c r="F224" t="s">
        <v>4028</v>
      </c>
      <c r="G224" t="s">
        <v>4033</v>
      </c>
      <c r="H224" s="6" t="s">
        <v>6858</v>
      </c>
    </row>
    <row r="225" spans="1:8" ht="51" x14ac:dyDescent="0.2">
      <c r="A225">
        <v>223</v>
      </c>
      <c r="B225" t="s">
        <v>1611</v>
      </c>
      <c r="C225" t="s">
        <v>3051</v>
      </c>
      <c r="D225" t="s">
        <v>3735</v>
      </c>
      <c r="E225" t="s">
        <v>4027</v>
      </c>
      <c r="F225" t="s">
        <v>4028</v>
      </c>
      <c r="G225" t="s">
        <v>4034</v>
      </c>
      <c r="H225" s="6" t="s">
        <v>6921</v>
      </c>
    </row>
    <row r="226" spans="1:8" ht="153" x14ac:dyDescent="0.2">
      <c r="A226">
        <v>224</v>
      </c>
      <c r="B226" t="s">
        <v>1611</v>
      </c>
      <c r="C226" t="s">
        <v>3051</v>
      </c>
      <c r="D226" t="s">
        <v>3735</v>
      </c>
      <c r="E226" t="s">
        <v>4035</v>
      </c>
      <c r="F226" t="s">
        <v>4036</v>
      </c>
      <c r="G226" t="s">
        <v>4037</v>
      </c>
      <c r="H226" s="6" t="s">
        <v>6922</v>
      </c>
    </row>
    <row r="227" spans="1:8" ht="85" x14ac:dyDescent="0.2">
      <c r="A227">
        <v>225</v>
      </c>
      <c r="B227" t="s">
        <v>1611</v>
      </c>
      <c r="C227" t="s">
        <v>3051</v>
      </c>
      <c r="D227" t="s">
        <v>3735</v>
      </c>
      <c r="E227" t="s">
        <v>4035</v>
      </c>
      <c r="F227" t="s">
        <v>4036</v>
      </c>
      <c r="G227" t="s">
        <v>4038</v>
      </c>
      <c r="H227" s="6" t="s">
        <v>6923</v>
      </c>
    </row>
    <row r="228" spans="1:8" ht="119" x14ac:dyDescent="0.2">
      <c r="A228">
        <v>226</v>
      </c>
      <c r="B228" t="s">
        <v>1611</v>
      </c>
      <c r="C228" t="s">
        <v>3051</v>
      </c>
      <c r="D228" t="s">
        <v>3735</v>
      </c>
      <c r="E228" t="s">
        <v>4035</v>
      </c>
      <c r="F228" t="s">
        <v>4036</v>
      </c>
      <c r="G228" t="s">
        <v>4039</v>
      </c>
      <c r="H228" s="6" t="s">
        <v>6924</v>
      </c>
    </row>
    <row r="229" spans="1:8" ht="85" x14ac:dyDescent="0.2">
      <c r="A229">
        <v>227</v>
      </c>
      <c r="B229" t="s">
        <v>1611</v>
      </c>
      <c r="C229" t="s">
        <v>3051</v>
      </c>
      <c r="D229" t="s">
        <v>3735</v>
      </c>
      <c r="E229" t="s">
        <v>4035</v>
      </c>
      <c r="F229" t="s">
        <v>4036</v>
      </c>
      <c r="G229" t="s">
        <v>4040</v>
      </c>
      <c r="H229" s="6" t="s">
        <v>6925</v>
      </c>
    </row>
    <row r="230" spans="1:8" ht="102" x14ac:dyDescent="0.2">
      <c r="A230">
        <v>228</v>
      </c>
      <c r="B230" t="s">
        <v>1611</v>
      </c>
      <c r="C230" t="s">
        <v>3051</v>
      </c>
      <c r="D230" t="s">
        <v>3735</v>
      </c>
      <c r="E230" t="s">
        <v>4035</v>
      </c>
      <c r="F230" t="s">
        <v>4036</v>
      </c>
      <c r="G230" t="s">
        <v>4041</v>
      </c>
      <c r="H230" s="6" t="s">
        <v>6926</v>
      </c>
    </row>
    <row r="231" spans="1:8" ht="68" x14ac:dyDescent="0.2">
      <c r="A231">
        <v>229</v>
      </c>
      <c r="B231" t="s">
        <v>1611</v>
      </c>
      <c r="C231" t="s">
        <v>3051</v>
      </c>
      <c r="D231" t="s">
        <v>3735</v>
      </c>
      <c r="E231" t="s">
        <v>4035</v>
      </c>
      <c r="F231" t="s">
        <v>4036</v>
      </c>
      <c r="G231" t="s">
        <v>4042</v>
      </c>
      <c r="H231" s="6" t="s">
        <v>6927</v>
      </c>
    </row>
    <row r="232" spans="1:8" ht="153" x14ac:dyDescent="0.2">
      <c r="A232">
        <v>230</v>
      </c>
      <c r="B232" t="s">
        <v>1611</v>
      </c>
      <c r="C232" t="s">
        <v>3051</v>
      </c>
      <c r="D232" t="s">
        <v>3735</v>
      </c>
      <c r="E232" t="s">
        <v>4043</v>
      </c>
      <c r="F232" t="s">
        <v>4044</v>
      </c>
      <c r="G232" t="s">
        <v>4045</v>
      </c>
      <c r="H232" s="6" t="s">
        <v>6928</v>
      </c>
    </row>
    <row r="233" spans="1:8" ht="85" x14ac:dyDescent="0.2">
      <c r="A233">
        <v>231</v>
      </c>
      <c r="B233" t="s">
        <v>1611</v>
      </c>
      <c r="C233" t="s">
        <v>3051</v>
      </c>
      <c r="D233" t="s">
        <v>3735</v>
      </c>
      <c r="E233" t="s">
        <v>4043</v>
      </c>
      <c r="F233" t="s">
        <v>4044</v>
      </c>
      <c r="G233" t="s">
        <v>4046</v>
      </c>
      <c r="H233" s="6" t="s">
        <v>6929</v>
      </c>
    </row>
    <row r="234" spans="1:8" ht="102" x14ac:dyDescent="0.2">
      <c r="A234">
        <v>232</v>
      </c>
      <c r="B234" t="s">
        <v>1611</v>
      </c>
      <c r="C234" t="s">
        <v>3051</v>
      </c>
      <c r="D234" t="s">
        <v>3735</v>
      </c>
      <c r="E234" t="s">
        <v>4043</v>
      </c>
      <c r="F234" t="s">
        <v>4044</v>
      </c>
      <c r="G234" t="s">
        <v>4047</v>
      </c>
      <c r="H234" s="6" t="s">
        <v>6906</v>
      </c>
    </row>
    <row r="235" spans="1:8" ht="85" x14ac:dyDescent="0.2">
      <c r="A235">
        <v>233</v>
      </c>
      <c r="B235" t="s">
        <v>1611</v>
      </c>
      <c r="C235" t="s">
        <v>3051</v>
      </c>
      <c r="D235" t="s">
        <v>3735</v>
      </c>
      <c r="E235" t="s">
        <v>4043</v>
      </c>
      <c r="F235" t="s">
        <v>4044</v>
      </c>
      <c r="G235" t="s">
        <v>4048</v>
      </c>
      <c r="H235" s="6" t="s">
        <v>6930</v>
      </c>
    </row>
    <row r="236" spans="1:8" ht="136" x14ac:dyDescent="0.2">
      <c r="A236">
        <v>234</v>
      </c>
      <c r="B236" t="s">
        <v>1611</v>
      </c>
      <c r="C236" t="s">
        <v>3051</v>
      </c>
      <c r="D236" t="s">
        <v>3735</v>
      </c>
      <c r="E236" t="s">
        <v>4043</v>
      </c>
      <c r="F236" t="s">
        <v>4044</v>
      </c>
      <c r="G236" t="s">
        <v>4049</v>
      </c>
      <c r="H236" s="6" t="s">
        <v>6931</v>
      </c>
    </row>
    <row r="237" spans="1:8" ht="51" x14ac:dyDescent="0.2">
      <c r="A237">
        <v>235</v>
      </c>
      <c r="B237" t="s">
        <v>1611</v>
      </c>
      <c r="C237" t="s">
        <v>3051</v>
      </c>
      <c r="D237" t="s">
        <v>3735</v>
      </c>
      <c r="E237" t="s">
        <v>4043</v>
      </c>
      <c r="F237" t="s">
        <v>4044</v>
      </c>
      <c r="G237" t="s">
        <v>4050</v>
      </c>
      <c r="H237" s="6" t="s">
        <v>6932</v>
      </c>
    </row>
    <row r="238" spans="1:8" ht="153" x14ac:dyDescent="0.2">
      <c r="A238">
        <v>236</v>
      </c>
      <c r="B238" t="s">
        <v>1611</v>
      </c>
      <c r="C238" t="s">
        <v>3051</v>
      </c>
      <c r="D238" t="s">
        <v>3735</v>
      </c>
      <c r="E238" t="s">
        <v>4051</v>
      </c>
      <c r="F238" t="s">
        <v>4052</v>
      </c>
      <c r="G238" t="s">
        <v>4053</v>
      </c>
      <c r="H238" s="6" t="s">
        <v>6933</v>
      </c>
    </row>
    <row r="239" spans="1:8" ht="85" x14ac:dyDescent="0.2">
      <c r="A239">
        <v>237</v>
      </c>
      <c r="B239" t="s">
        <v>1611</v>
      </c>
      <c r="C239" t="s">
        <v>3051</v>
      </c>
      <c r="D239" t="s">
        <v>3735</v>
      </c>
      <c r="E239" t="s">
        <v>4051</v>
      </c>
      <c r="F239" t="s">
        <v>4052</v>
      </c>
      <c r="G239" t="s">
        <v>4054</v>
      </c>
      <c r="H239" s="6" t="s">
        <v>6934</v>
      </c>
    </row>
    <row r="240" spans="1:8" ht="119" x14ac:dyDescent="0.2">
      <c r="A240">
        <v>238</v>
      </c>
      <c r="B240" t="s">
        <v>1611</v>
      </c>
      <c r="C240" t="s">
        <v>3051</v>
      </c>
      <c r="D240" t="s">
        <v>3735</v>
      </c>
      <c r="E240" t="s">
        <v>4051</v>
      </c>
      <c r="F240" t="s">
        <v>4052</v>
      </c>
      <c r="G240" t="s">
        <v>4055</v>
      </c>
      <c r="H240" s="6" t="s">
        <v>6935</v>
      </c>
    </row>
    <row r="241" spans="1:8" ht="102" x14ac:dyDescent="0.2">
      <c r="A241">
        <v>239</v>
      </c>
      <c r="B241" t="s">
        <v>1611</v>
      </c>
      <c r="C241" t="s">
        <v>3051</v>
      </c>
      <c r="D241" t="s">
        <v>3735</v>
      </c>
      <c r="E241" t="s">
        <v>4051</v>
      </c>
      <c r="F241" t="s">
        <v>4052</v>
      </c>
      <c r="G241" t="s">
        <v>4056</v>
      </c>
      <c r="H241" s="6" t="s">
        <v>6936</v>
      </c>
    </row>
    <row r="242" spans="1:8" ht="102" x14ac:dyDescent="0.2">
      <c r="A242">
        <v>240</v>
      </c>
      <c r="B242" t="s">
        <v>1611</v>
      </c>
      <c r="C242" t="s">
        <v>3051</v>
      </c>
      <c r="D242" t="s">
        <v>3735</v>
      </c>
      <c r="E242" t="s">
        <v>4051</v>
      </c>
      <c r="F242" t="s">
        <v>4052</v>
      </c>
      <c r="G242" t="s">
        <v>4057</v>
      </c>
      <c r="H242" s="6" t="s">
        <v>6937</v>
      </c>
    </row>
    <row r="243" spans="1:8" ht="51" x14ac:dyDescent="0.2">
      <c r="A243">
        <v>241</v>
      </c>
      <c r="B243" t="s">
        <v>1611</v>
      </c>
      <c r="C243" t="s">
        <v>3051</v>
      </c>
      <c r="D243" t="s">
        <v>3735</v>
      </c>
      <c r="E243" t="s">
        <v>4051</v>
      </c>
      <c r="F243" t="s">
        <v>4052</v>
      </c>
      <c r="G243" t="s">
        <v>4058</v>
      </c>
      <c r="H243" s="6" t="s">
        <v>6938</v>
      </c>
    </row>
    <row r="244" spans="1:8" ht="153" x14ac:dyDescent="0.2">
      <c r="A244">
        <v>242</v>
      </c>
      <c r="B244" t="s">
        <v>1611</v>
      </c>
      <c r="C244" t="s">
        <v>3051</v>
      </c>
      <c r="D244" t="s">
        <v>3735</v>
      </c>
      <c r="E244" t="s">
        <v>4059</v>
      </c>
      <c r="F244" s="1" t="s">
        <v>4060</v>
      </c>
      <c r="G244" t="s">
        <v>4061</v>
      </c>
      <c r="H244" s="6" t="s">
        <v>6939</v>
      </c>
    </row>
    <row r="245" spans="1:8" ht="85" x14ac:dyDescent="0.2">
      <c r="A245">
        <v>243</v>
      </c>
      <c r="B245" t="s">
        <v>1611</v>
      </c>
      <c r="C245" t="s">
        <v>3051</v>
      </c>
      <c r="D245" t="s">
        <v>3735</v>
      </c>
      <c r="E245" t="s">
        <v>4059</v>
      </c>
      <c r="F245" s="1" t="s">
        <v>4060</v>
      </c>
      <c r="G245" t="s">
        <v>4062</v>
      </c>
      <c r="H245" s="6" t="s">
        <v>6940</v>
      </c>
    </row>
    <row r="246" spans="1:8" ht="119" x14ac:dyDescent="0.2">
      <c r="A246">
        <v>244</v>
      </c>
      <c r="B246" t="s">
        <v>1611</v>
      </c>
      <c r="C246" t="s">
        <v>3051</v>
      </c>
      <c r="D246" t="s">
        <v>3735</v>
      </c>
      <c r="E246" t="s">
        <v>4059</v>
      </c>
      <c r="F246" s="1" t="s">
        <v>4060</v>
      </c>
      <c r="G246" t="s">
        <v>4063</v>
      </c>
      <c r="H246" s="6" t="s">
        <v>6941</v>
      </c>
    </row>
    <row r="247" spans="1:8" ht="102" x14ac:dyDescent="0.2">
      <c r="A247">
        <v>245</v>
      </c>
      <c r="B247" t="s">
        <v>1611</v>
      </c>
      <c r="C247" t="s">
        <v>3051</v>
      </c>
      <c r="D247" t="s">
        <v>3735</v>
      </c>
      <c r="E247" t="s">
        <v>4059</v>
      </c>
      <c r="F247" s="1" t="s">
        <v>4060</v>
      </c>
      <c r="G247" t="s">
        <v>4064</v>
      </c>
      <c r="H247" s="6" t="s">
        <v>6942</v>
      </c>
    </row>
    <row r="248" spans="1:8" ht="102" x14ac:dyDescent="0.2">
      <c r="A248">
        <v>246</v>
      </c>
      <c r="B248" t="s">
        <v>1611</v>
      </c>
      <c r="C248" t="s">
        <v>3051</v>
      </c>
      <c r="D248" t="s">
        <v>3735</v>
      </c>
      <c r="E248" t="s">
        <v>4059</v>
      </c>
      <c r="F248" s="1" t="s">
        <v>4060</v>
      </c>
      <c r="G248" t="s">
        <v>4065</v>
      </c>
      <c r="H248" s="6" t="s">
        <v>6943</v>
      </c>
    </row>
    <row r="249" spans="1:8" ht="68" x14ac:dyDescent="0.2">
      <c r="A249">
        <v>247</v>
      </c>
      <c r="B249" t="s">
        <v>1611</v>
      </c>
      <c r="C249" t="s">
        <v>3051</v>
      </c>
      <c r="D249" t="s">
        <v>3735</v>
      </c>
      <c r="E249" t="s">
        <v>4059</v>
      </c>
      <c r="F249" s="1" t="s">
        <v>4060</v>
      </c>
      <c r="G249" t="s">
        <v>4066</v>
      </c>
      <c r="H249" s="6" t="s">
        <v>6944</v>
      </c>
    </row>
    <row r="250" spans="1:8" ht="153" x14ac:dyDescent="0.2">
      <c r="A250">
        <v>248</v>
      </c>
      <c r="B250" t="s">
        <v>1611</v>
      </c>
      <c r="C250" t="s">
        <v>3051</v>
      </c>
      <c r="D250" t="s">
        <v>3735</v>
      </c>
      <c r="E250" t="s">
        <v>4067</v>
      </c>
      <c r="F250" t="s">
        <v>4068</v>
      </c>
      <c r="G250" t="s">
        <v>4069</v>
      </c>
      <c r="H250" s="6" t="s">
        <v>6945</v>
      </c>
    </row>
    <row r="251" spans="1:8" ht="85" x14ac:dyDescent="0.2">
      <c r="A251">
        <v>249</v>
      </c>
      <c r="B251" t="s">
        <v>1611</v>
      </c>
      <c r="C251" t="s">
        <v>3051</v>
      </c>
      <c r="D251" t="s">
        <v>3735</v>
      </c>
      <c r="E251" t="s">
        <v>4067</v>
      </c>
      <c r="F251" t="s">
        <v>4068</v>
      </c>
      <c r="G251" t="s">
        <v>4070</v>
      </c>
      <c r="H251" s="6" t="s">
        <v>6946</v>
      </c>
    </row>
    <row r="252" spans="1:8" ht="119" x14ac:dyDescent="0.2">
      <c r="A252">
        <v>250</v>
      </c>
      <c r="B252" t="s">
        <v>1611</v>
      </c>
      <c r="C252" t="s">
        <v>3051</v>
      </c>
      <c r="D252" t="s">
        <v>3735</v>
      </c>
      <c r="E252" t="s">
        <v>4067</v>
      </c>
      <c r="F252" t="s">
        <v>4068</v>
      </c>
      <c r="G252" t="s">
        <v>4071</v>
      </c>
      <c r="H252" s="6" t="s">
        <v>6947</v>
      </c>
    </row>
    <row r="253" spans="1:8" ht="102" x14ac:dyDescent="0.2">
      <c r="A253">
        <v>251</v>
      </c>
      <c r="B253" t="s">
        <v>1611</v>
      </c>
      <c r="C253" t="s">
        <v>3051</v>
      </c>
      <c r="D253" t="s">
        <v>3735</v>
      </c>
      <c r="E253" t="s">
        <v>4067</v>
      </c>
      <c r="F253" t="s">
        <v>4068</v>
      </c>
      <c r="G253" t="s">
        <v>4072</v>
      </c>
      <c r="H253" s="6" t="s">
        <v>6948</v>
      </c>
    </row>
    <row r="254" spans="1:8" ht="102" x14ac:dyDescent="0.2">
      <c r="A254">
        <v>252</v>
      </c>
      <c r="B254" t="s">
        <v>1611</v>
      </c>
      <c r="C254" t="s">
        <v>3051</v>
      </c>
      <c r="D254" t="s">
        <v>3735</v>
      </c>
      <c r="E254" t="s">
        <v>4067</v>
      </c>
      <c r="F254" t="s">
        <v>4068</v>
      </c>
      <c r="G254" t="s">
        <v>4073</v>
      </c>
      <c r="H254" s="6" t="s">
        <v>6949</v>
      </c>
    </row>
    <row r="255" spans="1:8" ht="68" x14ac:dyDescent="0.2">
      <c r="A255">
        <v>253</v>
      </c>
      <c r="B255" t="s">
        <v>1611</v>
      </c>
      <c r="C255" t="s">
        <v>3051</v>
      </c>
      <c r="D255" t="s">
        <v>3735</v>
      </c>
      <c r="E255" t="s">
        <v>4067</v>
      </c>
      <c r="F255" t="s">
        <v>4068</v>
      </c>
      <c r="G255" t="s">
        <v>4074</v>
      </c>
      <c r="H255" s="6" t="s">
        <v>6950</v>
      </c>
    </row>
    <row r="256" spans="1:8" ht="153" x14ac:dyDescent="0.2">
      <c r="A256">
        <v>254</v>
      </c>
      <c r="B256" t="s">
        <v>1611</v>
      </c>
      <c r="C256" t="s">
        <v>3051</v>
      </c>
      <c r="D256" t="s">
        <v>3735</v>
      </c>
      <c r="E256" t="s">
        <v>4075</v>
      </c>
      <c r="F256" t="s">
        <v>4076</v>
      </c>
      <c r="G256" t="s">
        <v>4077</v>
      </c>
      <c r="H256" s="6" t="s">
        <v>6951</v>
      </c>
    </row>
    <row r="257" spans="1:8" ht="85" x14ac:dyDescent="0.2">
      <c r="A257">
        <v>255</v>
      </c>
      <c r="B257" t="s">
        <v>1611</v>
      </c>
      <c r="C257" t="s">
        <v>3051</v>
      </c>
      <c r="D257" t="s">
        <v>3735</v>
      </c>
      <c r="E257" t="s">
        <v>4075</v>
      </c>
      <c r="F257" t="s">
        <v>4076</v>
      </c>
      <c r="G257" t="s">
        <v>4078</v>
      </c>
      <c r="H257" s="6" t="s">
        <v>6952</v>
      </c>
    </row>
    <row r="258" spans="1:8" ht="102" x14ac:dyDescent="0.2">
      <c r="A258">
        <v>256</v>
      </c>
      <c r="B258" t="s">
        <v>1611</v>
      </c>
      <c r="C258" t="s">
        <v>3051</v>
      </c>
      <c r="D258" t="s">
        <v>3735</v>
      </c>
      <c r="E258" t="s">
        <v>4075</v>
      </c>
      <c r="F258" t="s">
        <v>4076</v>
      </c>
      <c r="G258" t="s">
        <v>4079</v>
      </c>
      <c r="H258" s="6" t="s">
        <v>6744</v>
      </c>
    </row>
    <row r="259" spans="1:8" ht="102" x14ac:dyDescent="0.2">
      <c r="A259">
        <v>257</v>
      </c>
      <c r="B259" t="s">
        <v>1611</v>
      </c>
      <c r="C259" t="s">
        <v>3051</v>
      </c>
      <c r="D259" t="s">
        <v>3735</v>
      </c>
      <c r="E259" t="s">
        <v>4075</v>
      </c>
      <c r="F259" t="s">
        <v>4076</v>
      </c>
      <c r="G259" t="s">
        <v>4080</v>
      </c>
      <c r="H259" s="6" t="s">
        <v>6863</v>
      </c>
    </row>
    <row r="260" spans="1:8" ht="102" x14ac:dyDescent="0.2">
      <c r="A260">
        <v>258</v>
      </c>
      <c r="B260" t="s">
        <v>1611</v>
      </c>
      <c r="C260" t="s">
        <v>3051</v>
      </c>
      <c r="D260" t="s">
        <v>3735</v>
      </c>
      <c r="E260" t="s">
        <v>4075</v>
      </c>
      <c r="F260" t="s">
        <v>4076</v>
      </c>
      <c r="G260" t="s">
        <v>4081</v>
      </c>
      <c r="H260" s="6" t="s">
        <v>6953</v>
      </c>
    </row>
    <row r="261" spans="1:8" ht="51" x14ac:dyDescent="0.2">
      <c r="A261">
        <v>259</v>
      </c>
      <c r="B261" t="s">
        <v>1611</v>
      </c>
      <c r="C261" t="s">
        <v>3051</v>
      </c>
      <c r="D261" t="s">
        <v>3735</v>
      </c>
      <c r="E261" t="s">
        <v>4075</v>
      </c>
      <c r="F261" t="s">
        <v>4076</v>
      </c>
      <c r="G261" t="s">
        <v>4082</v>
      </c>
      <c r="H261" s="6" t="s">
        <v>6954</v>
      </c>
    </row>
    <row r="262" spans="1:8" ht="153" x14ac:dyDescent="0.2">
      <c r="A262">
        <v>260</v>
      </c>
      <c r="B262" t="s">
        <v>1611</v>
      </c>
      <c r="C262" t="s">
        <v>3051</v>
      </c>
      <c r="D262" t="s">
        <v>3735</v>
      </c>
      <c r="E262" t="s">
        <v>4083</v>
      </c>
      <c r="F262" t="s">
        <v>4084</v>
      </c>
      <c r="G262" t="s">
        <v>4085</v>
      </c>
      <c r="H262" s="6" t="s">
        <v>6955</v>
      </c>
    </row>
    <row r="263" spans="1:8" ht="85" x14ac:dyDescent="0.2">
      <c r="A263">
        <v>261</v>
      </c>
      <c r="B263" t="s">
        <v>1611</v>
      </c>
      <c r="C263" t="s">
        <v>3051</v>
      </c>
      <c r="D263" t="s">
        <v>3735</v>
      </c>
      <c r="E263" t="s">
        <v>4083</v>
      </c>
      <c r="F263" t="s">
        <v>4084</v>
      </c>
      <c r="G263" t="s">
        <v>4086</v>
      </c>
      <c r="H263" s="6" t="s">
        <v>6956</v>
      </c>
    </row>
    <row r="264" spans="1:8" ht="102" x14ac:dyDescent="0.2">
      <c r="A264">
        <v>262</v>
      </c>
      <c r="B264" t="s">
        <v>1611</v>
      </c>
      <c r="C264" t="s">
        <v>3051</v>
      </c>
      <c r="D264" t="s">
        <v>3735</v>
      </c>
      <c r="E264" t="s">
        <v>4083</v>
      </c>
      <c r="F264" t="s">
        <v>4084</v>
      </c>
      <c r="G264" t="s">
        <v>4087</v>
      </c>
      <c r="H264" s="6" t="s">
        <v>6957</v>
      </c>
    </row>
    <row r="265" spans="1:8" ht="85" x14ac:dyDescent="0.2">
      <c r="A265">
        <v>263</v>
      </c>
      <c r="B265" t="s">
        <v>1611</v>
      </c>
      <c r="C265" t="s">
        <v>3051</v>
      </c>
      <c r="D265" t="s">
        <v>3735</v>
      </c>
      <c r="E265" t="s">
        <v>4083</v>
      </c>
      <c r="F265" t="s">
        <v>4084</v>
      </c>
      <c r="G265" t="s">
        <v>4088</v>
      </c>
      <c r="H265" s="6" t="s">
        <v>6958</v>
      </c>
    </row>
    <row r="266" spans="1:8" ht="102" x14ac:dyDescent="0.2">
      <c r="A266">
        <v>264</v>
      </c>
      <c r="B266" t="s">
        <v>1611</v>
      </c>
      <c r="C266" t="s">
        <v>3051</v>
      </c>
      <c r="D266" t="s">
        <v>3735</v>
      </c>
      <c r="E266" t="s">
        <v>4083</v>
      </c>
      <c r="F266" t="s">
        <v>4084</v>
      </c>
      <c r="G266" t="s">
        <v>4089</v>
      </c>
      <c r="H266" s="6" t="s">
        <v>6902</v>
      </c>
    </row>
    <row r="267" spans="1:8" ht="51" x14ac:dyDescent="0.2">
      <c r="A267">
        <v>265</v>
      </c>
      <c r="B267" t="s">
        <v>1611</v>
      </c>
      <c r="C267" t="s">
        <v>3051</v>
      </c>
      <c r="D267" t="s">
        <v>3735</v>
      </c>
      <c r="E267" t="s">
        <v>4083</v>
      </c>
      <c r="F267" t="s">
        <v>4084</v>
      </c>
      <c r="G267" t="s">
        <v>4090</v>
      </c>
      <c r="H267" s="6" t="s">
        <v>6959</v>
      </c>
    </row>
    <row r="268" spans="1:8" ht="153" x14ac:dyDescent="0.2">
      <c r="A268">
        <v>266</v>
      </c>
      <c r="B268" t="s">
        <v>1611</v>
      </c>
      <c r="C268" t="s">
        <v>3051</v>
      </c>
      <c r="D268" t="s">
        <v>3735</v>
      </c>
      <c r="E268" t="s">
        <v>4091</v>
      </c>
      <c r="F268" t="s">
        <v>4092</v>
      </c>
      <c r="G268" t="s">
        <v>4093</v>
      </c>
      <c r="H268" s="6" t="s">
        <v>6960</v>
      </c>
    </row>
    <row r="269" spans="1:8" ht="85" x14ac:dyDescent="0.2">
      <c r="A269">
        <v>267</v>
      </c>
      <c r="B269" t="s">
        <v>1611</v>
      </c>
      <c r="C269" t="s">
        <v>3051</v>
      </c>
      <c r="D269" t="s">
        <v>3735</v>
      </c>
      <c r="E269" t="s">
        <v>4091</v>
      </c>
      <c r="F269" t="s">
        <v>4092</v>
      </c>
      <c r="G269" t="s">
        <v>4094</v>
      </c>
      <c r="H269" s="6" t="s">
        <v>6961</v>
      </c>
    </row>
    <row r="270" spans="1:8" ht="102" x14ac:dyDescent="0.2">
      <c r="A270">
        <v>268</v>
      </c>
      <c r="B270" t="s">
        <v>1611</v>
      </c>
      <c r="C270" t="s">
        <v>3051</v>
      </c>
      <c r="D270" t="s">
        <v>3735</v>
      </c>
      <c r="E270" t="s">
        <v>4091</v>
      </c>
      <c r="F270" t="s">
        <v>4092</v>
      </c>
      <c r="G270" t="s">
        <v>4095</v>
      </c>
      <c r="H270" s="6" t="s">
        <v>6962</v>
      </c>
    </row>
    <row r="271" spans="1:8" ht="255" x14ac:dyDescent="0.2">
      <c r="A271">
        <v>269</v>
      </c>
      <c r="B271" t="s">
        <v>1611</v>
      </c>
      <c r="C271" t="s">
        <v>3051</v>
      </c>
      <c r="D271" t="s">
        <v>3735</v>
      </c>
      <c r="E271" t="s">
        <v>4091</v>
      </c>
      <c r="F271" t="s">
        <v>4092</v>
      </c>
      <c r="G271" t="s">
        <v>4096</v>
      </c>
      <c r="H271" s="6" t="s">
        <v>6963</v>
      </c>
    </row>
    <row r="272" spans="1:8" ht="153" x14ac:dyDescent="0.2">
      <c r="A272">
        <v>270</v>
      </c>
      <c r="B272" t="s">
        <v>1611</v>
      </c>
      <c r="C272" t="s">
        <v>3051</v>
      </c>
      <c r="D272" t="s">
        <v>3735</v>
      </c>
      <c r="E272" t="s">
        <v>4091</v>
      </c>
      <c r="F272" t="s">
        <v>4092</v>
      </c>
      <c r="G272" t="s">
        <v>4097</v>
      </c>
      <c r="H272" s="6" t="s">
        <v>6964</v>
      </c>
    </row>
    <row r="273" spans="1:8" ht="51" x14ac:dyDescent="0.2">
      <c r="A273">
        <v>271</v>
      </c>
      <c r="B273" t="s">
        <v>1611</v>
      </c>
      <c r="C273" t="s">
        <v>3051</v>
      </c>
      <c r="D273" t="s">
        <v>3735</v>
      </c>
      <c r="E273" t="s">
        <v>4091</v>
      </c>
      <c r="F273" t="s">
        <v>4092</v>
      </c>
      <c r="G273" t="s">
        <v>4098</v>
      </c>
      <c r="H273" s="6" t="s">
        <v>6965</v>
      </c>
    </row>
    <row r="274" spans="1:8" ht="153" x14ac:dyDescent="0.2">
      <c r="A274">
        <v>272</v>
      </c>
      <c r="B274" t="s">
        <v>1611</v>
      </c>
      <c r="C274" t="s">
        <v>3051</v>
      </c>
      <c r="D274" t="s">
        <v>3735</v>
      </c>
      <c r="E274" t="s">
        <v>4099</v>
      </c>
      <c r="F274" t="s">
        <v>4100</v>
      </c>
      <c r="G274" t="s">
        <v>4101</v>
      </c>
      <c r="H274" s="6" t="s">
        <v>6966</v>
      </c>
    </row>
    <row r="275" spans="1:8" ht="85" x14ac:dyDescent="0.2">
      <c r="A275">
        <v>273</v>
      </c>
      <c r="B275" t="s">
        <v>1611</v>
      </c>
      <c r="C275" t="s">
        <v>3051</v>
      </c>
      <c r="D275" t="s">
        <v>3735</v>
      </c>
      <c r="E275" t="s">
        <v>4099</v>
      </c>
      <c r="F275" t="s">
        <v>4100</v>
      </c>
      <c r="G275" t="s">
        <v>4102</v>
      </c>
      <c r="H275" s="6" t="s">
        <v>6967</v>
      </c>
    </row>
    <row r="276" spans="1:8" ht="119" x14ac:dyDescent="0.2">
      <c r="A276">
        <v>274</v>
      </c>
      <c r="B276" t="s">
        <v>1611</v>
      </c>
      <c r="C276" t="s">
        <v>3051</v>
      </c>
      <c r="D276" t="s">
        <v>3735</v>
      </c>
      <c r="E276" t="s">
        <v>4099</v>
      </c>
      <c r="F276" t="s">
        <v>4100</v>
      </c>
      <c r="G276" t="s">
        <v>4103</v>
      </c>
      <c r="H276" s="6" t="s">
        <v>6968</v>
      </c>
    </row>
    <row r="277" spans="1:8" ht="119" x14ac:dyDescent="0.2">
      <c r="A277">
        <v>275</v>
      </c>
      <c r="B277" t="s">
        <v>1611</v>
      </c>
      <c r="C277" t="s">
        <v>3051</v>
      </c>
      <c r="D277" t="s">
        <v>3735</v>
      </c>
      <c r="E277" t="s">
        <v>4099</v>
      </c>
      <c r="F277" t="s">
        <v>4100</v>
      </c>
      <c r="G277" t="s">
        <v>4104</v>
      </c>
      <c r="H277" s="6" t="s">
        <v>6969</v>
      </c>
    </row>
    <row r="278" spans="1:8" ht="102" x14ac:dyDescent="0.2">
      <c r="A278">
        <v>276</v>
      </c>
      <c r="B278" t="s">
        <v>1611</v>
      </c>
      <c r="C278" t="s">
        <v>3051</v>
      </c>
      <c r="D278" t="s">
        <v>3735</v>
      </c>
      <c r="E278" t="s">
        <v>4099</v>
      </c>
      <c r="F278" t="s">
        <v>4100</v>
      </c>
      <c r="G278" t="s">
        <v>4105</v>
      </c>
      <c r="H278" s="6" t="s">
        <v>6884</v>
      </c>
    </row>
    <row r="279" spans="1:8" ht="51" x14ac:dyDescent="0.2">
      <c r="A279">
        <v>277</v>
      </c>
      <c r="B279" t="s">
        <v>1611</v>
      </c>
      <c r="C279" t="s">
        <v>3051</v>
      </c>
      <c r="D279" t="s">
        <v>3735</v>
      </c>
      <c r="E279" t="s">
        <v>4099</v>
      </c>
      <c r="F279" t="s">
        <v>4100</v>
      </c>
      <c r="G279" t="s">
        <v>4106</v>
      </c>
      <c r="H279" s="6" t="s">
        <v>6735</v>
      </c>
    </row>
    <row r="280" spans="1:8" ht="153" x14ac:dyDescent="0.2">
      <c r="A280">
        <v>278</v>
      </c>
      <c r="B280" t="s">
        <v>1611</v>
      </c>
      <c r="C280" t="s">
        <v>3051</v>
      </c>
      <c r="D280" t="s">
        <v>3735</v>
      </c>
      <c r="E280" t="s">
        <v>4107</v>
      </c>
      <c r="F280" t="s">
        <v>4108</v>
      </c>
      <c r="G280" t="s">
        <v>4109</v>
      </c>
      <c r="H280" s="6" t="s">
        <v>6970</v>
      </c>
    </row>
    <row r="281" spans="1:8" ht="85" x14ac:dyDescent="0.2">
      <c r="A281">
        <v>279</v>
      </c>
      <c r="B281" t="s">
        <v>1611</v>
      </c>
      <c r="C281" t="s">
        <v>3051</v>
      </c>
      <c r="D281" t="s">
        <v>3735</v>
      </c>
      <c r="E281" t="s">
        <v>4107</v>
      </c>
      <c r="F281" t="s">
        <v>4108</v>
      </c>
      <c r="G281" t="s">
        <v>4110</v>
      </c>
      <c r="H281" s="6" t="s">
        <v>6971</v>
      </c>
    </row>
    <row r="282" spans="1:8" ht="102" x14ac:dyDescent="0.2">
      <c r="A282">
        <v>280</v>
      </c>
      <c r="B282" t="s">
        <v>1611</v>
      </c>
      <c r="C282" t="s">
        <v>3051</v>
      </c>
      <c r="D282" t="s">
        <v>3735</v>
      </c>
      <c r="E282" t="s">
        <v>4107</v>
      </c>
      <c r="F282" t="s">
        <v>4108</v>
      </c>
      <c r="G282" t="s">
        <v>4111</v>
      </c>
      <c r="H282" s="6" t="s">
        <v>6972</v>
      </c>
    </row>
    <row r="283" spans="1:8" ht="85" x14ac:dyDescent="0.2">
      <c r="A283">
        <v>281</v>
      </c>
      <c r="B283" t="s">
        <v>1611</v>
      </c>
      <c r="C283" t="s">
        <v>3051</v>
      </c>
      <c r="D283" t="s">
        <v>3735</v>
      </c>
      <c r="E283" t="s">
        <v>4107</v>
      </c>
      <c r="F283" t="s">
        <v>4108</v>
      </c>
      <c r="G283" t="s">
        <v>4112</v>
      </c>
      <c r="H283" s="6" t="s">
        <v>6973</v>
      </c>
    </row>
    <row r="284" spans="1:8" ht="102" x14ac:dyDescent="0.2">
      <c r="A284">
        <v>282</v>
      </c>
      <c r="B284" t="s">
        <v>1611</v>
      </c>
      <c r="C284" t="s">
        <v>3051</v>
      </c>
      <c r="D284" t="s">
        <v>3735</v>
      </c>
      <c r="E284" t="s">
        <v>4107</v>
      </c>
      <c r="F284" t="s">
        <v>4108</v>
      </c>
      <c r="G284" t="s">
        <v>4113</v>
      </c>
      <c r="H284" s="6" t="s">
        <v>6974</v>
      </c>
    </row>
    <row r="285" spans="1:8" ht="68" x14ac:dyDescent="0.2">
      <c r="A285">
        <v>283</v>
      </c>
      <c r="B285" t="s">
        <v>1611</v>
      </c>
      <c r="C285" t="s">
        <v>3051</v>
      </c>
      <c r="D285" t="s">
        <v>3735</v>
      </c>
      <c r="E285" t="s">
        <v>4107</v>
      </c>
      <c r="F285" t="s">
        <v>4108</v>
      </c>
      <c r="G285" t="s">
        <v>4114</v>
      </c>
      <c r="H285" s="6" t="s">
        <v>6975</v>
      </c>
    </row>
    <row r="286" spans="1:8" ht="153" x14ac:dyDescent="0.2">
      <c r="A286">
        <v>284</v>
      </c>
      <c r="B286" t="s">
        <v>1611</v>
      </c>
      <c r="C286" t="s">
        <v>3051</v>
      </c>
      <c r="D286" t="s">
        <v>3735</v>
      </c>
      <c r="E286" t="s">
        <v>4115</v>
      </c>
      <c r="F286" t="s">
        <v>4116</v>
      </c>
      <c r="G286" t="s">
        <v>4117</v>
      </c>
      <c r="H286" s="6" t="s">
        <v>6976</v>
      </c>
    </row>
    <row r="287" spans="1:8" ht="85" x14ac:dyDescent="0.2">
      <c r="A287">
        <v>285</v>
      </c>
      <c r="B287" t="s">
        <v>1611</v>
      </c>
      <c r="C287" t="s">
        <v>3051</v>
      </c>
      <c r="D287" t="s">
        <v>3735</v>
      </c>
      <c r="E287" t="s">
        <v>4115</v>
      </c>
      <c r="F287" t="s">
        <v>4116</v>
      </c>
      <c r="G287" t="s">
        <v>4118</v>
      </c>
      <c r="H287" s="6" t="s">
        <v>6977</v>
      </c>
    </row>
    <row r="288" spans="1:8" ht="102" x14ac:dyDescent="0.2">
      <c r="A288">
        <v>286</v>
      </c>
      <c r="B288" t="s">
        <v>1611</v>
      </c>
      <c r="C288" t="s">
        <v>3051</v>
      </c>
      <c r="D288" t="s">
        <v>3735</v>
      </c>
      <c r="E288" t="s">
        <v>4115</v>
      </c>
      <c r="F288" t="s">
        <v>4116</v>
      </c>
      <c r="G288" t="s">
        <v>4119</v>
      </c>
      <c r="H288" s="6" t="s">
        <v>6978</v>
      </c>
    </row>
    <row r="289" spans="1:8" ht="102" x14ac:dyDescent="0.2">
      <c r="A289">
        <v>287</v>
      </c>
      <c r="B289" t="s">
        <v>1611</v>
      </c>
      <c r="C289" t="s">
        <v>3051</v>
      </c>
      <c r="D289" t="s">
        <v>3735</v>
      </c>
      <c r="E289" t="s">
        <v>4115</v>
      </c>
      <c r="F289" t="s">
        <v>4116</v>
      </c>
      <c r="G289" t="s">
        <v>4120</v>
      </c>
      <c r="H289" s="6" t="s">
        <v>6979</v>
      </c>
    </row>
    <row r="290" spans="1:8" ht="119" x14ac:dyDescent="0.2">
      <c r="A290">
        <v>288</v>
      </c>
      <c r="B290" t="s">
        <v>1611</v>
      </c>
      <c r="C290" t="s">
        <v>3051</v>
      </c>
      <c r="D290" t="s">
        <v>3735</v>
      </c>
      <c r="E290" t="s">
        <v>4115</v>
      </c>
      <c r="F290" t="s">
        <v>4116</v>
      </c>
      <c r="G290" t="s">
        <v>4121</v>
      </c>
      <c r="H290" s="6" t="s">
        <v>6980</v>
      </c>
    </row>
    <row r="291" spans="1:8" ht="68" x14ac:dyDescent="0.2">
      <c r="A291">
        <v>289</v>
      </c>
      <c r="B291" t="s">
        <v>1611</v>
      </c>
      <c r="C291" t="s">
        <v>3051</v>
      </c>
      <c r="D291" t="s">
        <v>3735</v>
      </c>
      <c r="E291" t="s">
        <v>4115</v>
      </c>
      <c r="F291" t="s">
        <v>4116</v>
      </c>
      <c r="G291" t="s">
        <v>4122</v>
      </c>
      <c r="H291" s="6" t="s">
        <v>6981</v>
      </c>
    </row>
    <row r="292" spans="1:8" ht="153" x14ac:dyDescent="0.2">
      <c r="A292">
        <v>290</v>
      </c>
      <c r="B292" t="s">
        <v>1611</v>
      </c>
      <c r="C292" t="s">
        <v>3051</v>
      </c>
      <c r="D292" t="s">
        <v>3735</v>
      </c>
      <c r="E292" t="s">
        <v>4123</v>
      </c>
      <c r="F292" t="s">
        <v>4124</v>
      </c>
      <c r="G292" t="s">
        <v>4125</v>
      </c>
      <c r="H292" s="6" t="s">
        <v>6982</v>
      </c>
    </row>
    <row r="293" spans="1:8" ht="85" x14ac:dyDescent="0.2">
      <c r="A293">
        <v>291</v>
      </c>
      <c r="B293" t="s">
        <v>1611</v>
      </c>
      <c r="C293" t="s">
        <v>3051</v>
      </c>
      <c r="D293" t="s">
        <v>3735</v>
      </c>
      <c r="E293" t="s">
        <v>4123</v>
      </c>
      <c r="F293" t="s">
        <v>4124</v>
      </c>
      <c r="G293" t="s">
        <v>4126</v>
      </c>
      <c r="H293" s="6" t="s">
        <v>6983</v>
      </c>
    </row>
    <row r="294" spans="1:8" ht="102" x14ac:dyDescent="0.2">
      <c r="A294">
        <v>292</v>
      </c>
      <c r="B294" t="s">
        <v>1611</v>
      </c>
      <c r="C294" t="s">
        <v>3051</v>
      </c>
      <c r="D294" t="s">
        <v>3735</v>
      </c>
      <c r="E294" t="s">
        <v>4123</v>
      </c>
      <c r="F294" t="s">
        <v>4124</v>
      </c>
      <c r="G294" t="s">
        <v>4127</v>
      </c>
      <c r="H294" s="6" t="s">
        <v>6984</v>
      </c>
    </row>
    <row r="295" spans="1:8" ht="85" x14ac:dyDescent="0.2">
      <c r="A295">
        <v>293</v>
      </c>
      <c r="B295" t="s">
        <v>1611</v>
      </c>
      <c r="C295" t="s">
        <v>3051</v>
      </c>
      <c r="D295" t="s">
        <v>3735</v>
      </c>
      <c r="E295" t="s">
        <v>4123</v>
      </c>
      <c r="F295" t="s">
        <v>4124</v>
      </c>
      <c r="G295" t="s">
        <v>4128</v>
      </c>
      <c r="H295" s="6" t="s">
        <v>6793</v>
      </c>
    </row>
    <row r="296" spans="1:8" ht="102" x14ac:dyDescent="0.2">
      <c r="A296">
        <v>294</v>
      </c>
      <c r="B296" t="s">
        <v>1611</v>
      </c>
      <c r="C296" t="s">
        <v>3051</v>
      </c>
      <c r="D296" t="s">
        <v>3735</v>
      </c>
      <c r="E296" t="s">
        <v>4123</v>
      </c>
      <c r="F296" t="s">
        <v>4124</v>
      </c>
      <c r="G296" t="s">
        <v>4129</v>
      </c>
      <c r="H296" s="6" t="s">
        <v>6985</v>
      </c>
    </row>
    <row r="297" spans="1:8" ht="68" x14ac:dyDescent="0.2">
      <c r="A297">
        <v>295</v>
      </c>
      <c r="B297" t="s">
        <v>1611</v>
      </c>
      <c r="C297" t="s">
        <v>3051</v>
      </c>
      <c r="D297" t="s">
        <v>3735</v>
      </c>
      <c r="E297" t="s">
        <v>4123</v>
      </c>
      <c r="F297" t="s">
        <v>4124</v>
      </c>
      <c r="G297" t="s">
        <v>4130</v>
      </c>
      <c r="H297" s="6" t="s">
        <v>6986</v>
      </c>
    </row>
    <row r="298" spans="1:8" ht="153" x14ac:dyDescent="0.2">
      <c r="A298">
        <v>296</v>
      </c>
      <c r="B298" t="s">
        <v>1611</v>
      </c>
      <c r="C298" t="s">
        <v>3051</v>
      </c>
      <c r="D298" t="s">
        <v>3735</v>
      </c>
      <c r="E298" t="s">
        <v>4131</v>
      </c>
      <c r="F298" t="s">
        <v>4132</v>
      </c>
      <c r="G298" t="s">
        <v>4133</v>
      </c>
      <c r="H298" s="6" t="s">
        <v>6987</v>
      </c>
    </row>
    <row r="299" spans="1:8" ht="85" x14ac:dyDescent="0.2">
      <c r="A299">
        <v>297</v>
      </c>
      <c r="B299" t="s">
        <v>1611</v>
      </c>
      <c r="C299" t="s">
        <v>3051</v>
      </c>
      <c r="D299" t="s">
        <v>3735</v>
      </c>
      <c r="E299" t="s">
        <v>4131</v>
      </c>
      <c r="F299" t="s">
        <v>4132</v>
      </c>
      <c r="G299" t="s">
        <v>4134</v>
      </c>
      <c r="H299" s="6" t="s">
        <v>6988</v>
      </c>
    </row>
    <row r="300" spans="1:8" ht="119" x14ac:dyDescent="0.2">
      <c r="A300">
        <v>298</v>
      </c>
      <c r="B300" t="s">
        <v>1611</v>
      </c>
      <c r="C300" t="s">
        <v>3051</v>
      </c>
      <c r="D300" t="s">
        <v>3735</v>
      </c>
      <c r="E300" t="s">
        <v>4131</v>
      </c>
      <c r="F300" t="s">
        <v>4132</v>
      </c>
      <c r="G300" t="s">
        <v>4135</v>
      </c>
      <c r="H300" s="6" t="s">
        <v>6989</v>
      </c>
    </row>
    <row r="301" spans="1:8" ht="136" x14ac:dyDescent="0.2">
      <c r="A301">
        <v>299</v>
      </c>
      <c r="B301" t="s">
        <v>1611</v>
      </c>
      <c r="C301" t="s">
        <v>3051</v>
      </c>
      <c r="D301" t="s">
        <v>3735</v>
      </c>
      <c r="E301" t="s">
        <v>4131</v>
      </c>
      <c r="F301" t="s">
        <v>4132</v>
      </c>
      <c r="G301" t="s">
        <v>4136</v>
      </c>
      <c r="H301" s="6" t="s">
        <v>6990</v>
      </c>
    </row>
    <row r="302" spans="1:8" ht="136" x14ac:dyDescent="0.2">
      <c r="A302">
        <v>300</v>
      </c>
      <c r="B302" t="s">
        <v>1611</v>
      </c>
      <c r="C302" t="s">
        <v>3051</v>
      </c>
      <c r="D302" t="s">
        <v>3735</v>
      </c>
      <c r="E302" t="s">
        <v>4131</v>
      </c>
      <c r="F302" t="s">
        <v>4132</v>
      </c>
      <c r="G302" t="s">
        <v>4137</v>
      </c>
      <c r="H302" s="6" t="s">
        <v>6991</v>
      </c>
    </row>
    <row r="303" spans="1:8" ht="136" x14ac:dyDescent="0.2">
      <c r="A303">
        <v>301</v>
      </c>
      <c r="B303" t="s">
        <v>1611</v>
      </c>
      <c r="C303" t="s">
        <v>3051</v>
      </c>
      <c r="D303" t="s">
        <v>3735</v>
      </c>
      <c r="E303" t="s">
        <v>4131</v>
      </c>
      <c r="F303" t="s">
        <v>4132</v>
      </c>
      <c r="G303" t="s">
        <v>4138</v>
      </c>
      <c r="H303" s="6" t="s">
        <v>6992</v>
      </c>
    </row>
    <row r="304" spans="1:8" ht="136" x14ac:dyDescent="0.2">
      <c r="A304">
        <v>302</v>
      </c>
      <c r="B304" t="s">
        <v>1611</v>
      </c>
      <c r="C304" t="s">
        <v>3051</v>
      </c>
      <c r="D304" t="s">
        <v>3735</v>
      </c>
      <c r="E304" t="s">
        <v>4131</v>
      </c>
      <c r="F304" t="s">
        <v>4132</v>
      </c>
      <c r="G304" t="s">
        <v>4139</v>
      </c>
      <c r="H304" s="6" t="s">
        <v>6993</v>
      </c>
    </row>
    <row r="305" spans="1:8" ht="119" x14ac:dyDescent="0.2">
      <c r="A305">
        <v>303</v>
      </c>
      <c r="B305" t="s">
        <v>1611</v>
      </c>
      <c r="C305" t="s">
        <v>3051</v>
      </c>
      <c r="D305" t="s">
        <v>3735</v>
      </c>
      <c r="E305" t="s">
        <v>4131</v>
      </c>
      <c r="F305" t="s">
        <v>4132</v>
      </c>
      <c r="G305" t="s">
        <v>4140</v>
      </c>
      <c r="H305" s="6" t="s">
        <v>6994</v>
      </c>
    </row>
    <row r="306" spans="1:8" ht="136" x14ac:dyDescent="0.2">
      <c r="A306">
        <v>304</v>
      </c>
      <c r="B306" t="s">
        <v>1611</v>
      </c>
      <c r="C306" t="s">
        <v>3051</v>
      </c>
      <c r="D306" t="s">
        <v>3735</v>
      </c>
      <c r="E306" t="s">
        <v>4131</v>
      </c>
      <c r="F306" t="s">
        <v>4132</v>
      </c>
      <c r="G306" t="s">
        <v>4141</v>
      </c>
      <c r="H306" s="6" t="s">
        <v>6995</v>
      </c>
    </row>
    <row r="307" spans="1:8" ht="119" x14ac:dyDescent="0.2">
      <c r="A307">
        <v>305</v>
      </c>
      <c r="B307" t="s">
        <v>1611</v>
      </c>
      <c r="C307" t="s">
        <v>3051</v>
      </c>
      <c r="D307" t="s">
        <v>3735</v>
      </c>
      <c r="E307" t="s">
        <v>4131</v>
      </c>
      <c r="F307" t="s">
        <v>4132</v>
      </c>
      <c r="G307" t="s">
        <v>4142</v>
      </c>
      <c r="H307" s="6" t="s">
        <v>6996</v>
      </c>
    </row>
    <row r="308" spans="1:8" ht="136" x14ac:dyDescent="0.2">
      <c r="A308">
        <v>306</v>
      </c>
      <c r="B308" t="s">
        <v>1611</v>
      </c>
      <c r="C308" t="s">
        <v>3051</v>
      </c>
      <c r="D308" t="s">
        <v>3735</v>
      </c>
      <c r="E308" t="s">
        <v>4131</v>
      </c>
      <c r="F308" t="s">
        <v>4132</v>
      </c>
      <c r="G308" t="s">
        <v>4143</v>
      </c>
      <c r="H308" s="6" t="s">
        <v>6997</v>
      </c>
    </row>
    <row r="309" spans="1:8" ht="136" x14ac:dyDescent="0.2">
      <c r="A309">
        <v>307</v>
      </c>
      <c r="B309" t="s">
        <v>1611</v>
      </c>
      <c r="C309" t="s">
        <v>3051</v>
      </c>
      <c r="D309" t="s">
        <v>3735</v>
      </c>
      <c r="E309" t="s">
        <v>4131</v>
      </c>
      <c r="F309" t="s">
        <v>4132</v>
      </c>
      <c r="G309" t="s">
        <v>4144</v>
      </c>
      <c r="H309" s="6" t="s">
        <v>6998</v>
      </c>
    </row>
    <row r="310" spans="1:8" ht="136" x14ac:dyDescent="0.2">
      <c r="A310">
        <v>308</v>
      </c>
      <c r="B310" t="s">
        <v>1611</v>
      </c>
      <c r="C310" t="s">
        <v>3051</v>
      </c>
      <c r="D310" t="s">
        <v>3735</v>
      </c>
      <c r="E310" t="s">
        <v>4131</v>
      </c>
      <c r="F310" t="s">
        <v>4132</v>
      </c>
      <c r="G310" t="s">
        <v>4145</v>
      </c>
      <c r="H310" s="6" t="s">
        <v>6999</v>
      </c>
    </row>
    <row r="311" spans="1:8" ht="136" x14ac:dyDescent="0.2">
      <c r="A311">
        <v>309</v>
      </c>
      <c r="B311" t="s">
        <v>1611</v>
      </c>
      <c r="C311" t="s">
        <v>3051</v>
      </c>
      <c r="D311" t="s">
        <v>3735</v>
      </c>
      <c r="E311" t="s">
        <v>4131</v>
      </c>
      <c r="F311" t="s">
        <v>4132</v>
      </c>
      <c r="G311" t="s">
        <v>4146</v>
      </c>
      <c r="H311" s="6" t="s">
        <v>7000</v>
      </c>
    </row>
    <row r="312" spans="1:8" ht="119" x14ac:dyDescent="0.2">
      <c r="A312">
        <v>310</v>
      </c>
      <c r="B312" t="s">
        <v>1611</v>
      </c>
      <c r="C312" t="s">
        <v>3051</v>
      </c>
      <c r="D312" t="s">
        <v>3735</v>
      </c>
      <c r="E312" t="s">
        <v>4131</v>
      </c>
      <c r="F312" t="s">
        <v>4132</v>
      </c>
      <c r="G312" t="s">
        <v>4147</v>
      </c>
      <c r="H312" s="6" t="s">
        <v>7001</v>
      </c>
    </row>
    <row r="313" spans="1:8" ht="136" x14ac:dyDescent="0.2">
      <c r="A313">
        <v>311</v>
      </c>
      <c r="B313" t="s">
        <v>1611</v>
      </c>
      <c r="C313" t="s">
        <v>3051</v>
      </c>
      <c r="D313" t="s">
        <v>3735</v>
      </c>
      <c r="E313" t="s">
        <v>4131</v>
      </c>
      <c r="F313" t="s">
        <v>4132</v>
      </c>
      <c r="G313" t="s">
        <v>4148</v>
      </c>
      <c r="H313" s="6" t="s">
        <v>7002</v>
      </c>
    </row>
    <row r="314" spans="1:8" ht="153" x14ac:dyDescent="0.2">
      <c r="A314">
        <v>312</v>
      </c>
      <c r="B314" t="s">
        <v>1611</v>
      </c>
      <c r="C314" t="s">
        <v>3051</v>
      </c>
      <c r="D314" t="s">
        <v>3735</v>
      </c>
      <c r="E314" t="s">
        <v>4149</v>
      </c>
      <c r="F314" t="s">
        <v>4150</v>
      </c>
      <c r="G314" t="s">
        <v>4151</v>
      </c>
      <c r="H314" s="6" t="s">
        <v>7003</v>
      </c>
    </row>
    <row r="315" spans="1:8" ht="85" x14ac:dyDescent="0.2">
      <c r="A315">
        <v>313</v>
      </c>
      <c r="B315" t="s">
        <v>1611</v>
      </c>
      <c r="C315" t="s">
        <v>3051</v>
      </c>
      <c r="D315" t="s">
        <v>3735</v>
      </c>
      <c r="E315" t="s">
        <v>4149</v>
      </c>
      <c r="F315" t="s">
        <v>4150</v>
      </c>
      <c r="G315" t="s">
        <v>4152</v>
      </c>
      <c r="H315" s="6" t="s">
        <v>7004</v>
      </c>
    </row>
    <row r="316" spans="1:8" ht="102" x14ac:dyDescent="0.2">
      <c r="A316">
        <v>314</v>
      </c>
      <c r="B316" t="s">
        <v>1611</v>
      </c>
      <c r="C316" t="s">
        <v>3051</v>
      </c>
      <c r="D316" t="s">
        <v>3735</v>
      </c>
      <c r="E316" t="s">
        <v>4149</v>
      </c>
      <c r="F316" t="s">
        <v>4150</v>
      </c>
      <c r="G316" t="s">
        <v>4153</v>
      </c>
      <c r="H316" s="6" t="s">
        <v>7005</v>
      </c>
    </row>
    <row r="317" spans="1:8" ht="102" x14ac:dyDescent="0.2">
      <c r="A317">
        <v>315</v>
      </c>
      <c r="B317" t="s">
        <v>1611</v>
      </c>
      <c r="C317" t="s">
        <v>3051</v>
      </c>
      <c r="D317" t="s">
        <v>3735</v>
      </c>
      <c r="E317" t="s">
        <v>4149</v>
      </c>
      <c r="F317" t="s">
        <v>4150</v>
      </c>
      <c r="G317" t="s">
        <v>4154</v>
      </c>
      <c r="H317" s="6" t="s">
        <v>7006</v>
      </c>
    </row>
    <row r="318" spans="1:8" ht="102" x14ac:dyDescent="0.2">
      <c r="A318">
        <v>316</v>
      </c>
      <c r="B318" t="s">
        <v>1611</v>
      </c>
      <c r="C318" t="s">
        <v>3051</v>
      </c>
      <c r="D318" t="s">
        <v>3735</v>
      </c>
      <c r="E318" t="s">
        <v>4149</v>
      </c>
      <c r="F318" t="s">
        <v>4150</v>
      </c>
      <c r="G318" t="s">
        <v>4155</v>
      </c>
      <c r="H318" s="6" t="s">
        <v>7007</v>
      </c>
    </row>
    <row r="319" spans="1:8" ht="51" x14ac:dyDescent="0.2">
      <c r="A319">
        <v>317</v>
      </c>
      <c r="B319" t="s">
        <v>1611</v>
      </c>
      <c r="C319" t="s">
        <v>3051</v>
      </c>
      <c r="D319" t="s">
        <v>3735</v>
      </c>
      <c r="E319" t="s">
        <v>4149</v>
      </c>
      <c r="F319" t="s">
        <v>4150</v>
      </c>
      <c r="G319" t="s">
        <v>4156</v>
      </c>
      <c r="H319" s="6" t="s">
        <v>7008</v>
      </c>
    </row>
    <row r="320" spans="1:8" ht="153" x14ac:dyDescent="0.2">
      <c r="A320">
        <v>318</v>
      </c>
      <c r="B320" t="s">
        <v>1611</v>
      </c>
      <c r="C320" t="s">
        <v>3051</v>
      </c>
      <c r="D320" t="s">
        <v>3735</v>
      </c>
      <c r="E320" t="s">
        <v>4157</v>
      </c>
      <c r="F320" t="s">
        <v>4158</v>
      </c>
      <c r="G320" t="s">
        <v>4159</v>
      </c>
      <c r="H320" s="6" t="s">
        <v>7009</v>
      </c>
    </row>
    <row r="321" spans="1:8" ht="85" x14ac:dyDescent="0.2">
      <c r="A321">
        <v>319</v>
      </c>
      <c r="B321" t="s">
        <v>1611</v>
      </c>
      <c r="C321" t="s">
        <v>3051</v>
      </c>
      <c r="D321" t="s">
        <v>3735</v>
      </c>
      <c r="E321" t="s">
        <v>4157</v>
      </c>
      <c r="F321" t="s">
        <v>4158</v>
      </c>
      <c r="G321" t="s">
        <v>4160</v>
      </c>
      <c r="H321" s="6" t="s">
        <v>7010</v>
      </c>
    </row>
    <row r="322" spans="1:8" ht="136" x14ac:dyDescent="0.2">
      <c r="A322">
        <v>320</v>
      </c>
      <c r="B322" t="s">
        <v>1611</v>
      </c>
      <c r="C322" t="s">
        <v>3051</v>
      </c>
      <c r="D322" t="s">
        <v>3735</v>
      </c>
      <c r="E322" t="s">
        <v>4157</v>
      </c>
      <c r="F322" t="s">
        <v>4158</v>
      </c>
      <c r="G322" t="s">
        <v>4161</v>
      </c>
      <c r="H322" s="6" t="s">
        <v>7011</v>
      </c>
    </row>
    <row r="323" spans="1:8" ht="102" x14ac:dyDescent="0.2">
      <c r="A323">
        <v>321</v>
      </c>
      <c r="B323" t="s">
        <v>1611</v>
      </c>
      <c r="C323" t="s">
        <v>3051</v>
      </c>
      <c r="D323" t="s">
        <v>3735</v>
      </c>
      <c r="E323" t="s">
        <v>4157</v>
      </c>
      <c r="F323" t="s">
        <v>4158</v>
      </c>
      <c r="G323" t="s">
        <v>4162</v>
      </c>
      <c r="H323" s="6" t="s">
        <v>7012</v>
      </c>
    </row>
    <row r="324" spans="1:8" ht="102" x14ac:dyDescent="0.2">
      <c r="A324">
        <v>322</v>
      </c>
      <c r="B324" t="s">
        <v>1611</v>
      </c>
      <c r="C324" t="s">
        <v>3051</v>
      </c>
      <c r="D324" t="s">
        <v>3735</v>
      </c>
      <c r="E324" t="s">
        <v>4157</v>
      </c>
      <c r="F324" t="s">
        <v>4158</v>
      </c>
      <c r="G324" t="s">
        <v>4163</v>
      </c>
      <c r="H324" s="6" t="s">
        <v>7013</v>
      </c>
    </row>
    <row r="325" spans="1:8" ht="68" x14ac:dyDescent="0.2">
      <c r="A325">
        <v>323</v>
      </c>
      <c r="B325" t="s">
        <v>1611</v>
      </c>
      <c r="C325" t="s">
        <v>3051</v>
      </c>
      <c r="D325" t="s">
        <v>3735</v>
      </c>
      <c r="E325" t="s">
        <v>4157</v>
      </c>
      <c r="F325" t="s">
        <v>4158</v>
      </c>
      <c r="G325" t="s">
        <v>4164</v>
      </c>
      <c r="H325" s="6" t="s">
        <v>7014</v>
      </c>
    </row>
    <row r="326" spans="1:8" ht="153" x14ac:dyDescent="0.2">
      <c r="A326">
        <v>324</v>
      </c>
      <c r="B326" t="s">
        <v>1611</v>
      </c>
      <c r="C326" t="s">
        <v>3051</v>
      </c>
      <c r="D326" t="s">
        <v>3735</v>
      </c>
      <c r="E326" t="s">
        <v>4165</v>
      </c>
      <c r="F326" t="s">
        <v>4166</v>
      </c>
      <c r="G326" t="s">
        <v>4167</v>
      </c>
      <c r="H326" s="6" t="s">
        <v>7015</v>
      </c>
    </row>
    <row r="327" spans="1:8" ht="85" x14ac:dyDescent="0.2">
      <c r="A327">
        <v>325</v>
      </c>
      <c r="B327" t="s">
        <v>1611</v>
      </c>
      <c r="C327" t="s">
        <v>3051</v>
      </c>
      <c r="D327" t="s">
        <v>3735</v>
      </c>
      <c r="E327" t="s">
        <v>4165</v>
      </c>
      <c r="F327" t="s">
        <v>4166</v>
      </c>
      <c r="G327" t="s">
        <v>4168</v>
      </c>
      <c r="H327" s="6" t="s">
        <v>7016</v>
      </c>
    </row>
    <row r="328" spans="1:8" ht="102" x14ac:dyDescent="0.2">
      <c r="A328">
        <v>326</v>
      </c>
      <c r="B328" t="s">
        <v>1611</v>
      </c>
      <c r="C328" t="s">
        <v>3051</v>
      </c>
      <c r="D328" t="s">
        <v>3735</v>
      </c>
      <c r="E328" t="s">
        <v>4165</v>
      </c>
      <c r="F328" t="s">
        <v>4166</v>
      </c>
      <c r="G328" t="s">
        <v>4169</v>
      </c>
      <c r="H328" s="6" t="s">
        <v>7017</v>
      </c>
    </row>
    <row r="329" spans="1:8" ht="119" x14ac:dyDescent="0.2">
      <c r="A329">
        <v>327</v>
      </c>
      <c r="B329" t="s">
        <v>1611</v>
      </c>
      <c r="C329" t="s">
        <v>3051</v>
      </c>
      <c r="D329" t="s">
        <v>3735</v>
      </c>
      <c r="E329" t="s">
        <v>4165</v>
      </c>
      <c r="F329" t="s">
        <v>4166</v>
      </c>
      <c r="G329" t="s">
        <v>4170</v>
      </c>
      <c r="H329" s="6" t="s">
        <v>7018</v>
      </c>
    </row>
    <row r="330" spans="1:8" ht="102" x14ac:dyDescent="0.2">
      <c r="A330">
        <v>328</v>
      </c>
      <c r="B330" t="s">
        <v>1611</v>
      </c>
      <c r="C330" t="s">
        <v>3051</v>
      </c>
      <c r="D330" t="s">
        <v>3735</v>
      </c>
      <c r="E330" t="s">
        <v>4165</v>
      </c>
      <c r="F330" t="s">
        <v>4166</v>
      </c>
      <c r="G330" t="s">
        <v>4171</v>
      </c>
      <c r="H330" s="6" t="s">
        <v>7019</v>
      </c>
    </row>
    <row r="331" spans="1:8" ht="85" x14ac:dyDescent="0.2">
      <c r="A331">
        <v>329</v>
      </c>
      <c r="B331" t="s">
        <v>1611</v>
      </c>
      <c r="C331" t="s">
        <v>3051</v>
      </c>
      <c r="D331" t="s">
        <v>3735</v>
      </c>
      <c r="E331" t="s">
        <v>4165</v>
      </c>
      <c r="F331" t="s">
        <v>4166</v>
      </c>
      <c r="G331" t="s">
        <v>4172</v>
      </c>
      <c r="H331" s="6" t="s">
        <v>7020</v>
      </c>
    </row>
    <row r="332" spans="1:8" ht="153" x14ac:dyDescent="0.2">
      <c r="A332">
        <v>330</v>
      </c>
      <c r="B332" t="s">
        <v>1611</v>
      </c>
      <c r="C332" t="s">
        <v>3051</v>
      </c>
      <c r="D332" t="s">
        <v>3735</v>
      </c>
      <c r="E332" t="s">
        <v>4173</v>
      </c>
      <c r="F332" t="s">
        <v>4174</v>
      </c>
      <c r="G332" t="s">
        <v>4175</v>
      </c>
      <c r="H332" s="6" t="s">
        <v>7021</v>
      </c>
    </row>
    <row r="333" spans="1:8" ht="85" x14ac:dyDescent="0.2">
      <c r="A333">
        <v>331</v>
      </c>
      <c r="B333" t="s">
        <v>1611</v>
      </c>
      <c r="C333" t="s">
        <v>3051</v>
      </c>
      <c r="D333" t="s">
        <v>3735</v>
      </c>
      <c r="E333" t="s">
        <v>4173</v>
      </c>
      <c r="F333" t="s">
        <v>4174</v>
      </c>
      <c r="G333" t="s">
        <v>4176</v>
      </c>
      <c r="H333" s="6" t="s">
        <v>7022</v>
      </c>
    </row>
    <row r="334" spans="1:8" ht="119" x14ac:dyDescent="0.2">
      <c r="A334">
        <v>332</v>
      </c>
      <c r="B334" t="s">
        <v>1611</v>
      </c>
      <c r="C334" t="s">
        <v>3051</v>
      </c>
      <c r="D334" t="s">
        <v>3735</v>
      </c>
      <c r="E334" t="s">
        <v>4173</v>
      </c>
      <c r="F334" t="s">
        <v>4174</v>
      </c>
      <c r="G334" t="s">
        <v>4177</v>
      </c>
      <c r="H334" s="6" t="s">
        <v>7023</v>
      </c>
    </row>
    <row r="335" spans="1:8" ht="102" x14ac:dyDescent="0.2">
      <c r="A335">
        <v>333</v>
      </c>
      <c r="B335" t="s">
        <v>1611</v>
      </c>
      <c r="C335" t="s">
        <v>3051</v>
      </c>
      <c r="D335" t="s">
        <v>3735</v>
      </c>
      <c r="E335" t="s">
        <v>4173</v>
      </c>
      <c r="F335" t="s">
        <v>4174</v>
      </c>
      <c r="G335" t="s">
        <v>4178</v>
      </c>
      <c r="H335" s="6" t="s">
        <v>7024</v>
      </c>
    </row>
    <row r="336" spans="1:8" ht="102" x14ac:dyDescent="0.2">
      <c r="A336">
        <v>334</v>
      </c>
      <c r="B336" t="s">
        <v>1611</v>
      </c>
      <c r="C336" t="s">
        <v>3051</v>
      </c>
      <c r="D336" t="s">
        <v>3735</v>
      </c>
      <c r="E336" t="s">
        <v>4173</v>
      </c>
      <c r="F336" t="s">
        <v>4174</v>
      </c>
      <c r="G336" t="s">
        <v>4179</v>
      </c>
      <c r="H336" s="6" t="s">
        <v>7025</v>
      </c>
    </row>
    <row r="337" spans="1:8" ht="68" x14ac:dyDescent="0.2">
      <c r="A337">
        <v>335</v>
      </c>
      <c r="B337" t="s">
        <v>1611</v>
      </c>
      <c r="C337" t="s">
        <v>3051</v>
      </c>
      <c r="D337" t="s">
        <v>3735</v>
      </c>
      <c r="E337" t="s">
        <v>4173</v>
      </c>
      <c r="F337" t="s">
        <v>4174</v>
      </c>
      <c r="G337" t="s">
        <v>4180</v>
      </c>
      <c r="H337" s="6" t="s">
        <v>7026</v>
      </c>
    </row>
    <row r="338" spans="1:8" ht="153" x14ac:dyDescent="0.2">
      <c r="A338">
        <v>336</v>
      </c>
      <c r="B338" t="s">
        <v>1611</v>
      </c>
      <c r="C338" t="s">
        <v>3051</v>
      </c>
      <c r="D338" t="s">
        <v>3735</v>
      </c>
      <c r="E338" t="s">
        <v>4181</v>
      </c>
      <c r="F338" t="s">
        <v>4182</v>
      </c>
      <c r="G338" t="s">
        <v>4183</v>
      </c>
      <c r="H338" s="6" t="s">
        <v>7027</v>
      </c>
    </row>
    <row r="339" spans="1:8" ht="85" x14ac:dyDescent="0.2">
      <c r="A339">
        <v>337</v>
      </c>
      <c r="B339" t="s">
        <v>1611</v>
      </c>
      <c r="C339" t="s">
        <v>3051</v>
      </c>
      <c r="D339" t="s">
        <v>3735</v>
      </c>
      <c r="E339" t="s">
        <v>4181</v>
      </c>
      <c r="F339" t="s">
        <v>4182</v>
      </c>
      <c r="G339" t="s">
        <v>4184</v>
      </c>
      <c r="H339" s="6" t="s">
        <v>7028</v>
      </c>
    </row>
    <row r="340" spans="1:8" ht="153" x14ac:dyDescent="0.2">
      <c r="A340">
        <v>338</v>
      </c>
      <c r="B340" t="s">
        <v>1611</v>
      </c>
      <c r="C340" t="s">
        <v>3051</v>
      </c>
      <c r="D340" t="s">
        <v>3735</v>
      </c>
      <c r="E340" t="s">
        <v>4185</v>
      </c>
      <c r="F340" t="s">
        <v>4186</v>
      </c>
      <c r="G340" t="s">
        <v>4187</v>
      </c>
      <c r="H340" s="6" t="s">
        <v>7029</v>
      </c>
    </row>
    <row r="341" spans="1:8" ht="85" x14ac:dyDescent="0.2">
      <c r="A341">
        <v>339</v>
      </c>
      <c r="B341" t="s">
        <v>1611</v>
      </c>
      <c r="C341" t="s">
        <v>3051</v>
      </c>
      <c r="D341" t="s">
        <v>3735</v>
      </c>
      <c r="E341" t="s">
        <v>4185</v>
      </c>
      <c r="F341" t="s">
        <v>4186</v>
      </c>
      <c r="G341" t="s">
        <v>4188</v>
      </c>
      <c r="H341" s="6" t="s">
        <v>7030</v>
      </c>
    </row>
    <row r="342" spans="1:8" ht="102" x14ac:dyDescent="0.2">
      <c r="A342">
        <v>340</v>
      </c>
      <c r="B342" t="s">
        <v>1611</v>
      </c>
      <c r="C342" t="s">
        <v>3051</v>
      </c>
      <c r="D342" t="s">
        <v>3735</v>
      </c>
      <c r="E342" t="s">
        <v>4185</v>
      </c>
      <c r="F342" t="s">
        <v>4186</v>
      </c>
      <c r="G342" t="s">
        <v>4189</v>
      </c>
      <c r="H342" s="6" t="s">
        <v>7031</v>
      </c>
    </row>
    <row r="343" spans="1:8" ht="102" x14ac:dyDescent="0.2">
      <c r="A343">
        <v>341</v>
      </c>
      <c r="B343" t="s">
        <v>1611</v>
      </c>
      <c r="C343" t="s">
        <v>3051</v>
      </c>
      <c r="D343" t="s">
        <v>3735</v>
      </c>
      <c r="E343" t="s">
        <v>4185</v>
      </c>
      <c r="F343" t="s">
        <v>4186</v>
      </c>
      <c r="G343" t="s">
        <v>4190</v>
      </c>
      <c r="H343" s="6" t="s">
        <v>7032</v>
      </c>
    </row>
    <row r="344" spans="1:8" ht="102" x14ac:dyDescent="0.2">
      <c r="A344">
        <v>342</v>
      </c>
      <c r="B344" t="s">
        <v>1611</v>
      </c>
      <c r="C344" t="s">
        <v>3051</v>
      </c>
      <c r="D344" t="s">
        <v>3735</v>
      </c>
      <c r="E344" t="s">
        <v>4185</v>
      </c>
      <c r="F344" t="s">
        <v>4186</v>
      </c>
      <c r="G344" t="s">
        <v>4191</v>
      </c>
      <c r="H344" s="6" t="s">
        <v>6858</v>
      </c>
    </row>
    <row r="345" spans="1:8" ht="51" x14ac:dyDescent="0.2">
      <c r="A345">
        <v>343</v>
      </c>
      <c r="B345" t="s">
        <v>1611</v>
      </c>
      <c r="C345" t="s">
        <v>3051</v>
      </c>
      <c r="D345" t="s">
        <v>3735</v>
      </c>
      <c r="E345" t="s">
        <v>4185</v>
      </c>
      <c r="F345" t="s">
        <v>4186</v>
      </c>
      <c r="G345" t="s">
        <v>4192</v>
      </c>
      <c r="H345" s="6" t="s">
        <v>6735</v>
      </c>
    </row>
    <row r="346" spans="1:8" ht="153" x14ac:dyDescent="0.2">
      <c r="A346">
        <v>344</v>
      </c>
      <c r="B346" t="s">
        <v>1611</v>
      </c>
      <c r="C346" t="s">
        <v>3051</v>
      </c>
      <c r="D346" t="s">
        <v>3735</v>
      </c>
      <c r="E346" t="s">
        <v>4193</v>
      </c>
      <c r="F346" t="s">
        <v>4194</v>
      </c>
      <c r="G346" t="s">
        <v>4195</v>
      </c>
      <c r="H346" s="6" t="s">
        <v>7033</v>
      </c>
    </row>
    <row r="347" spans="1:8" ht="85" x14ac:dyDescent="0.2">
      <c r="A347">
        <v>345</v>
      </c>
      <c r="B347" t="s">
        <v>1611</v>
      </c>
      <c r="C347" t="s">
        <v>3051</v>
      </c>
      <c r="D347" t="s">
        <v>3735</v>
      </c>
      <c r="E347" t="s">
        <v>4193</v>
      </c>
      <c r="F347" t="s">
        <v>4194</v>
      </c>
      <c r="G347" t="s">
        <v>4196</v>
      </c>
      <c r="H347" s="6" t="s">
        <v>7034</v>
      </c>
    </row>
    <row r="348" spans="1:8" ht="102" x14ac:dyDescent="0.2">
      <c r="A348">
        <v>346</v>
      </c>
      <c r="B348" t="s">
        <v>1611</v>
      </c>
      <c r="C348" t="s">
        <v>3051</v>
      </c>
      <c r="D348" t="s">
        <v>3735</v>
      </c>
      <c r="E348" t="s">
        <v>4193</v>
      </c>
      <c r="F348" t="s">
        <v>4194</v>
      </c>
      <c r="G348" t="s">
        <v>4197</v>
      </c>
      <c r="H348" s="6" t="s">
        <v>6957</v>
      </c>
    </row>
    <row r="349" spans="1:8" ht="85" x14ac:dyDescent="0.2">
      <c r="A349">
        <v>347</v>
      </c>
      <c r="B349" t="s">
        <v>1611</v>
      </c>
      <c r="C349" t="s">
        <v>3051</v>
      </c>
      <c r="D349" t="s">
        <v>3735</v>
      </c>
      <c r="E349" t="s">
        <v>4193</v>
      </c>
      <c r="F349" t="s">
        <v>4194</v>
      </c>
      <c r="G349" t="s">
        <v>4198</v>
      </c>
      <c r="H349" s="6" t="s">
        <v>6958</v>
      </c>
    </row>
    <row r="350" spans="1:8" ht="102" x14ac:dyDescent="0.2">
      <c r="A350">
        <v>348</v>
      </c>
      <c r="B350" t="s">
        <v>1611</v>
      </c>
      <c r="C350" t="s">
        <v>3051</v>
      </c>
      <c r="D350" t="s">
        <v>3735</v>
      </c>
      <c r="E350" t="s">
        <v>4193</v>
      </c>
      <c r="F350" t="s">
        <v>4194</v>
      </c>
      <c r="G350" t="s">
        <v>4199</v>
      </c>
      <c r="H350" s="6" t="s">
        <v>6902</v>
      </c>
    </row>
    <row r="351" spans="1:8" ht="51" x14ac:dyDescent="0.2">
      <c r="A351">
        <v>349</v>
      </c>
      <c r="B351" t="s">
        <v>1611</v>
      </c>
      <c r="C351" t="s">
        <v>3051</v>
      </c>
      <c r="D351" t="s">
        <v>3735</v>
      </c>
      <c r="E351" t="s">
        <v>4193</v>
      </c>
      <c r="F351" t="s">
        <v>4194</v>
      </c>
      <c r="G351" t="s">
        <v>4200</v>
      </c>
      <c r="H351" s="6" t="s">
        <v>6959</v>
      </c>
    </row>
    <row r="352" spans="1:8" ht="153" x14ac:dyDescent="0.2">
      <c r="A352">
        <v>350</v>
      </c>
      <c r="B352" t="s">
        <v>1611</v>
      </c>
      <c r="C352" t="s">
        <v>3051</v>
      </c>
      <c r="D352" t="s">
        <v>3735</v>
      </c>
      <c r="E352" t="s">
        <v>4201</v>
      </c>
      <c r="F352" t="s">
        <v>4202</v>
      </c>
      <c r="G352" t="s">
        <v>4203</v>
      </c>
      <c r="H352" s="6" t="s">
        <v>7035</v>
      </c>
    </row>
    <row r="353" spans="1:8" ht="85" x14ac:dyDescent="0.2">
      <c r="A353">
        <v>351</v>
      </c>
      <c r="B353" t="s">
        <v>1611</v>
      </c>
      <c r="C353" t="s">
        <v>3051</v>
      </c>
      <c r="D353" t="s">
        <v>3735</v>
      </c>
      <c r="E353" t="s">
        <v>4201</v>
      </c>
      <c r="F353" t="s">
        <v>4202</v>
      </c>
      <c r="G353" t="s">
        <v>4204</v>
      </c>
      <c r="H353" s="6" t="s">
        <v>7036</v>
      </c>
    </row>
    <row r="354" spans="1:8" ht="102" x14ac:dyDescent="0.2">
      <c r="A354">
        <v>352</v>
      </c>
      <c r="B354" t="s">
        <v>1611</v>
      </c>
      <c r="C354" t="s">
        <v>3051</v>
      </c>
      <c r="D354" t="s">
        <v>3735</v>
      </c>
      <c r="E354" t="s">
        <v>4201</v>
      </c>
      <c r="F354" t="s">
        <v>4202</v>
      </c>
      <c r="G354" t="s">
        <v>4205</v>
      </c>
      <c r="H354" s="6" t="s">
        <v>6738</v>
      </c>
    </row>
    <row r="355" spans="1:8" ht="102" x14ac:dyDescent="0.2">
      <c r="A355">
        <v>353</v>
      </c>
      <c r="B355" t="s">
        <v>1611</v>
      </c>
      <c r="C355" t="s">
        <v>3051</v>
      </c>
      <c r="D355" t="s">
        <v>3735</v>
      </c>
      <c r="E355" t="s">
        <v>4201</v>
      </c>
      <c r="F355" t="s">
        <v>4202</v>
      </c>
      <c r="G355" t="s">
        <v>4206</v>
      </c>
      <c r="H355" s="6" t="s">
        <v>7037</v>
      </c>
    </row>
    <row r="356" spans="1:8" ht="119" x14ac:dyDescent="0.2">
      <c r="A356">
        <v>354</v>
      </c>
      <c r="B356" t="s">
        <v>1611</v>
      </c>
      <c r="C356" t="s">
        <v>3051</v>
      </c>
      <c r="D356" t="s">
        <v>3735</v>
      </c>
      <c r="E356" t="s">
        <v>4201</v>
      </c>
      <c r="F356" t="s">
        <v>4202</v>
      </c>
      <c r="G356" t="s">
        <v>4207</v>
      </c>
      <c r="H356" s="6" t="s">
        <v>7038</v>
      </c>
    </row>
    <row r="357" spans="1:8" ht="85" x14ac:dyDescent="0.2">
      <c r="A357">
        <v>355</v>
      </c>
      <c r="B357" t="s">
        <v>1611</v>
      </c>
      <c r="C357" t="s">
        <v>3051</v>
      </c>
      <c r="D357" t="s">
        <v>3735</v>
      </c>
      <c r="E357" t="s">
        <v>4201</v>
      </c>
      <c r="F357" t="s">
        <v>4202</v>
      </c>
      <c r="G357" t="s">
        <v>4208</v>
      </c>
      <c r="H357" s="6" t="s">
        <v>7039</v>
      </c>
    </row>
    <row r="358" spans="1:8" ht="153" x14ac:dyDescent="0.2">
      <c r="A358">
        <v>356</v>
      </c>
      <c r="B358" t="s">
        <v>1611</v>
      </c>
      <c r="C358" t="s">
        <v>3051</v>
      </c>
      <c r="D358" t="s">
        <v>3735</v>
      </c>
      <c r="E358" t="s">
        <v>4209</v>
      </c>
      <c r="F358" t="s">
        <v>4210</v>
      </c>
      <c r="G358" t="s">
        <v>4211</v>
      </c>
      <c r="H358" s="6" t="s">
        <v>7040</v>
      </c>
    </row>
    <row r="359" spans="1:8" ht="85" x14ac:dyDescent="0.2">
      <c r="A359">
        <v>357</v>
      </c>
      <c r="B359" t="s">
        <v>1611</v>
      </c>
      <c r="C359" t="s">
        <v>3051</v>
      </c>
      <c r="D359" t="s">
        <v>3735</v>
      </c>
      <c r="E359" t="s">
        <v>4209</v>
      </c>
      <c r="F359" t="s">
        <v>4210</v>
      </c>
      <c r="G359" t="s">
        <v>4212</v>
      </c>
      <c r="H359" s="6" t="s">
        <v>7041</v>
      </c>
    </row>
    <row r="360" spans="1:8" ht="102" x14ac:dyDescent="0.2">
      <c r="A360">
        <v>358</v>
      </c>
      <c r="B360" t="s">
        <v>1611</v>
      </c>
      <c r="C360" t="s">
        <v>3051</v>
      </c>
      <c r="D360" t="s">
        <v>3735</v>
      </c>
      <c r="E360" t="s">
        <v>4209</v>
      </c>
      <c r="F360" t="s">
        <v>4210</v>
      </c>
      <c r="G360" t="s">
        <v>4213</v>
      </c>
      <c r="H360" s="6" t="s">
        <v>7042</v>
      </c>
    </row>
    <row r="361" spans="1:8" ht="102" x14ac:dyDescent="0.2">
      <c r="A361">
        <v>359</v>
      </c>
      <c r="B361" t="s">
        <v>1611</v>
      </c>
      <c r="C361" t="s">
        <v>3051</v>
      </c>
      <c r="D361" t="s">
        <v>3735</v>
      </c>
      <c r="E361" t="s">
        <v>4209</v>
      </c>
      <c r="F361" t="s">
        <v>4210</v>
      </c>
      <c r="G361" t="s">
        <v>4214</v>
      </c>
      <c r="H361" s="6" t="s">
        <v>7043</v>
      </c>
    </row>
    <row r="362" spans="1:8" ht="119" x14ac:dyDescent="0.2">
      <c r="A362">
        <v>360</v>
      </c>
      <c r="B362" t="s">
        <v>1611</v>
      </c>
      <c r="C362" t="s">
        <v>3051</v>
      </c>
      <c r="D362" t="s">
        <v>3735</v>
      </c>
      <c r="E362" t="s">
        <v>4209</v>
      </c>
      <c r="F362" t="s">
        <v>4210</v>
      </c>
      <c r="G362" t="s">
        <v>4215</v>
      </c>
      <c r="H362" s="6" t="s">
        <v>7044</v>
      </c>
    </row>
    <row r="363" spans="1:8" ht="51" x14ac:dyDescent="0.2">
      <c r="A363">
        <v>361</v>
      </c>
      <c r="B363" t="s">
        <v>1611</v>
      </c>
      <c r="C363" t="s">
        <v>3051</v>
      </c>
      <c r="D363" t="s">
        <v>3735</v>
      </c>
      <c r="E363" t="s">
        <v>4209</v>
      </c>
      <c r="F363" t="s">
        <v>4210</v>
      </c>
      <c r="G363" t="s">
        <v>4216</v>
      </c>
      <c r="H363" s="6" t="s">
        <v>7045</v>
      </c>
    </row>
    <row r="364" spans="1:8" ht="153" x14ac:dyDescent="0.2">
      <c r="A364">
        <v>362</v>
      </c>
      <c r="B364" t="s">
        <v>1611</v>
      </c>
      <c r="C364" t="s">
        <v>3051</v>
      </c>
      <c r="D364" t="s">
        <v>3735</v>
      </c>
      <c r="E364" t="s">
        <v>4217</v>
      </c>
      <c r="F364" t="s">
        <v>4218</v>
      </c>
      <c r="G364" t="s">
        <v>4219</v>
      </c>
      <c r="H364" s="6" t="s">
        <v>7046</v>
      </c>
    </row>
    <row r="365" spans="1:8" ht="85" x14ac:dyDescent="0.2">
      <c r="A365">
        <v>363</v>
      </c>
      <c r="B365" t="s">
        <v>1611</v>
      </c>
      <c r="C365" t="s">
        <v>3051</v>
      </c>
      <c r="D365" t="s">
        <v>3735</v>
      </c>
      <c r="E365" t="s">
        <v>4217</v>
      </c>
      <c r="F365" t="s">
        <v>4218</v>
      </c>
      <c r="G365" t="s">
        <v>4220</v>
      </c>
      <c r="H365" s="6" t="s">
        <v>7047</v>
      </c>
    </row>
    <row r="366" spans="1:8" ht="102" x14ac:dyDescent="0.2">
      <c r="A366">
        <v>364</v>
      </c>
      <c r="B366" t="s">
        <v>1611</v>
      </c>
      <c r="C366" t="s">
        <v>3051</v>
      </c>
      <c r="D366" t="s">
        <v>3735</v>
      </c>
      <c r="E366" t="s">
        <v>4217</v>
      </c>
      <c r="F366" t="s">
        <v>4218</v>
      </c>
      <c r="G366" t="s">
        <v>4221</v>
      </c>
      <c r="H366" s="6" t="s">
        <v>6744</v>
      </c>
    </row>
    <row r="367" spans="1:8" ht="119" x14ac:dyDescent="0.2">
      <c r="A367">
        <v>365</v>
      </c>
      <c r="B367" t="s">
        <v>1611</v>
      </c>
      <c r="C367" t="s">
        <v>3051</v>
      </c>
      <c r="D367" t="s">
        <v>3735</v>
      </c>
      <c r="E367" t="s">
        <v>4217</v>
      </c>
      <c r="F367" t="s">
        <v>4218</v>
      </c>
      <c r="G367" t="s">
        <v>4222</v>
      </c>
      <c r="H367" s="6" t="s">
        <v>7048</v>
      </c>
    </row>
    <row r="368" spans="1:8" ht="102" x14ac:dyDescent="0.2">
      <c r="A368">
        <v>366</v>
      </c>
      <c r="B368" t="s">
        <v>1611</v>
      </c>
      <c r="C368" t="s">
        <v>3051</v>
      </c>
      <c r="D368" t="s">
        <v>3735</v>
      </c>
      <c r="E368" t="s">
        <v>4217</v>
      </c>
      <c r="F368" t="s">
        <v>4218</v>
      </c>
      <c r="G368" t="s">
        <v>4223</v>
      </c>
      <c r="H368" s="6" t="s">
        <v>7049</v>
      </c>
    </row>
    <row r="369" spans="1:8" ht="102" x14ac:dyDescent="0.2">
      <c r="A369">
        <v>367</v>
      </c>
      <c r="B369" t="s">
        <v>1611</v>
      </c>
      <c r="C369" t="s">
        <v>3051</v>
      </c>
      <c r="D369" t="s">
        <v>3735</v>
      </c>
      <c r="E369" t="s">
        <v>4217</v>
      </c>
      <c r="F369" t="s">
        <v>4218</v>
      </c>
      <c r="G369" t="s">
        <v>4224</v>
      </c>
      <c r="H369" s="6" t="s">
        <v>7050</v>
      </c>
    </row>
    <row r="370" spans="1:8" ht="51" x14ac:dyDescent="0.2">
      <c r="A370">
        <v>368</v>
      </c>
      <c r="B370" t="s">
        <v>1611</v>
      </c>
      <c r="C370" t="s">
        <v>3051</v>
      </c>
      <c r="D370" t="s">
        <v>3735</v>
      </c>
      <c r="E370" t="s">
        <v>4217</v>
      </c>
      <c r="F370" t="s">
        <v>4218</v>
      </c>
      <c r="G370" t="s">
        <v>4225</v>
      </c>
      <c r="H370" s="6" t="s">
        <v>7051</v>
      </c>
    </row>
    <row r="371" spans="1:8" ht="153" x14ac:dyDescent="0.2">
      <c r="A371">
        <v>369</v>
      </c>
      <c r="B371" t="s">
        <v>1611</v>
      </c>
      <c r="C371" t="s">
        <v>3051</v>
      </c>
      <c r="D371" t="s">
        <v>3735</v>
      </c>
      <c r="E371" t="s">
        <v>4226</v>
      </c>
      <c r="F371" t="s">
        <v>4227</v>
      </c>
      <c r="G371" t="s">
        <v>4228</v>
      </c>
      <c r="H371" s="6" t="s">
        <v>7052</v>
      </c>
    </row>
    <row r="372" spans="1:8" ht="85" x14ac:dyDescent="0.2">
      <c r="A372">
        <v>370</v>
      </c>
      <c r="B372" t="s">
        <v>1611</v>
      </c>
      <c r="C372" t="s">
        <v>3051</v>
      </c>
      <c r="D372" t="s">
        <v>3735</v>
      </c>
      <c r="E372" t="s">
        <v>4226</v>
      </c>
      <c r="F372" t="s">
        <v>4227</v>
      </c>
      <c r="G372" t="s">
        <v>4229</v>
      </c>
      <c r="H372" s="6" t="s">
        <v>7053</v>
      </c>
    </row>
    <row r="373" spans="1:8" ht="119" x14ac:dyDescent="0.2">
      <c r="A373">
        <v>371</v>
      </c>
      <c r="B373" t="s">
        <v>1611</v>
      </c>
      <c r="C373" t="s">
        <v>3051</v>
      </c>
      <c r="D373" t="s">
        <v>3735</v>
      </c>
      <c r="E373" t="s">
        <v>4226</v>
      </c>
      <c r="F373" t="s">
        <v>4227</v>
      </c>
      <c r="G373" t="s">
        <v>4230</v>
      </c>
      <c r="H373" s="6" t="s">
        <v>7054</v>
      </c>
    </row>
    <row r="374" spans="1:8" ht="119" x14ac:dyDescent="0.2">
      <c r="A374">
        <v>372</v>
      </c>
      <c r="B374" t="s">
        <v>1611</v>
      </c>
      <c r="C374" t="s">
        <v>3051</v>
      </c>
      <c r="D374" t="s">
        <v>3735</v>
      </c>
      <c r="E374" t="s">
        <v>4226</v>
      </c>
      <c r="F374" t="s">
        <v>4227</v>
      </c>
      <c r="G374" t="s">
        <v>4231</v>
      </c>
      <c r="H374" s="6" t="s">
        <v>7055</v>
      </c>
    </row>
    <row r="375" spans="1:8" ht="119" x14ac:dyDescent="0.2">
      <c r="A375">
        <v>373</v>
      </c>
      <c r="B375" t="s">
        <v>1611</v>
      </c>
      <c r="C375" t="s">
        <v>3051</v>
      </c>
      <c r="D375" t="s">
        <v>3735</v>
      </c>
      <c r="E375" t="s">
        <v>4226</v>
      </c>
      <c r="F375" t="s">
        <v>4227</v>
      </c>
      <c r="G375" t="s">
        <v>4232</v>
      </c>
      <c r="H375" s="6" t="s">
        <v>7056</v>
      </c>
    </row>
    <row r="376" spans="1:8" ht="85" x14ac:dyDescent="0.2">
      <c r="A376">
        <v>374</v>
      </c>
      <c r="B376" t="s">
        <v>1611</v>
      </c>
      <c r="C376" t="s">
        <v>3051</v>
      </c>
      <c r="D376" t="s">
        <v>3735</v>
      </c>
      <c r="E376" t="s">
        <v>4226</v>
      </c>
      <c r="F376" t="s">
        <v>4227</v>
      </c>
      <c r="G376" t="s">
        <v>4233</v>
      </c>
      <c r="H376" s="6" t="s">
        <v>7057</v>
      </c>
    </row>
    <row r="377" spans="1:8" ht="153" x14ac:dyDescent="0.2">
      <c r="A377">
        <v>375</v>
      </c>
      <c r="B377" t="s">
        <v>1611</v>
      </c>
      <c r="C377" t="s">
        <v>3051</v>
      </c>
      <c r="D377" t="s">
        <v>3735</v>
      </c>
      <c r="E377" t="s">
        <v>4234</v>
      </c>
      <c r="F377" t="s">
        <v>4235</v>
      </c>
      <c r="G377" t="s">
        <v>4236</v>
      </c>
      <c r="H377" s="6" t="s">
        <v>7058</v>
      </c>
    </row>
    <row r="378" spans="1:8" ht="85" x14ac:dyDescent="0.2">
      <c r="A378">
        <v>376</v>
      </c>
      <c r="B378" t="s">
        <v>1611</v>
      </c>
      <c r="C378" t="s">
        <v>3051</v>
      </c>
      <c r="D378" t="s">
        <v>3735</v>
      </c>
      <c r="E378" t="s">
        <v>4234</v>
      </c>
      <c r="F378" t="s">
        <v>4235</v>
      </c>
      <c r="G378" t="s">
        <v>4237</v>
      </c>
      <c r="H378" s="6" t="s">
        <v>7059</v>
      </c>
    </row>
    <row r="379" spans="1:8" ht="119" x14ac:dyDescent="0.2">
      <c r="A379">
        <v>377</v>
      </c>
      <c r="B379" t="s">
        <v>1611</v>
      </c>
      <c r="C379" t="s">
        <v>3051</v>
      </c>
      <c r="D379" t="s">
        <v>3735</v>
      </c>
      <c r="E379" t="s">
        <v>4234</v>
      </c>
      <c r="F379" t="s">
        <v>4235</v>
      </c>
      <c r="G379" t="s">
        <v>4238</v>
      </c>
      <c r="H379" s="6" t="s">
        <v>7060</v>
      </c>
    </row>
    <row r="380" spans="1:8" ht="85" x14ac:dyDescent="0.2">
      <c r="A380">
        <v>378</v>
      </c>
      <c r="B380" t="s">
        <v>1611</v>
      </c>
      <c r="C380" t="s">
        <v>3051</v>
      </c>
      <c r="D380" t="s">
        <v>3735</v>
      </c>
      <c r="E380" t="s">
        <v>4234</v>
      </c>
      <c r="F380" t="s">
        <v>4235</v>
      </c>
      <c r="G380" t="s">
        <v>4239</v>
      </c>
      <c r="H380" s="6" t="s">
        <v>7061</v>
      </c>
    </row>
    <row r="381" spans="1:8" ht="136" x14ac:dyDescent="0.2">
      <c r="A381">
        <v>379</v>
      </c>
      <c r="B381" t="s">
        <v>1611</v>
      </c>
      <c r="C381" t="s">
        <v>3051</v>
      </c>
      <c r="D381" t="s">
        <v>3735</v>
      </c>
      <c r="E381" t="s">
        <v>4234</v>
      </c>
      <c r="F381" t="s">
        <v>4235</v>
      </c>
      <c r="G381" t="s">
        <v>4240</v>
      </c>
      <c r="H381" s="6" t="s">
        <v>7062</v>
      </c>
    </row>
    <row r="382" spans="1:8" ht="85" x14ac:dyDescent="0.2">
      <c r="A382">
        <v>380</v>
      </c>
      <c r="B382" t="s">
        <v>1611</v>
      </c>
      <c r="C382" t="s">
        <v>3051</v>
      </c>
      <c r="D382" t="s">
        <v>3735</v>
      </c>
      <c r="E382" t="s">
        <v>4234</v>
      </c>
      <c r="F382" t="s">
        <v>4235</v>
      </c>
      <c r="G382" t="s">
        <v>4241</v>
      </c>
      <c r="H382" s="6" t="s">
        <v>7063</v>
      </c>
    </row>
    <row r="383" spans="1:8" ht="153" x14ac:dyDescent="0.2">
      <c r="A383">
        <v>381</v>
      </c>
      <c r="B383" t="s">
        <v>1611</v>
      </c>
      <c r="C383" t="s">
        <v>3051</v>
      </c>
      <c r="D383" t="s">
        <v>3735</v>
      </c>
      <c r="E383" t="s">
        <v>4242</v>
      </c>
      <c r="F383" t="s">
        <v>4243</v>
      </c>
      <c r="G383" t="s">
        <v>4244</v>
      </c>
      <c r="H383" s="6" t="s">
        <v>7064</v>
      </c>
    </row>
    <row r="384" spans="1:8" ht="85" x14ac:dyDescent="0.2">
      <c r="A384">
        <v>382</v>
      </c>
      <c r="B384" t="s">
        <v>1611</v>
      </c>
      <c r="C384" t="s">
        <v>3051</v>
      </c>
      <c r="D384" t="s">
        <v>3735</v>
      </c>
      <c r="E384" t="s">
        <v>4242</v>
      </c>
      <c r="F384" t="s">
        <v>4243</v>
      </c>
      <c r="G384" t="s">
        <v>4245</v>
      </c>
      <c r="H384" s="6" t="s">
        <v>7065</v>
      </c>
    </row>
    <row r="385" spans="1:8" ht="102" x14ac:dyDescent="0.2">
      <c r="A385">
        <v>383</v>
      </c>
      <c r="B385" t="s">
        <v>1611</v>
      </c>
      <c r="C385" t="s">
        <v>3051</v>
      </c>
      <c r="D385" t="s">
        <v>3735</v>
      </c>
      <c r="E385" t="s">
        <v>4242</v>
      </c>
      <c r="F385" t="s">
        <v>4243</v>
      </c>
      <c r="G385" t="s">
        <v>4246</v>
      </c>
      <c r="H385" s="6" t="s">
        <v>6792</v>
      </c>
    </row>
    <row r="386" spans="1:8" ht="119" x14ac:dyDescent="0.2">
      <c r="A386">
        <v>384</v>
      </c>
      <c r="B386" t="s">
        <v>1611</v>
      </c>
      <c r="C386" t="s">
        <v>3051</v>
      </c>
      <c r="D386" t="s">
        <v>3735</v>
      </c>
      <c r="E386" t="s">
        <v>4242</v>
      </c>
      <c r="F386" t="s">
        <v>4243</v>
      </c>
      <c r="G386" t="s">
        <v>4247</v>
      </c>
      <c r="H386" s="6" t="s">
        <v>7066</v>
      </c>
    </row>
    <row r="387" spans="1:8" ht="119" x14ac:dyDescent="0.2">
      <c r="A387">
        <v>385</v>
      </c>
      <c r="B387" t="s">
        <v>1611</v>
      </c>
      <c r="C387" t="s">
        <v>3051</v>
      </c>
      <c r="D387" t="s">
        <v>3735</v>
      </c>
      <c r="E387" t="s">
        <v>4242</v>
      </c>
      <c r="F387" t="s">
        <v>4243</v>
      </c>
      <c r="G387" t="s">
        <v>4248</v>
      </c>
      <c r="H387" s="6" t="s">
        <v>7067</v>
      </c>
    </row>
    <row r="388" spans="1:8" ht="68" x14ac:dyDescent="0.2">
      <c r="A388">
        <v>386</v>
      </c>
      <c r="B388" t="s">
        <v>1611</v>
      </c>
      <c r="C388" t="s">
        <v>3051</v>
      </c>
      <c r="D388" t="s">
        <v>3735</v>
      </c>
      <c r="E388" t="s">
        <v>4242</v>
      </c>
      <c r="F388" t="s">
        <v>4243</v>
      </c>
      <c r="G388" t="s">
        <v>4249</v>
      </c>
      <c r="H388" s="6" t="s">
        <v>7068</v>
      </c>
    </row>
    <row r="389" spans="1:8" ht="153" x14ac:dyDescent="0.2">
      <c r="A389">
        <v>387</v>
      </c>
      <c r="B389" t="s">
        <v>1611</v>
      </c>
      <c r="C389" t="s">
        <v>3051</v>
      </c>
      <c r="D389" t="s">
        <v>3735</v>
      </c>
      <c r="E389" t="s">
        <v>4250</v>
      </c>
      <c r="F389" t="s">
        <v>4251</v>
      </c>
      <c r="G389" t="s">
        <v>4252</v>
      </c>
      <c r="H389" s="6" t="s">
        <v>7069</v>
      </c>
    </row>
    <row r="390" spans="1:8" ht="85" x14ac:dyDescent="0.2">
      <c r="A390">
        <v>388</v>
      </c>
      <c r="B390" t="s">
        <v>1611</v>
      </c>
      <c r="C390" t="s">
        <v>3051</v>
      </c>
      <c r="D390" t="s">
        <v>3735</v>
      </c>
      <c r="E390" t="s">
        <v>4250</v>
      </c>
      <c r="F390" t="s">
        <v>4251</v>
      </c>
      <c r="G390" t="s">
        <v>4253</v>
      </c>
      <c r="H390" s="6" t="s">
        <v>7070</v>
      </c>
    </row>
    <row r="391" spans="1:8" ht="119" x14ac:dyDescent="0.2">
      <c r="A391">
        <v>389</v>
      </c>
      <c r="B391" t="s">
        <v>1611</v>
      </c>
      <c r="C391" t="s">
        <v>3051</v>
      </c>
      <c r="D391" t="s">
        <v>3735</v>
      </c>
      <c r="E391" t="s">
        <v>4250</v>
      </c>
      <c r="F391" t="s">
        <v>4251</v>
      </c>
      <c r="G391" t="s">
        <v>4254</v>
      </c>
      <c r="H391" s="6" t="s">
        <v>7071</v>
      </c>
    </row>
    <row r="392" spans="1:8" ht="85" x14ac:dyDescent="0.2">
      <c r="A392">
        <v>390</v>
      </c>
      <c r="B392" t="s">
        <v>1611</v>
      </c>
      <c r="C392" t="s">
        <v>3051</v>
      </c>
      <c r="D392" t="s">
        <v>3735</v>
      </c>
      <c r="E392" t="s">
        <v>4250</v>
      </c>
      <c r="F392" t="s">
        <v>4251</v>
      </c>
      <c r="G392" t="s">
        <v>4255</v>
      </c>
      <c r="H392" s="6" t="s">
        <v>7072</v>
      </c>
    </row>
    <row r="393" spans="1:8" ht="102" x14ac:dyDescent="0.2">
      <c r="A393">
        <v>391</v>
      </c>
      <c r="B393" t="s">
        <v>1611</v>
      </c>
      <c r="C393" t="s">
        <v>3051</v>
      </c>
      <c r="D393" t="s">
        <v>3735</v>
      </c>
      <c r="E393" t="s">
        <v>4250</v>
      </c>
      <c r="F393" t="s">
        <v>4251</v>
      </c>
      <c r="G393" t="s">
        <v>4256</v>
      </c>
      <c r="H393" s="6" t="s">
        <v>7073</v>
      </c>
    </row>
    <row r="394" spans="1:8" ht="68" x14ac:dyDescent="0.2">
      <c r="A394">
        <v>392</v>
      </c>
      <c r="B394" t="s">
        <v>1611</v>
      </c>
      <c r="C394" t="s">
        <v>3051</v>
      </c>
      <c r="D394" t="s">
        <v>3735</v>
      </c>
      <c r="E394" t="s">
        <v>4250</v>
      </c>
      <c r="F394" t="s">
        <v>4251</v>
      </c>
      <c r="G394" t="s">
        <v>4257</v>
      </c>
      <c r="H394" s="6" t="s">
        <v>7074</v>
      </c>
    </row>
    <row r="395" spans="1:8" ht="153" x14ac:dyDescent="0.2">
      <c r="A395">
        <v>393</v>
      </c>
      <c r="B395" t="s">
        <v>1611</v>
      </c>
      <c r="C395" t="s">
        <v>3051</v>
      </c>
      <c r="D395" t="s">
        <v>3735</v>
      </c>
      <c r="E395" t="s">
        <v>4258</v>
      </c>
      <c r="F395" t="s">
        <v>4259</v>
      </c>
      <c r="G395" t="s">
        <v>4260</v>
      </c>
      <c r="H395" s="6" t="s">
        <v>7075</v>
      </c>
    </row>
    <row r="396" spans="1:8" ht="85" x14ac:dyDescent="0.2">
      <c r="A396">
        <v>394</v>
      </c>
      <c r="B396" t="s">
        <v>1611</v>
      </c>
      <c r="C396" t="s">
        <v>3051</v>
      </c>
      <c r="D396" t="s">
        <v>3735</v>
      </c>
      <c r="E396" t="s">
        <v>4258</v>
      </c>
      <c r="F396" t="s">
        <v>4259</v>
      </c>
      <c r="G396" t="s">
        <v>4261</v>
      </c>
      <c r="H396" s="6" t="s">
        <v>7076</v>
      </c>
    </row>
    <row r="397" spans="1:8" ht="119" x14ac:dyDescent="0.2">
      <c r="A397">
        <v>395</v>
      </c>
      <c r="B397" t="s">
        <v>1611</v>
      </c>
      <c r="C397" t="s">
        <v>3051</v>
      </c>
      <c r="D397" t="s">
        <v>3735</v>
      </c>
      <c r="E397" t="s">
        <v>4258</v>
      </c>
      <c r="F397" t="s">
        <v>4259</v>
      </c>
      <c r="G397" t="s">
        <v>4262</v>
      </c>
      <c r="H397" s="6" t="s">
        <v>7077</v>
      </c>
    </row>
    <row r="398" spans="1:8" ht="102" x14ac:dyDescent="0.2">
      <c r="A398">
        <v>396</v>
      </c>
      <c r="B398" t="s">
        <v>1611</v>
      </c>
      <c r="C398" t="s">
        <v>3051</v>
      </c>
      <c r="D398" t="s">
        <v>3735</v>
      </c>
      <c r="E398" t="s">
        <v>4258</v>
      </c>
      <c r="F398" t="s">
        <v>4259</v>
      </c>
      <c r="G398" t="s">
        <v>4263</v>
      </c>
      <c r="H398" s="6" t="s">
        <v>7078</v>
      </c>
    </row>
    <row r="399" spans="1:8" ht="119" x14ac:dyDescent="0.2">
      <c r="A399">
        <v>397</v>
      </c>
      <c r="B399" t="s">
        <v>1611</v>
      </c>
      <c r="C399" t="s">
        <v>3051</v>
      </c>
      <c r="D399" t="s">
        <v>3735</v>
      </c>
      <c r="E399" t="s">
        <v>4258</v>
      </c>
      <c r="F399" t="s">
        <v>4259</v>
      </c>
      <c r="G399" t="s">
        <v>4264</v>
      </c>
      <c r="H399" s="6" t="s">
        <v>7079</v>
      </c>
    </row>
    <row r="400" spans="1:8" ht="85" x14ac:dyDescent="0.2">
      <c r="A400">
        <v>398</v>
      </c>
      <c r="B400" t="s">
        <v>1611</v>
      </c>
      <c r="C400" t="s">
        <v>3051</v>
      </c>
      <c r="D400" t="s">
        <v>3735</v>
      </c>
      <c r="E400" t="s">
        <v>4258</v>
      </c>
      <c r="F400" t="s">
        <v>4259</v>
      </c>
      <c r="G400" t="s">
        <v>4265</v>
      </c>
      <c r="H400" s="6" t="s">
        <v>7080</v>
      </c>
    </row>
    <row r="401" spans="1:8" ht="153" x14ac:dyDescent="0.2">
      <c r="A401">
        <v>399</v>
      </c>
      <c r="B401" t="s">
        <v>1611</v>
      </c>
      <c r="C401" t="s">
        <v>3051</v>
      </c>
      <c r="D401" t="s">
        <v>3735</v>
      </c>
      <c r="E401" t="s">
        <v>4266</v>
      </c>
      <c r="F401" t="s">
        <v>4267</v>
      </c>
      <c r="G401" t="s">
        <v>4268</v>
      </c>
      <c r="H401" s="6" t="s">
        <v>7081</v>
      </c>
    </row>
    <row r="402" spans="1:8" ht="85" x14ac:dyDescent="0.2">
      <c r="A402">
        <v>400</v>
      </c>
      <c r="B402" t="s">
        <v>1611</v>
      </c>
      <c r="C402" t="s">
        <v>3051</v>
      </c>
      <c r="D402" t="s">
        <v>3735</v>
      </c>
      <c r="E402" t="s">
        <v>4266</v>
      </c>
      <c r="F402" t="s">
        <v>4267</v>
      </c>
      <c r="G402" t="s">
        <v>4269</v>
      </c>
      <c r="H402" s="6" t="s">
        <v>7082</v>
      </c>
    </row>
    <row r="403" spans="1:8" ht="119" x14ac:dyDescent="0.2">
      <c r="A403">
        <v>401</v>
      </c>
      <c r="B403" t="s">
        <v>1611</v>
      </c>
      <c r="C403" t="s">
        <v>3051</v>
      </c>
      <c r="D403" t="s">
        <v>3735</v>
      </c>
      <c r="E403" t="s">
        <v>4266</v>
      </c>
      <c r="F403" t="s">
        <v>4267</v>
      </c>
      <c r="G403" t="s">
        <v>4270</v>
      </c>
      <c r="H403" s="6" t="s">
        <v>7083</v>
      </c>
    </row>
    <row r="404" spans="1:8" ht="119" x14ac:dyDescent="0.2">
      <c r="A404">
        <v>402</v>
      </c>
      <c r="B404" t="s">
        <v>1611</v>
      </c>
      <c r="C404" t="s">
        <v>3051</v>
      </c>
      <c r="D404" t="s">
        <v>3735</v>
      </c>
      <c r="E404" t="s">
        <v>4266</v>
      </c>
      <c r="F404" t="s">
        <v>4267</v>
      </c>
      <c r="G404" t="s">
        <v>4271</v>
      </c>
      <c r="H404" s="6" t="s">
        <v>7084</v>
      </c>
    </row>
    <row r="405" spans="1:8" ht="119" x14ac:dyDescent="0.2">
      <c r="A405">
        <v>403</v>
      </c>
      <c r="B405" t="s">
        <v>1611</v>
      </c>
      <c r="C405" t="s">
        <v>3051</v>
      </c>
      <c r="D405" t="s">
        <v>3735</v>
      </c>
      <c r="E405" t="s">
        <v>4266</v>
      </c>
      <c r="F405" t="s">
        <v>4267</v>
      </c>
      <c r="G405" t="s">
        <v>4272</v>
      </c>
      <c r="H405" s="6" t="s">
        <v>7085</v>
      </c>
    </row>
    <row r="406" spans="1:8" ht="85" x14ac:dyDescent="0.2">
      <c r="A406">
        <v>404</v>
      </c>
      <c r="B406" t="s">
        <v>1611</v>
      </c>
      <c r="C406" t="s">
        <v>3051</v>
      </c>
      <c r="D406" t="s">
        <v>3735</v>
      </c>
      <c r="E406" t="s">
        <v>4266</v>
      </c>
      <c r="F406" t="s">
        <v>4267</v>
      </c>
      <c r="G406" t="s">
        <v>4273</v>
      </c>
      <c r="H406" s="6" t="s">
        <v>7086</v>
      </c>
    </row>
    <row r="407" spans="1:8" ht="153" x14ac:dyDescent="0.2">
      <c r="A407">
        <v>405</v>
      </c>
      <c r="B407" t="s">
        <v>1611</v>
      </c>
      <c r="C407" t="s">
        <v>3051</v>
      </c>
      <c r="D407" t="s">
        <v>3735</v>
      </c>
      <c r="E407" t="s">
        <v>4274</v>
      </c>
      <c r="F407" t="s">
        <v>4275</v>
      </c>
      <c r="G407" t="s">
        <v>4276</v>
      </c>
      <c r="H407" s="6" t="s">
        <v>7087</v>
      </c>
    </row>
    <row r="408" spans="1:8" ht="85" x14ac:dyDescent="0.2">
      <c r="A408">
        <v>406</v>
      </c>
      <c r="B408" t="s">
        <v>1611</v>
      </c>
      <c r="C408" t="s">
        <v>3051</v>
      </c>
      <c r="D408" t="s">
        <v>3735</v>
      </c>
      <c r="E408" t="s">
        <v>4274</v>
      </c>
      <c r="F408" t="s">
        <v>4275</v>
      </c>
      <c r="G408" t="s">
        <v>4277</v>
      </c>
      <c r="H408" s="6" t="s">
        <v>7088</v>
      </c>
    </row>
    <row r="409" spans="1:8" ht="136" x14ac:dyDescent="0.2">
      <c r="A409">
        <v>407</v>
      </c>
      <c r="B409" t="s">
        <v>1611</v>
      </c>
      <c r="C409" t="s">
        <v>3051</v>
      </c>
      <c r="D409" t="s">
        <v>3735</v>
      </c>
      <c r="E409" t="s">
        <v>4274</v>
      </c>
      <c r="F409" t="s">
        <v>4275</v>
      </c>
      <c r="G409" t="s">
        <v>4278</v>
      </c>
      <c r="H409" s="6" t="s">
        <v>7089</v>
      </c>
    </row>
    <row r="410" spans="1:8" ht="119" x14ac:dyDescent="0.2">
      <c r="A410">
        <v>408</v>
      </c>
      <c r="B410" t="s">
        <v>1611</v>
      </c>
      <c r="C410" t="s">
        <v>3051</v>
      </c>
      <c r="D410" t="s">
        <v>3735</v>
      </c>
      <c r="E410" t="s">
        <v>4274</v>
      </c>
      <c r="F410" t="s">
        <v>4275</v>
      </c>
      <c r="G410" t="s">
        <v>4279</v>
      </c>
      <c r="H410" s="6" t="s">
        <v>7090</v>
      </c>
    </row>
    <row r="411" spans="1:8" ht="136" x14ac:dyDescent="0.2">
      <c r="A411">
        <v>409</v>
      </c>
      <c r="B411" t="s">
        <v>1611</v>
      </c>
      <c r="C411" t="s">
        <v>3051</v>
      </c>
      <c r="D411" t="s">
        <v>3735</v>
      </c>
      <c r="E411" t="s">
        <v>4274</v>
      </c>
      <c r="F411" t="s">
        <v>4275</v>
      </c>
      <c r="G411" t="s">
        <v>4280</v>
      </c>
      <c r="H411" s="6" t="s">
        <v>7091</v>
      </c>
    </row>
    <row r="412" spans="1:8" ht="85" x14ac:dyDescent="0.2">
      <c r="A412">
        <v>410</v>
      </c>
      <c r="B412" t="s">
        <v>1611</v>
      </c>
      <c r="C412" t="s">
        <v>3051</v>
      </c>
      <c r="D412" t="s">
        <v>3735</v>
      </c>
      <c r="E412" t="s">
        <v>4274</v>
      </c>
      <c r="F412" t="s">
        <v>4275</v>
      </c>
      <c r="G412" t="s">
        <v>4281</v>
      </c>
      <c r="H412" s="6" t="s">
        <v>7092</v>
      </c>
    </row>
    <row r="413" spans="1:8" ht="153" x14ac:dyDescent="0.2">
      <c r="A413">
        <v>411</v>
      </c>
      <c r="B413" t="s">
        <v>1611</v>
      </c>
      <c r="C413" t="s">
        <v>3051</v>
      </c>
      <c r="D413" t="s">
        <v>3735</v>
      </c>
      <c r="E413" t="s">
        <v>4282</v>
      </c>
      <c r="F413" t="s">
        <v>4283</v>
      </c>
      <c r="G413" t="s">
        <v>4284</v>
      </c>
      <c r="H413" s="6" t="s">
        <v>7093</v>
      </c>
    </row>
    <row r="414" spans="1:8" ht="85" x14ac:dyDescent="0.2">
      <c r="A414">
        <v>412</v>
      </c>
      <c r="B414" t="s">
        <v>1611</v>
      </c>
      <c r="C414" t="s">
        <v>3051</v>
      </c>
      <c r="D414" t="s">
        <v>3735</v>
      </c>
      <c r="E414" t="s">
        <v>4282</v>
      </c>
      <c r="F414" t="s">
        <v>4283</v>
      </c>
      <c r="G414" t="s">
        <v>4285</v>
      </c>
      <c r="H414" s="6" t="s">
        <v>7094</v>
      </c>
    </row>
    <row r="415" spans="1:8" ht="102" x14ac:dyDescent="0.2">
      <c r="A415">
        <v>413</v>
      </c>
      <c r="B415" t="s">
        <v>1611</v>
      </c>
      <c r="C415" t="s">
        <v>3051</v>
      </c>
      <c r="D415" t="s">
        <v>3735</v>
      </c>
      <c r="E415" t="s">
        <v>4282</v>
      </c>
      <c r="F415" t="s">
        <v>4283</v>
      </c>
      <c r="G415" t="s">
        <v>4286</v>
      </c>
      <c r="H415" s="6" t="s">
        <v>6978</v>
      </c>
    </row>
    <row r="416" spans="1:8" ht="102" x14ac:dyDescent="0.2">
      <c r="A416">
        <v>414</v>
      </c>
      <c r="B416" t="s">
        <v>1611</v>
      </c>
      <c r="C416" t="s">
        <v>3051</v>
      </c>
      <c r="D416" t="s">
        <v>3735</v>
      </c>
      <c r="E416" t="s">
        <v>4282</v>
      </c>
      <c r="F416" t="s">
        <v>4283</v>
      </c>
      <c r="G416" t="s">
        <v>4287</v>
      </c>
      <c r="H416" s="6" t="s">
        <v>7095</v>
      </c>
    </row>
    <row r="417" spans="1:8" ht="102" x14ac:dyDescent="0.2">
      <c r="A417">
        <v>415</v>
      </c>
      <c r="B417" t="s">
        <v>1611</v>
      </c>
      <c r="C417" t="s">
        <v>3051</v>
      </c>
      <c r="D417" t="s">
        <v>3735</v>
      </c>
      <c r="E417" t="s">
        <v>4282</v>
      </c>
      <c r="F417" t="s">
        <v>4283</v>
      </c>
      <c r="G417" t="s">
        <v>4288</v>
      </c>
      <c r="H417" s="6" t="s">
        <v>6858</v>
      </c>
    </row>
    <row r="418" spans="1:8" ht="51" x14ac:dyDescent="0.2">
      <c r="A418">
        <v>416</v>
      </c>
      <c r="B418" t="s">
        <v>1611</v>
      </c>
      <c r="C418" t="s">
        <v>3051</v>
      </c>
      <c r="D418" t="s">
        <v>3735</v>
      </c>
      <c r="E418" t="s">
        <v>4282</v>
      </c>
      <c r="F418" t="s">
        <v>4283</v>
      </c>
      <c r="G418" t="s">
        <v>4289</v>
      </c>
      <c r="H418" s="6" t="s">
        <v>7096</v>
      </c>
    </row>
    <row r="419" spans="1:8" ht="153" x14ac:dyDescent="0.2">
      <c r="A419">
        <v>417</v>
      </c>
      <c r="B419" t="s">
        <v>1611</v>
      </c>
      <c r="C419" t="s">
        <v>3051</v>
      </c>
      <c r="D419" t="s">
        <v>3735</v>
      </c>
      <c r="E419" t="s">
        <v>4290</v>
      </c>
      <c r="F419" t="s">
        <v>4291</v>
      </c>
      <c r="G419" t="s">
        <v>4292</v>
      </c>
      <c r="H419" s="6" t="s">
        <v>7097</v>
      </c>
    </row>
    <row r="420" spans="1:8" ht="85" x14ac:dyDescent="0.2">
      <c r="A420">
        <v>418</v>
      </c>
      <c r="B420" t="s">
        <v>1611</v>
      </c>
      <c r="C420" t="s">
        <v>3051</v>
      </c>
      <c r="D420" t="s">
        <v>3735</v>
      </c>
      <c r="E420" t="s">
        <v>4290</v>
      </c>
      <c r="F420" t="s">
        <v>4291</v>
      </c>
      <c r="G420" t="s">
        <v>4293</v>
      </c>
      <c r="H420" s="6" t="s">
        <v>7098</v>
      </c>
    </row>
    <row r="421" spans="1:8" ht="153" x14ac:dyDescent="0.2">
      <c r="A421">
        <v>419</v>
      </c>
      <c r="B421" t="s">
        <v>1611</v>
      </c>
      <c r="C421" t="s">
        <v>3051</v>
      </c>
      <c r="D421" t="s">
        <v>3735</v>
      </c>
      <c r="E421" t="s">
        <v>4290</v>
      </c>
      <c r="F421" t="s">
        <v>4291</v>
      </c>
      <c r="G421" t="s">
        <v>4294</v>
      </c>
      <c r="H421" s="6" t="s">
        <v>7099</v>
      </c>
    </row>
    <row r="422" spans="1:8" ht="153" x14ac:dyDescent="0.2">
      <c r="A422">
        <v>420</v>
      </c>
      <c r="B422" t="s">
        <v>1611</v>
      </c>
      <c r="C422" t="s">
        <v>3051</v>
      </c>
      <c r="D422" t="s">
        <v>3735</v>
      </c>
      <c r="E422" t="s">
        <v>4290</v>
      </c>
      <c r="F422" t="s">
        <v>4291</v>
      </c>
      <c r="G422" t="s">
        <v>4295</v>
      </c>
      <c r="H422" s="6" t="s">
        <v>7100</v>
      </c>
    </row>
    <row r="423" spans="1:8" ht="153" x14ac:dyDescent="0.2">
      <c r="A423">
        <v>421</v>
      </c>
      <c r="B423" t="s">
        <v>1611</v>
      </c>
      <c r="C423" t="s">
        <v>3051</v>
      </c>
      <c r="D423" t="s">
        <v>3735</v>
      </c>
      <c r="E423" t="s">
        <v>4296</v>
      </c>
      <c r="F423" t="s">
        <v>4297</v>
      </c>
      <c r="G423" t="s">
        <v>4298</v>
      </c>
      <c r="H423" s="6" t="s">
        <v>7101</v>
      </c>
    </row>
    <row r="424" spans="1:8" ht="85" x14ac:dyDescent="0.2">
      <c r="A424">
        <v>422</v>
      </c>
      <c r="B424" t="s">
        <v>1611</v>
      </c>
      <c r="C424" t="s">
        <v>3051</v>
      </c>
      <c r="D424" t="s">
        <v>3735</v>
      </c>
      <c r="E424" t="s">
        <v>4296</v>
      </c>
      <c r="F424" t="s">
        <v>4297</v>
      </c>
      <c r="G424" t="s">
        <v>4299</v>
      </c>
      <c r="H424" s="6" t="s">
        <v>7102</v>
      </c>
    </row>
    <row r="425" spans="1:8" ht="102" x14ac:dyDescent="0.2">
      <c r="A425">
        <v>423</v>
      </c>
      <c r="B425" t="s">
        <v>1611</v>
      </c>
      <c r="C425" t="s">
        <v>3051</v>
      </c>
      <c r="D425" t="s">
        <v>3735</v>
      </c>
      <c r="E425" t="s">
        <v>4296</v>
      </c>
      <c r="F425" t="s">
        <v>4297</v>
      </c>
      <c r="G425" t="s">
        <v>4300</v>
      </c>
      <c r="H425" s="6" t="s">
        <v>7103</v>
      </c>
    </row>
    <row r="426" spans="1:8" ht="102" x14ac:dyDescent="0.2">
      <c r="A426">
        <v>424</v>
      </c>
      <c r="B426" t="s">
        <v>1611</v>
      </c>
      <c r="C426" t="s">
        <v>3051</v>
      </c>
      <c r="D426" t="s">
        <v>3735</v>
      </c>
      <c r="E426" t="s">
        <v>4296</v>
      </c>
      <c r="F426" t="s">
        <v>4297</v>
      </c>
      <c r="G426" t="s">
        <v>4301</v>
      </c>
      <c r="H426" s="6" t="s">
        <v>7104</v>
      </c>
    </row>
    <row r="427" spans="1:8" ht="102" x14ac:dyDescent="0.2">
      <c r="A427">
        <v>425</v>
      </c>
      <c r="B427" t="s">
        <v>1611</v>
      </c>
      <c r="C427" t="s">
        <v>3051</v>
      </c>
      <c r="D427" t="s">
        <v>3735</v>
      </c>
      <c r="E427" t="s">
        <v>4296</v>
      </c>
      <c r="F427" t="s">
        <v>4297</v>
      </c>
      <c r="G427" t="s">
        <v>4302</v>
      </c>
      <c r="H427" s="6" t="s">
        <v>7105</v>
      </c>
    </row>
    <row r="428" spans="1:8" ht="68" x14ac:dyDescent="0.2">
      <c r="A428">
        <v>426</v>
      </c>
      <c r="B428" t="s">
        <v>1611</v>
      </c>
      <c r="C428" t="s">
        <v>3051</v>
      </c>
      <c r="D428" t="s">
        <v>3735</v>
      </c>
      <c r="E428" t="s">
        <v>4296</v>
      </c>
      <c r="F428" t="s">
        <v>4297</v>
      </c>
      <c r="G428" t="s">
        <v>4303</v>
      </c>
      <c r="H428" s="6" t="s">
        <v>7106</v>
      </c>
    </row>
    <row r="429" spans="1:8" ht="153" x14ac:dyDescent="0.2">
      <c r="A429">
        <v>427</v>
      </c>
      <c r="B429" t="s">
        <v>1611</v>
      </c>
      <c r="C429" t="s">
        <v>3051</v>
      </c>
      <c r="D429" t="s">
        <v>3735</v>
      </c>
      <c r="E429" t="s">
        <v>4304</v>
      </c>
      <c r="F429" t="s">
        <v>4305</v>
      </c>
      <c r="G429" t="s">
        <v>4306</v>
      </c>
      <c r="H429" s="6" t="s">
        <v>7107</v>
      </c>
    </row>
    <row r="430" spans="1:8" ht="85" x14ac:dyDescent="0.2">
      <c r="A430">
        <v>428</v>
      </c>
      <c r="B430" t="s">
        <v>1611</v>
      </c>
      <c r="C430" t="s">
        <v>3051</v>
      </c>
      <c r="D430" t="s">
        <v>3735</v>
      </c>
      <c r="E430" t="s">
        <v>4304</v>
      </c>
      <c r="F430" t="s">
        <v>4305</v>
      </c>
      <c r="G430" t="s">
        <v>4307</v>
      </c>
      <c r="H430" s="6" t="s">
        <v>7108</v>
      </c>
    </row>
    <row r="431" spans="1:8" ht="51" x14ac:dyDescent="0.2">
      <c r="A431">
        <v>429</v>
      </c>
      <c r="B431" t="s">
        <v>1611</v>
      </c>
      <c r="C431" t="s">
        <v>3051</v>
      </c>
      <c r="D431" t="s">
        <v>3735</v>
      </c>
      <c r="E431" t="s">
        <v>4304</v>
      </c>
      <c r="F431" t="s">
        <v>4305</v>
      </c>
      <c r="G431" t="s">
        <v>4308</v>
      </c>
      <c r="H431" s="6" t="s">
        <v>7109</v>
      </c>
    </row>
    <row r="432" spans="1:8" ht="119" x14ac:dyDescent="0.2">
      <c r="A432">
        <v>430</v>
      </c>
      <c r="B432" t="s">
        <v>1611</v>
      </c>
      <c r="C432" t="s">
        <v>3051</v>
      </c>
      <c r="D432" t="s">
        <v>3735</v>
      </c>
      <c r="E432" t="s">
        <v>4309</v>
      </c>
      <c r="F432" t="s">
        <v>3761</v>
      </c>
      <c r="G432" t="s">
        <v>4310</v>
      </c>
      <c r="H432" s="6" t="s">
        <v>7110</v>
      </c>
    </row>
    <row r="433" spans="1:8" ht="85" x14ac:dyDescent="0.2">
      <c r="A433">
        <v>431</v>
      </c>
      <c r="B433" t="s">
        <v>1611</v>
      </c>
      <c r="C433" t="s">
        <v>3051</v>
      </c>
      <c r="D433" t="s">
        <v>3735</v>
      </c>
      <c r="E433" t="s">
        <v>4309</v>
      </c>
      <c r="F433" t="s">
        <v>3761</v>
      </c>
      <c r="G433" t="s">
        <v>4311</v>
      </c>
      <c r="H433" s="6" t="s">
        <v>7111</v>
      </c>
    </row>
    <row r="434" spans="1:8" ht="102" x14ac:dyDescent="0.2">
      <c r="A434">
        <v>432</v>
      </c>
      <c r="B434" t="s">
        <v>1611</v>
      </c>
      <c r="C434" t="s">
        <v>3051</v>
      </c>
      <c r="D434" t="s">
        <v>3735</v>
      </c>
      <c r="E434" t="s">
        <v>4309</v>
      </c>
      <c r="F434" t="s">
        <v>3761</v>
      </c>
      <c r="G434" t="s">
        <v>4312</v>
      </c>
      <c r="H434" s="6" t="s">
        <v>7112</v>
      </c>
    </row>
    <row r="435" spans="1:8" ht="102" x14ac:dyDescent="0.2">
      <c r="A435">
        <v>433</v>
      </c>
      <c r="B435" t="s">
        <v>1611</v>
      </c>
      <c r="C435" t="s">
        <v>3051</v>
      </c>
      <c r="D435" t="s">
        <v>3735</v>
      </c>
      <c r="E435" t="s">
        <v>4309</v>
      </c>
      <c r="F435" t="s">
        <v>3761</v>
      </c>
      <c r="G435" t="s">
        <v>4313</v>
      </c>
      <c r="H435" s="6" t="s">
        <v>7113</v>
      </c>
    </row>
    <row r="436" spans="1:8" ht="119" x14ac:dyDescent="0.2">
      <c r="A436">
        <v>434</v>
      </c>
      <c r="B436" t="s">
        <v>1611</v>
      </c>
      <c r="C436" t="s">
        <v>3051</v>
      </c>
      <c r="D436" t="s">
        <v>3735</v>
      </c>
      <c r="E436" t="s">
        <v>4309</v>
      </c>
      <c r="F436" t="s">
        <v>3761</v>
      </c>
      <c r="G436" t="s">
        <v>4314</v>
      </c>
      <c r="H436" s="6" t="s">
        <v>7114</v>
      </c>
    </row>
    <row r="437" spans="1:8" ht="102" x14ac:dyDescent="0.2">
      <c r="A437">
        <v>435</v>
      </c>
      <c r="B437" t="s">
        <v>1611</v>
      </c>
      <c r="C437" t="s">
        <v>3051</v>
      </c>
      <c r="D437" t="s">
        <v>3735</v>
      </c>
      <c r="E437" t="s">
        <v>4309</v>
      </c>
      <c r="F437" t="s">
        <v>3761</v>
      </c>
      <c r="G437" t="s">
        <v>4315</v>
      </c>
      <c r="H437" s="6" t="s">
        <v>7115</v>
      </c>
    </row>
    <row r="438" spans="1:8" ht="153" x14ac:dyDescent="0.2">
      <c r="A438">
        <v>436</v>
      </c>
      <c r="B438" t="s">
        <v>1611</v>
      </c>
      <c r="C438" t="s">
        <v>3051</v>
      </c>
      <c r="D438" t="s">
        <v>3735</v>
      </c>
      <c r="E438" t="s">
        <v>4309</v>
      </c>
      <c r="F438" t="s">
        <v>3761</v>
      </c>
      <c r="G438" t="s">
        <v>4316</v>
      </c>
      <c r="H438" s="6" t="s">
        <v>7116</v>
      </c>
    </row>
    <row r="439" spans="1:8" ht="187" x14ac:dyDescent="0.2">
      <c r="A439">
        <v>437</v>
      </c>
      <c r="B439" t="s">
        <v>1611</v>
      </c>
      <c r="C439" t="s">
        <v>3051</v>
      </c>
      <c r="D439" t="s">
        <v>3735</v>
      </c>
      <c r="E439" t="s">
        <v>4309</v>
      </c>
      <c r="F439" t="s">
        <v>3761</v>
      </c>
      <c r="G439" t="s">
        <v>4317</v>
      </c>
      <c r="H439" s="6" t="s">
        <v>7117</v>
      </c>
    </row>
    <row r="440" spans="1:8" ht="136" x14ac:dyDescent="0.2">
      <c r="A440">
        <v>438</v>
      </c>
      <c r="B440" t="s">
        <v>1611</v>
      </c>
      <c r="C440" t="s">
        <v>3051</v>
      </c>
      <c r="D440" t="s">
        <v>3735</v>
      </c>
      <c r="E440" t="s">
        <v>4309</v>
      </c>
      <c r="F440" t="s">
        <v>3761</v>
      </c>
      <c r="G440" t="s">
        <v>4318</v>
      </c>
      <c r="H440" s="6" t="s">
        <v>7118</v>
      </c>
    </row>
    <row r="441" spans="1:8" ht="119" x14ac:dyDescent="0.2">
      <c r="A441">
        <v>439</v>
      </c>
      <c r="B441" t="s">
        <v>1611</v>
      </c>
      <c r="C441" t="s">
        <v>3051</v>
      </c>
      <c r="D441" t="s">
        <v>3735</v>
      </c>
      <c r="E441" t="s">
        <v>4309</v>
      </c>
      <c r="F441" t="s">
        <v>3761</v>
      </c>
      <c r="G441" t="s">
        <v>4319</v>
      </c>
      <c r="H441" s="6" t="s">
        <v>7119</v>
      </c>
    </row>
    <row r="442" spans="1:8" ht="187" x14ac:dyDescent="0.2">
      <c r="A442">
        <v>440</v>
      </c>
      <c r="B442" t="s">
        <v>1611</v>
      </c>
      <c r="C442" t="s">
        <v>3051</v>
      </c>
      <c r="D442" t="s">
        <v>3735</v>
      </c>
      <c r="E442" t="s">
        <v>4320</v>
      </c>
      <c r="F442" t="s">
        <v>3746</v>
      </c>
      <c r="G442" t="s">
        <v>4321</v>
      </c>
      <c r="H442" s="6" t="s">
        <v>7120</v>
      </c>
    </row>
    <row r="443" spans="1:8" ht="85" x14ac:dyDescent="0.2">
      <c r="A443">
        <v>441</v>
      </c>
      <c r="B443" t="s">
        <v>1611</v>
      </c>
      <c r="C443" t="s">
        <v>3051</v>
      </c>
      <c r="D443" t="s">
        <v>3735</v>
      </c>
      <c r="E443" t="s">
        <v>4320</v>
      </c>
      <c r="F443" t="s">
        <v>3746</v>
      </c>
      <c r="G443" t="s">
        <v>4322</v>
      </c>
      <c r="H443" s="6" t="s">
        <v>7121</v>
      </c>
    </row>
    <row r="444" spans="1:8" ht="204" x14ac:dyDescent="0.2">
      <c r="A444">
        <v>442</v>
      </c>
      <c r="B444" t="s">
        <v>1611</v>
      </c>
      <c r="C444" t="s">
        <v>3051</v>
      </c>
      <c r="D444" t="s">
        <v>3735</v>
      </c>
      <c r="E444" t="s">
        <v>4320</v>
      </c>
      <c r="F444" t="s">
        <v>3746</v>
      </c>
      <c r="G444" t="s">
        <v>4323</v>
      </c>
      <c r="H444" s="6" t="s">
        <v>7122</v>
      </c>
    </row>
    <row r="445" spans="1:8" ht="119" x14ac:dyDescent="0.2">
      <c r="A445">
        <v>443</v>
      </c>
      <c r="B445" t="s">
        <v>1611</v>
      </c>
      <c r="C445" t="s">
        <v>3051</v>
      </c>
      <c r="D445" t="s">
        <v>3735</v>
      </c>
      <c r="E445" t="s">
        <v>4320</v>
      </c>
      <c r="F445" t="s">
        <v>3746</v>
      </c>
      <c r="G445" t="s">
        <v>4324</v>
      </c>
      <c r="H445" s="6" t="s">
        <v>7123</v>
      </c>
    </row>
    <row r="446" spans="1:8" ht="85" x14ac:dyDescent="0.2">
      <c r="A446">
        <v>444</v>
      </c>
      <c r="B446" t="s">
        <v>1611</v>
      </c>
      <c r="C446" t="s">
        <v>3051</v>
      </c>
      <c r="D446" t="s">
        <v>3735</v>
      </c>
      <c r="E446" t="s">
        <v>4320</v>
      </c>
      <c r="F446" t="s">
        <v>3746</v>
      </c>
      <c r="G446" t="s">
        <v>4325</v>
      </c>
      <c r="H446" s="6" t="s">
        <v>7124</v>
      </c>
    </row>
    <row r="447" spans="1:8" ht="85" x14ac:dyDescent="0.2">
      <c r="A447">
        <v>445</v>
      </c>
      <c r="B447" t="s">
        <v>1611</v>
      </c>
      <c r="C447" t="s">
        <v>3051</v>
      </c>
      <c r="D447" t="s">
        <v>3735</v>
      </c>
      <c r="E447" t="s">
        <v>4320</v>
      </c>
      <c r="F447" t="s">
        <v>3746</v>
      </c>
      <c r="G447" t="s">
        <v>4326</v>
      </c>
      <c r="H447" s="6" t="s">
        <v>7125</v>
      </c>
    </row>
    <row r="448" spans="1:8" ht="238" x14ac:dyDescent="0.2">
      <c r="A448">
        <v>446</v>
      </c>
      <c r="B448" t="s">
        <v>1611</v>
      </c>
      <c r="C448" t="s">
        <v>3051</v>
      </c>
      <c r="D448" t="s">
        <v>3735</v>
      </c>
      <c r="E448" t="s">
        <v>4320</v>
      </c>
      <c r="F448" t="s">
        <v>3746</v>
      </c>
      <c r="G448" t="s">
        <v>4327</v>
      </c>
      <c r="H448" s="6" t="s">
        <v>7126</v>
      </c>
    </row>
    <row r="449" spans="1:8" ht="102" x14ac:dyDescent="0.2">
      <c r="A449">
        <v>447</v>
      </c>
      <c r="B449" t="s">
        <v>1611</v>
      </c>
      <c r="C449" t="s">
        <v>3051</v>
      </c>
      <c r="D449" t="s">
        <v>3735</v>
      </c>
      <c r="E449" t="s">
        <v>4320</v>
      </c>
      <c r="F449" t="s">
        <v>3746</v>
      </c>
      <c r="G449" t="s">
        <v>4328</v>
      </c>
      <c r="H449" s="6" t="s">
        <v>7127</v>
      </c>
    </row>
    <row r="450" spans="1:8" ht="85" x14ac:dyDescent="0.2">
      <c r="A450">
        <v>448</v>
      </c>
      <c r="B450" t="s">
        <v>1611</v>
      </c>
      <c r="C450" t="s">
        <v>3051</v>
      </c>
      <c r="D450" t="s">
        <v>3735</v>
      </c>
      <c r="E450" t="s">
        <v>4320</v>
      </c>
      <c r="F450" t="s">
        <v>3746</v>
      </c>
      <c r="G450" t="s">
        <v>4329</v>
      </c>
      <c r="H450" s="6" t="s">
        <v>7128</v>
      </c>
    </row>
    <row r="451" spans="1:8" ht="85" x14ac:dyDescent="0.2">
      <c r="A451">
        <v>449</v>
      </c>
      <c r="B451" t="s">
        <v>1611</v>
      </c>
      <c r="C451" t="s">
        <v>3051</v>
      </c>
      <c r="D451" t="s">
        <v>3735</v>
      </c>
      <c r="E451" t="s">
        <v>4320</v>
      </c>
      <c r="F451" t="s">
        <v>3746</v>
      </c>
      <c r="G451" t="s">
        <v>4330</v>
      </c>
      <c r="H451" s="6" t="s">
        <v>7129</v>
      </c>
    </row>
    <row r="452" spans="1:8" ht="409.6" x14ac:dyDescent="0.2">
      <c r="A452">
        <v>450</v>
      </c>
      <c r="B452" t="s">
        <v>1611</v>
      </c>
      <c r="C452" t="s">
        <v>3051</v>
      </c>
      <c r="D452" t="s">
        <v>3735</v>
      </c>
      <c r="E452" t="s">
        <v>4331</v>
      </c>
      <c r="F452" t="s">
        <v>4332</v>
      </c>
      <c r="G452" t="s">
        <v>4333</v>
      </c>
      <c r="H452" s="6" t="s">
        <v>7130</v>
      </c>
    </row>
    <row r="453" spans="1:8" ht="85" x14ac:dyDescent="0.2">
      <c r="A453">
        <v>451</v>
      </c>
      <c r="B453" t="s">
        <v>1611</v>
      </c>
      <c r="C453" t="s">
        <v>3051</v>
      </c>
      <c r="D453" t="s">
        <v>3735</v>
      </c>
      <c r="E453" t="s">
        <v>4331</v>
      </c>
      <c r="F453" t="s">
        <v>4332</v>
      </c>
      <c r="G453" t="s">
        <v>4334</v>
      </c>
      <c r="H453" s="6" t="s">
        <v>7131</v>
      </c>
    </row>
    <row r="454" spans="1:8" ht="102" x14ac:dyDescent="0.2">
      <c r="A454">
        <v>452</v>
      </c>
      <c r="B454" t="s">
        <v>1611</v>
      </c>
      <c r="C454" t="s">
        <v>3051</v>
      </c>
      <c r="D454" t="s">
        <v>3735</v>
      </c>
      <c r="E454" t="s">
        <v>4331</v>
      </c>
      <c r="F454" t="s">
        <v>4332</v>
      </c>
      <c r="G454" t="s">
        <v>4335</v>
      </c>
      <c r="H454" s="6" t="s">
        <v>7132</v>
      </c>
    </row>
    <row r="455" spans="1:8" ht="119" x14ac:dyDescent="0.2">
      <c r="A455">
        <v>453</v>
      </c>
      <c r="B455" t="s">
        <v>1611</v>
      </c>
      <c r="C455" t="s">
        <v>3051</v>
      </c>
      <c r="D455" t="s">
        <v>3735</v>
      </c>
      <c r="E455" t="s">
        <v>4331</v>
      </c>
      <c r="F455" t="s">
        <v>4332</v>
      </c>
      <c r="G455" t="s">
        <v>4336</v>
      </c>
      <c r="H455" s="6" t="s">
        <v>7133</v>
      </c>
    </row>
    <row r="456" spans="1:8" ht="153" x14ac:dyDescent="0.2">
      <c r="A456">
        <v>454</v>
      </c>
      <c r="B456" t="s">
        <v>1611</v>
      </c>
      <c r="C456" t="s">
        <v>3051</v>
      </c>
      <c r="D456" t="s">
        <v>3735</v>
      </c>
      <c r="E456" t="s">
        <v>4331</v>
      </c>
      <c r="F456" t="s">
        <v>4332</v>
      </c>
      <c r="G456" t="s">
        <v>4337</v>
      </c>
      <c r="H456" s="6" t="s">
        <v>7134</v>
      </c>
    </row>
    <row r="457" spans="1:8" ht="153" x14ac:dyDescent="0.2">
      <c r="A457">
        <v>455</v>
      </c>
      <c r="B457" t="s">
        <v>1611</v>
      </c>
      <c r="C457" t="s">
        <v>3051</v>
      </c>
      <c r="D457" t="s">
        <v>3735</v>
      </c>
      <c r="E457" t="s">
        <v>4331</v>
      </c>
      <c r="F457" t="s">
        <v>4332</v>
      </c>
      <c r="G457" t="s">
        <v>4338</v>
      </c>
      <c r="H457" s="6" t="s">
        <v>7135</v>
      </c>
    </row>
    <row r="458" spans="1:8" ht="85" x14ac:dyDescent="0.2">
      <c r="A458">
        <v>456</v>
      </c>
      <c r="B458" t="s">
        <v>1611</v>
      </c>
      <c r="C458" t="s">
        <v>3051</v>
      </c>
      <c r="D458" t="s">
        <v>3735</v>
      </c>
      <c r="E458" t="s">
        <v>4331</v>
      </c>
      <c r="F458" t="s">
        <v>4332</v>
      </c>
      <c r="G458" t="s">
        <v>4339</v>
      </c>
      <c r="H458" s="6" t="s">
        <v>7136</v>
      </c>
    </row>
    <row r="459" spans="1:8" ht="85" x14ac:dyDescent="0.2">
      <c r="A459">
        <v>457</v>
      </c>
      <c r="B459" t="s">
        <v>1611</v>
      </c>
      <c r="C459" t="s">
        <v>3051</v>
      </c>
      <c r="D459" t="s">
        <v>3735</v>
      </c>
      <c r="E459" t="s">
        <v>4331</v>
      </c>
      <c r="F459" t="s">
        <v>4332</v>
      </c>
      <c r="G459" t="s">
        <v>4340</v>
      </c>
      <c r="H459" s="6" t="s">
        <v>7137</v>
      </c>
    </row>
    <row r="460" spans="1:8" ht="85" x14ac:dyDescent="0.2">
      <c r="A460">
        <v>458</v>
      </c>
      <c r="B460" t="s">
        <v>1611</v>
      </c>
      <c r="C460" t="s">
        <v>3051</v>
      </c>
      <c r="D460" t="s">
        <v>3735</v>
      </c>
      <c r="E460" t="s">
        <v>4331</v>
      </c>
      <c r="F460" t="s">
        <v>4332</v>
      </c>
      <c r="G460" t="s">
        <v>4341</v>
      </c>
      <c r="H460" s="6" t="s">
        <v>7138</v>
      </c>
    </row>
    <row r="461" spans="1:8" ht="102" x14ac:dyDescent="0.2">
      <c r="A461">
        <v>459</v>
      </c>
      <c r="B461" t="s">
        <v>1611</v>
      </c>
      <c r="C461" t="s">
        <v>3051</v>
      </c>
      <c r="D461" t="s">
        <v>3735</v>
      </c>
      <c r="E461" t="s">
        <v>4331</v>
      </c>
      <c r="F461" t="s">
        <v>4332</v>
      </c>
      <c r="G461" t="s">
        <v>4342</v>
      </c>
      <c r="H461" s="6" t="s">
        <v>7139</v>
      </c>
    </row>
    <row r="462" spans="1:8" ht="102" x14ac:dyDescent="0.2">
      <c r="A462">
        <v>460</v>
      </c>
      <c r="B462" t="s">
        <v>1611</v>
      </c>
      <c r="C462" t="s">
        <v>3051</v>
      </c>
      <c r="D462" t="s">
        <v>3735</v>
      </c>
      <c r="E462" t="s">
        <v>4331</v>
      </c>
      <c r="F462" t="s">
        <v>4332</v>
      </c>
      <c r="G462" t="s">
        <v>4343</v>
      </c>
      <c r="H462" s="6" t="s">
        <v>7140</v>
      </c>
    </row>
    <row r="463" spans="1:8" ht="119" x14ac:dyDescent="0.2">
      <c r="A463">
        <v>461</v>
      </c>
      <c r="B463" t="s">
        <v>1611</v>
      </c>
      <c r="C463" t="s">
        <v>3051</v>
      </c>
      <c r="D463" t="s">
        <v>3735</v>
      </c>
      <c r="E463" t="s">
        <v>4331</v>
      </c>
      <c r="F463" t="s">
        <v>4332</v>
      </c>
      <c r="G463" t="s">
        <v>4344</v>
      </c>
      <c r="H463" s="6" t="s">
        <v>7141</v>
      </c>
    </row>
    <row r="464" spans="1:8" ht="85" x14ac:dyDescent="0.2">
      <c r="A464">
        <v>462</v>
      </c>
      <c r="B464" t="s">
        <v>1611</v>
      </c>
      <c r="C464" t="s">
        <v>3051</v>
      </c>
      <c r="D464" t="s">
        <v>3735</v>
      </c>
      <c r="E464" t="s">
        <v>4331</v>
      </c>
      <c r="F464" t="s">
        <v>4332</v>
      </c>
      <c r="G464" t="s">
        <v>4345</v>
      </c>
      <c r="H464" s="6" t="s">
        <v>7142</v>
      </c>
    </row>
    <row r="465" spans="1:8" ht="102" x14ac:dyDescent="0.2">
      <c r="A465">
        <v>463</v>
      </c>
      <c r="B465" t="s">
        <v>1611</v>
      </c>
      <c r="C465" t="s">
        <v>3051</v>
      </c>
      <c r="D465" t="s">
        <v>3735</v>
      </c>
      <c r="E465" t="s">
        <v>4331</v>
      </c>
      <c r="F465" t="s">
        <v>4332</v>
      </c>
      <c r="G465" t="s">
        <v>4346</v>
      </c>
      <c r="H465" s="6" t="s">
        <v>7143</v>
      </c>
    </row>
    <row r="466" spans="1:8" ht="119" x14ac:dyDescent="0.2">
      <c r="A466">
        <v>464</v>
      </c>
      <c r="B466" t="s">
        <v>1611</v>
      </c>
      <c r="C466" t="s">
        <v>3051</v>
      </c>
      <c r="D466" t="s">
        <v>3735</v>
      </c>
      <c r="E466" t="s">
        <v>4331</v>
      </c>
      <c r="F466" t="s">
        <v>4332</v>
      </c>
      <c r="G466" t="s">
        <v>4347</v>
      </c>
      <c r="H466" s="6" t="s">
        <v>7144</v>
      </c>
    </row>
    <row r="467" spans="1:8" ht="170" x14ac:dyDescent="0.2">
      <c r="A467">
        <v>465</v>
      </c>
      <c r="B467" t="s">
        <v>1611</v>
      </c>
      <c r="C467" t="s">
        <v>3051</v>
      </c>
      <c r="D467" t="s">
        <v>3735</v>
      </c>
      <c r="E467" t="s">
        <v>4331</v>
      </c>
      <c r="F467" t="s">
        <v>4332</v>
      </c>
      <c r="G467" t="s">
        <v>4348</v>
      </c>
      <c r="H467" s="6" t="s">
        <v>7145</v>
      </c>
    </row>
    <row r="468" spans="1:8" ht="136" x14ac:dyDescent="0.2">
      <c r="A468">
        <v>466</v>
      </c>
      <c r="B468" t="s">
        <v>1611</v>
      </c>
      <c r="C468" t="s">
        <v>3051</v>
      </c>
      <c r="D468" t="s">
        <v>3735</v>
      </c>
      <c r="E468" t="s">
        <v>4331</v>
      </c>
      <c r="F468" t="s">
        <v>4332</v>
      </c>
      <c r="G468" t="s">
        <v>4349</v>
      </c>
      <c r="H468" s="6" t="s">
        <v>7146</v>
      </c>
    </row>
    <row r="469" spans="1:8" ht="238" x14ac:dyDescent="0.2">
      <c r="A469">
        <v>467</v>
      </c>
      <c r="B469" t="s">
        <v>1611</v>
      </c>
      <c r="C469" t="s">
        <v>3051</v>
      </c>
      <c r="D469" t="s">
        <v>3735</v>
      </c>
      <c r="E469" t="s">
        <v>4331</v>
      </c>
      <c r="F469" t="s">
        <v>4332</v>
      </c>
      <c r="G469" t="s">
        <v>4350</v>
      </c>
      <c r="H469" s="6" t="s">
        <v>7147</v>
      </c>
    </row>
    <row r="470" spans="1:8" ht="102" x14ac:dyDescent="0.2">
      <c r="A470">
        <v>468</v>
      </c>
      <c r="B470" t="s">
        <v>1611</v>
      </c>
      <c r="C470" t="s">
        <v>3051</v>
      </c>
      <c r="D470" t="s">
        <v>3735</v>
      </c>
      <c r="E470" t="s">
        <v>4331</v>
      </c>
      <c r="F470" t="s">
        <v>4332</v>
      </c>
      <c r="G470" t="s">
        <v>4351</v>
      </c>
      <c r="H470" s="6" t="s">
        <v>7148</v>
      </c>
    </row>
    <row r="471" spans="1:8" ht="102" x14ac:dyDescent="0.2">
      <c r="A471">
        <v>469</v>
      </c>
      <c r="B471" t="s">
        <v>1611</v>
      </c>
      <c r="C471" t="s">
        <v>3051</v>
      </c>
      <c r="D471" t="s">
        <v>3735</v>
      </c>
      <c r="E471" t="s">
        <v>4331</v>
      </c>
      <c r="F471" t="s">
        <v>4332</v>
      </c>
      <c r="G471" t="s">
        <v>4352</v>
      </c>
      <c r="H471" s="6" t="s">
        <v>7149</v>
      </c>
    </row>
    <row r="472" spans="1:8" ht="85" x14ac:dyDescent="0.2">
      <c r="A472">
        <v>470</v>
      </c>
      <c r="B472" t="s">
        <v>1611</v>
      </c>
      <c r="C472" t="s">
        <v>3051</v>
      </c>
      <c r="D472" t="s">
        <v>3735</v>
      </c>
      <c r="E472" t="s">
        <v>4331</v>
      </c>
      <c r="F472" t="s">
        <v>4332</v>
      </c>
      <c r="G472" t="s">
        <v>4353</v>
      </c>
      <c r="H472" s="6" t="s">
        <v>7150</v>
      </c>
    </row>
    <row r="473" spans="1:8" ht="85" x14ac:dyDescent="0.2">
      <c r="A473">
        <v>471</v>
      </c>
      <c r="B473" t="s">
        <v>1611</v>
      </c>
      <c r="C473" t="s">
        <v>3051</v>
      </c>
      <c r="D473" t="s">
        <v>3735</v>
      </c>
      <c r="E473" t="s">
        <v>4331</v>
      </c>
      <c r="F473" t="s">
        <v>4332</v>
      </c>
      <c r="G473" t="s">
        <v>4354</v>
      </c>
      <c r="H473" s="6" t="s">
        <v>7151</v>
      </c>
    </row>
    <row r="474" spans="1:8" ht="85" x14ac:dyDescent="0.2">
      <c r="A474">
        <v>472</v>
      </c>
      <c r="B474" t="s">
        <v>1611</v>
      </c>
      <c r="C474" t="s">
        <v>3051</v>
      </c>
      <c r="D474" t="s">
        <v>3735</v>
      </c>
      <c r="E474" t="s">
        <v>4331</v>
      </c>
      <c r="F474" t="s">
        <v>4332</v>
      </c>
      <c r="G474" t="s">
        <v>4355</v>
      </c>
      <c r="H474" s="6" t="s">
        <v>7152</v>
      </c>
    </row>
    <row r="475" spans="1:8" ht="102" x14ac:dyDescent="0.2">
      <c r="A475">
        <v>473</v>
      </c>
      <c r="B475" t="s">
        <v>1611</v>
      </c>
      <c r="C475" t="s">
        <v>3051</v>
      </c>
      <c r="D475" t="s">
        <v>3735</v>
      </c>
      <c r="E475" t="s">
        <v>4331</v>
      </c>
      <c r="F475" t="s">
        <v>4332</v>
      </c>
      <c r="G475" t="s">
        <v>4356</v>
      </c>
      <c r="H475" s="6" t="s">
        <v>7153</v>
      </c>
    </row>
    <row r="476" spans="1:8" ht="85" x14ac:dyDescent="0.2">
      <c r="A476">
        <v>474</v>
      </c>
      <c r="B476" t="s">
        <v>1611</v>
      </c>
      <c r="C476" t="s">
        <v>3051</v>
      </c>
      <c r="D476" t="s">
        <v>3735</v>
      </c>
      <c r="E476" t="s">
        <v>4331</v>
      </c>
      <c r="F476" t="s">
        <v>4332</v>
      </c>
      <c r="G476" t="s">
        <v>4357</v>
      </c>
      <c r="H476" s="6" t="s">
        <v>7154</v>
      </c>
    </row>
    <row r="477" spans="1:8" ht="85" x14ac:dyDescent="0.2">
      <c r="A477">
        <v>475</v>
      </c>
      <c r="B477" t="s">
        <v>1611</v>
      </c>
      <c r="C477" t="s">
        <v>3051</v>
      </c>
      <c r="D477" t="s">
        <v>3735</v>
      </c>
      <c r="E477" t="s">
        <v>4331</v>
      </c>
      <c r="F477" t="s">
        <v>4332</v>
      </c>
      <c r="G477" t="s">
        <v>4358</v>
      </c>
      <c r="H477" s="6" t="s">
        <v>7155</v>
      </c>
    </row>
    <row r="478" spans="1:8" ht="85" x14ac:dyDescent="0.2">
      <c r="A478">
        <v>476</v>
      </c>
      <c r="B478" t="s">
        <v>1611</v>
      </c>
      <c r="C478" t="s">
        <v>3051</v>
      </c>
      <c r="D478" t="s">
        <v>3735</v>
      </c>
      <c r="E478" t="s">
        <v>4331</v>
      </c>
      <c r="F478" t="s">
        <v>4332</v>
      </c>
      <c r="G478" t="s">
        <v>4359</v>
      </c>
      <c r="H478" s="6" t="s">
        <v>7156</v>
      </c>
    </row>
    <row r="479" spans="1:8" ht="85" x14ac:dyDescent="0.2">
      <c r="A479">
        <v>477</v>
      </c>
      <c r="B479" t="s">
        <v>1611</v>
      </c>
      <c r="C479" t="s">
        <v>3051</v>
      </c>
      <c r="D479" t="s">
        <v>3735</v>
      </c>
      <c r="E479" t="s">
        <v>4331</v>
      </c>
      <c r="F479" t="s">
        <v>4332</v>
      </c>
      <c r="G479" t="s">
        <v>4360</v>
      </c>
      <c r="H479" s="6" t="s">
        <v>7157</v>
      </c>
    </row>
    <row r="480" spans="1:8" ht="68" x14ac:dyDescent="0.2">
      <c r="A480">
        <v>478</v>
      </c>
      <c r="B480" t="s">
        <v>1611</v>
      </c>
      <c r="C480" t="s">
        <v>3051</v>
      </c>
      <c r="D480" t="s">
        <v>3735</v>
      </c>
      <c r="E480" t="s">
        <v>4331</v>
      </c>
      <c r="F480" t="s">
        <v>4332</v>
      </c>
      <c r="G480" t="s">
        <v>4361</v>
      </c>
      <c r="H480" s="6" t="s">
        <v>7158</v>
      </c>
    </row>
    <row r="481" spans="1:8" ht="221" x14ac:dyDescent="0.2">
      <c r="A481">
        <v>479</v>
      </c>
      <c r="B481" t="s">
        <v>1611</v>
      </c>
      <c r="C481" t="s">
        <v>3051</v>
      </c>
      <c r="D481" t="s">
        <v>3735</v>
      </c>
      <c r="E481" t="s">
        <v>4362</v>
      </c>
      <c r="F481" t="s">
        <v>4363</v>
      </c>
      <c r="G481" t="s">
        <v>4364</v>
      </c>
      <c r="H481" s="6" t="s">
        <v>7159</v>
      </c>
    </row>
    <row r="482" spans="1:8" ht="221" x14ac:dyDescent="0.2">
      <c r="A482">
        <v>480</v>
      </c>
      <c r="B482" t="s">
        <v>1611</v>
      </c>
      <c r="C482" t="s">
        <v>3051</v>
      </c>
      <c r="D482" t="s">
        <v>3735</v>
      </c>
      <c r="E482" t="s">
        <v>4362</v>
      </c>
      <c r="F482" t="s">
        <v>4363</v>
      </c>
      <c r="G482" t="s">
        <v>4365</v>
      </c>
      <c r="H482" s="6" t="s">
        <v>7160</v>
      </c>
    </row>
    <row r="483" spans="1:8" ht="187" x14ac:dyDescent="0.2">
      <c r="A483">
        <v>481</v>
      </c>
      <c r="B483" t="s">
        <v>1611</v>
      </c>
      <c r="C483" t="s">
        <v>3051</v>
      </c>
      <c r="D483" t="s">
        <v>3735</v>
      </c>
      <c r="E483" t="s">
        <v>4366</v>
      </c>
      <c r="F483" t="s">
        <v>4367</v>
      </c>
      <c r="G483" t="s">
        <v>4368</v>
      </c>
      <c r="H483" s="6" t="s">
        <v>7161</v>
      </c>
    </row>
    <row r="484" spans="1:8" ht="119" x14ac:dyDescent="0.2">
      <c r="A484">
        <v>482</v>
      </c>
      <c r="B484" t="s">
        <v>1611</v>
      </c>
      <c r="C484" t="s">
        <v>3051</v>
      </c>
      <c r="D484" t="s">
        <v>3735</v>
      </c>
      <c r="E484" t="s">
        <v>4369</v>
      </c>
      <c r="F484" t="s">
        <v>4370</v>
      </c>
      <c r="G484" t="s">
        <v>4371</v>
      </c>
      <c r="H484" s="6" t="s">
        <v>7162</v>
      </c>
    </row>
    <row r="485" spans="1:8" ht="187" x14ac:dyDescent="0.2">
      <c r="A485">
        <v>483</v>
      </c>
      <c r="B485" t="s">
        <v>1611</v>
      </c>
      <c r="C485" t="s">
        <v>3051</v>
      </c>
      <c r="D485" t="s">
        <v>3735</v>
      </c>
      <c r="E485" t="s">
        <v>4369</v>
      </c>
      <c r="F485" t="s">
        <v>4370</v>
      </c>
      <c r="G485" t="s">
        <v>4372</v>
      </c>
      <c r="H485" s="6" t="s">
        <v>7163</v>
      </c>
    </row>
    <row r="486" spans="1:8" ht="255" x14ac:dyDescent="0.2">
      <c r="A486">
        <v>484</v>
      </c>
      <c r="B486" t="s">
        <v>1611</v>
      </c>
      <c r="C486" t="s">
        <v>3051</v>
      </c>
      <c r="D486" t="s">
        <v>3735</v>
      </c>
      <c r="E486" t="s">
        <v>4373</v>
      </c>
      <c r="F486" t="s">
        <v>4374</v>
      </c>
      <c r="G486" t="s">
        <v>4375</v>
      </c>
      <c r="H486" s="6" t="s">
        <v>7164</v>
      </c>
    </row>
    <row r="487" spans="1:8" ht="289" x14ac:dyDescent="0.2">
      <c r="A487">
        <v>485</v>
      </c>
      <c r="B487" t="s">
        <v>1611</v>
      </c>
      <c r="C487" t="s">
        <v>3051</v>
      </c>
      <c r="D487" t="s">
        <v>3735</v>
      </c>
      <c r="E487" t="s">
        <v>4373</v>
      </c>
      <c r="F487" t="s">
        <v>4374</v>
      </c>
      <c r="G487" t="s">
        <v>4376</v>
      </c>
      <c r="H487" s="6" t="s">
        <v>7165</v>
      </c>
    </row>
    <row r="488" spans="1:8" ht="102" x14ac:dyDescent="0.2">
      <c r="A488">
        <v>486</v>
      </c>
      <c r="B488" t="s">
        <v>1611</v>
      </c>
      <c r="C488" t="s">
        <v>3051</v>
      </c>
      <c r="D488" t="s">
        <v>3735</v>
      </c>
      <c r="E488" t="s">
        <v>4373</v>
      </c>
      <c r="F488" t="s">
        <v>4374</v>
      </c>
      <c r="G488" t="s">
        <v>4377</v>
      </c>
      <c r="H488" s="6" t="s">
        <v>7166</v>
      </c>
    </row>
    <row r="489" spans="1:8" ht="85" x14ac:dyDescent="0.2">
      <c r="A489">
        <v>487</v>
      </c>
      <c r="B489" t="s">
        <v>1611</v>
      </c>
      <c r="C489" t="s">
        <v>3051</v>
      </c>
      <c r="D489" t="s">
        <v>3735</v>
      </c>
      <c r="E489" t="s">
        <v>4373</v>
      </c>
      <c r="F489" t="s">
        <v>4374</v>
      </c>
      <c r="G489" t="s">
        <v>4378</v>
      </c>
      <c r="H489" s="6" t="s">
        <v>7167</v>
      </c>
    </row>
    <row r="490" spans="1:8" ht="68" x14ac:dyDescent="0.2">
      <c r="A490">
        <v>488</v>
      </c>
      <c r="B490" t="s">
        <v>1611</v>
      </c>
      <c r="C490" t="s">
        <v>3051</v>
      </c>
      <c r="D490" t="s">
        <v>3735</v>
      </c>
      <c r="E490" t="s">
        <v>4373</v>
      </c>
      <c r="F490" t="s">
        <v>4374</v>
      </c>
      <c r="G490" t="s">
        <v>4379</v>
      </c>
      <c r="H490" s="6" t="s">
        <v>7168</v>
      </c>
    </row>
    <row r="491" spans="1:8" ht="204" x14ac:dyDescent="0.2">
      <c r="A491">
        <v>489</v>
      </c>
      <c r="B491" t="s">
        <v>1611</v>
      </c>
      <c r="C491" t="s">
        <v>3051</v>
      </c>
      <c r="D491" t="s">
        <v>3735</v>
      </c>
      <c r="E491" t="s">
        <v>4380</v>
      </c>
      <c r="F491" t="s">
        <v>4381</v>
      </c>
      <c r="G491" t="s">
        <v>4382</v>
      </c>
      <c r="H491" s="6" t="s">
        <v>7169</v>
      </c>
    </row>
    <row r="492" spans="1:8" ht="85" x14ac:dyDescent="0.2">
      <c r="A492">
        <v>490</v>
      </c>
      <c r="B492" t="s">
        <v>1611</v>
      </c>
      <c r="C492" t="s">
        <v>3051</v>
      </c>
      <c r="D492" t="s">
        <v>3735</v>
      </c>
      <c r="E492" t="s">
        <v>4383</v>
      </c>
      <c r="F492" t="s">
        <v>4384</v>
      </c>
      <c r="G492" t="s">
        <v>4385</v>
      </c>
      <c r="H492" s="6" t="s">
        <v>7170</v>
      </c>
    </row>
    <row r="493" spans="1:8" ht="102" x14ac:dyDescent="0.2">
      <c r="A493">
        <v>491</v>
      </c>
      <c r="B493" t="s">
        <v>1611</v>
      </c>
      <c r="C493" t="s">
        <v>3051</v>
      </c>
      <c r="D493" t="s">
        <v>3735</v>
      </c>
      <c r="E493" t="s">
        <v>4383</v>
      </c>
      <c r="F493" t="s">
        <v>4384</v>
      </c>
      <c r="G493" t="s">
        <v>4386</v>
      </c>
      <c r="H493" s="6" t="s">
        <v>7171</v>
      </c>
    </row>
    <row r="494" spans="1:8" ht="119" x14ac:dyDescent="0.2">
      <c r="A494">
        <v>492</v>
      </c>
      <c r="B494" t="s">
        <v>1611</v>
      </c>
      <c r="C494" t="s">
        <v>3051</v>
      </c>
      <c r="D494" t="s">
        <v>3735</v>
      </c>
      <c r="E494" t="s">
        <v>4383</v>
      </c>
      <c r="F494" t="s">
        <v>4384</v>
      </c>
      <c r="G494" t="s">
        <v>4387</v>
      </c>
      <c r="H494" s="6" t="s">
        <v>7172</v>
      </c>
    </row>
    <row r="495" spans="1:8" ht="102" x14ac:dyDescent="0.2">
      <c r="A495">
        <v>493</v>
      </c>
      <c r="B495" t="s">
        <v>1611</v>
      </c>
      <c r="C495" t="s">
        <v>3051</v>
      </c>
      <c r="D495" t="s">
        <v>3735</v>
      </c>
      <c r="E495" t="s">
        <v>4383</v>
      </c>
      <c r="F495" t="s">
        <v>4384</v>
      </c>
      <c r="G495" t="s">
        <v>4388</v>
      </c>
      <c r="H495" s="6" t="s">
        <v>7173</v>
      </c>
    </row>
    <row r="496" spans="1:8" ht="102" x14ac:dyDescent="0.2">
      <c r="A496">
        <v>494</v>
      </c>
      <c r="B496" t="s">
        <v>1611</v>
      </c>
      <c r="C496" t="s">
        <v>3051</v>
      </c>
      <c r="D496" t="s">
        <v>3735</v>
      </c>
      <c r="E496" t="s">
        <v>4383</v>
      </c>
      <c r="F496" t="s">
        <v>4384</v>
      </c>
      <c r="G496" t="s">
        <v>4389</v>
      </c>
      <c r="H496" s="6" t="s">
        <v>7174</v>
      </c>
    </row>
    <row r="497" spans="1:8" ht="102" x14ac:dyDescent="0.2">
      <c r="A497">
        <v>495</v>
      </c>
      <c r="B497" t="s">
        <v>1611</v>
      </c>
      <c r="C497" t="s">
        <v>3051</v>
      </c>
      <c r="D497" t="s">
        <v>3735</v>
      </c>
      <c r="E497" t="s">
        <v>4383</v>
      </c>
      <c r="F497" t="s">
        <v>4384</v>
      </c>
      <c r="G497" t="s">
        <v>4390</v>
      </c>
      <c r="H497" s="6" t="s">
        <v>7175</v>
      </c>
    </row>
    <row r="498" spans="1:8" ht="102" x14ac:dyDescent="0.2">
      <c r="A498">
        <v>496</v>
      </c>
      <c r="B498" t="s">
        <v>1611</v>
      </c>
      <c r="C498" t="s">
        <v>3051</v>
      </c>
      <c r="D498" t="s">
        <v>3735</v>
      </c>
      <c r="E498" t="s">
        <v>4383</v>
      </c>
      <c r="F498" t="s">
        <v>4384</v>
      </c>
      <c r="G498" t="s">
        <v>4391</v>
      </c>
      <c r="H498" s="6" t="s">
        <v>7176</v>
      </c>
    </row>
    <row r="499" spans="1:8" ht="102" x14ac:dyDescent="0.2">
      <c r="A499">
        <v>497</v>
      </c>
      <c r="B499" t="s">
        <v>1611</v>
      </c>
      <c r="C499" t="s">
        <v>3051</v>
      </c>
      <c r="D499" t="s">
        <v>3735</v>
      </c>
      <c r="E499" t="s">
        <v>4383</v>
      </c>
      <c r="F499" t="s">
        <v>4384</v>
      </c>
      <c r="G499" t="s">
        <v>4392</v>
      </c>
      <c r="H499" s="6" t="s">
        <v>7177</v>
      </c>
    </row>
    <row r="500" spans="1:8" ht="170" x14ac:dyDescent="0.2">
      <c r="A500">
        <v>498</v>
      </c>
      <c r="B500" t="s">
        <v>1611</v>
      </c>
      <c r="C500" t="s">
        <v>3051</v>
      </c>
      <c r="D500" t="s">
        <v>3735</v>
      </c>
      <c r="E500" t="s">
        <v>4393</v>
      </c>
      <c r="F500" t="s">
        <v>4394</v>
      </c>
      <c r="G500" t="s">
        <v>4395</v>
      </c>
      <c r="H500" s="6" t="s">
        <v>7178</v>
      </c>
    </row>
    <row r="501" spans="1:8" ht="187" x14ac:dyDescent="0.2">
      <c r="A501">
        <v>499</v>
      </c>
      <c r="B501" t="s">
        <v>1611</v>
      </c>
      <c r="C501" t="s">
        <v>3051</v>
      </c>
      <c r="D501" t="s">
        <v>3735</v>
      </c>
      <c r="E501" t="s">
        <v>4396</v>
      </c>
      <c r="F501" t="s">
        <v>4397</v>
      </c>
      <c r="G501" t="s">
        <v>4398</v>
      </c>
      <c r="H501" s="6" t="s">
        <v>7179</v>
      </c>
    </row>
    <row r="502" spans="1:8" ht="85" x14ac:dyDescent="0.2">
      <c r="A502">
        <v>500</v>
      </c>
      <c r="B502" t="s">
        <v>1611</v>
      </c>
      <c r="C502" t="s">
        <v>3051</v>
      </c>
      <c r="D502" t="s">
        <v>3735</v>
      </c>
      <c r="E502" t="s">
        <v>4396</v>
      </c>
      <c r="F502" t="s">
        <v>4397</v>
      </c>
      <c r="G502" t="s">
        <v>4399</v>
      </c>
      <c r="H502" s="6" t="s">
        <v>7180</v>
      </c>
    </row>
    <row r="503" spans="1:8" ht="372" x14ac:dyDescent="0.2">
      <c r="A503">
        <v>501</v>
      </c>
      <c r="B503" t="s">
        <v>1611</v>
      </c>
      <c r="C503" t="s">
        <v>3051</v>
      </c>
      <c r="D503" t="s">
        <v>3735</v>
      </c>
      <c r="E503" t="s">
        <v>4396</v>
      </c>
      <c r="F503" t="s">
        <v>4397</v>
      </c>
      <c r="G503" t="s">
        <v>4400</v>
      </c>
      <c r="H503" s="6" t="s">
        <v>7181</v>
      </c>
    </row>
    <row r="504" spans="1:8" ht="306" x14ac:dyDescent="0.2">
      <c r="A504">
        <v>502</v>
      </c>
      <c r="B504" t="s">
        <v>1611</v>
      </c>
      <c r="C504" t="s">
        <v>3051</v>
      </c>
      <c r="D504" t="s">
        <v>3735</v>
      </c>
      <c r="E504" t="s">
        <v>4396</v>
      </c>
      <c r="F504" t="s">
        <v>4397</v>
      </c>
      <c r="G504" t="s">
        <v>4401</v>
      </c>
      <c r="H504" s="6" t="s">
        <v>7182</v>
      </c>
    </row>
    <row r="505" spans="1:8" ht="102" x14ac:dyDescent="0.2">
      <c r="A505">
        <v>503</v>
      </c>
      <c r="B505" t="s">
        <v>1611</v>
      </c>
      <c r="C505" t="s">
        <v>3051</v>
      </c>
      <c r="D505" t="s">
        <v>3735</v>
      </c>
      <c r="E505" t="s">
        <v>4396</v>
      </c>
      <c r="F505" t="s">
        <v>4397</v>
      </c>
      <c r="G505" t="s">
        <v>4402</v>
      </c>
      <c r="H505" s="6" t="s">
        <v>7183</v>
      </c>
    </row>
    <row r="506" spans="1:8" ht="136" x14ac:dyDescent="0.2">
      <c r="A506">
        <v>504</v>
      </c>
      <c r="B506" t="s">
        <v>1611</v>
      </c>
      <c r="C506" t="s">
        <v>3051</v>
      </c>
      <c r="D506" t="s">
        <v>3735</v>
      </c>
      <c r="E506" t="s">
        <v>4396</v>
      </c>
      <c r="F506" t="s">
        <v>4397</v>
      </c>
      <c r="G506" t="s">
        <v>4403</v>
      </c>
      <c r="H506" s="6" t="s">
        <v>7184</v>
      </c>
    </row>
    <row r="507" spans="1:8" ht="119" x14ac:dyDescent="0.2">
      <c r="A507">
        <v>505</v>
      </c>
      <c r="B507" t="s">
        <v>1611</v>
      </c>
      <c r="C507" t="s">
        <v>3051</v>
      </c>
      <c r="D507" t="s">
        <v>3735</v>
      </c>
      <c r="E507" t="s">
        <v>4396</v>
      </c>
      <c r="F507" t="s">
        <v>4397</v>
      </c>
      <c r="G507" t="s">
        <v>4404</v>
      </c>
      <c r="H507" s="6" t="s">
        <v>7185</v>
      </c>
    </row>
    <row r="508" spans="1:8" ht="68" x14ac:dyDescent="0.2">
      <c r="A508">
        <v>506</v>
      </c>
      <c r="B508" t="s">
        <v>1611</v>
      </c>
      <c r="C508" t="s">
        <v>3051</v>
      </c>
      <c r="D508" t="s">
        <v>3735</v>
      </c>
      <c r="E508" t="s">
        <v>4396</v>
      </c>
      <c r="F508" t="s">
        <v>4397</v>
      </c>
      <c r="G508" t="s">
        <v>4405</v>
      </c>
      <c r="H508" s="6" t="s">
        <v>7186</v>
      </c>
    </row>
    <row r="509" spans="1:8" ht="306" x14ac:dyDescent="0.2">
      <c r="A509">
        <v>507</v>
      </c>
      <c r="B509" t="s">
        <v>1611</v>
      </c>
      <c r="C509" t="s">
        <v>3051</v>
      </c>
      <c r="D509" t="s">
        <v>3735</v>
      </c>
      <c r="E509" t="s">
        <v>4406</v>
      </c>
      <c r="F509" t="s">
        <v>4407</v>
      </c>
      <c r="G509" t="s">
        <v>4408</v>
      </c>
      <c r="H509" s="6" t="s">
        <v>7187</v>
      </c>
    </row>
    <row r="510" spans="1:8" ht="85" x14ac:dyDescent="0.2">
      <c r="A510">
        <v>508</v>
      </c>
      <c r="B510" t="s">
        <v>1611</v>
      </c>
      <c r="C510" t="s">
        <v>3051</v>
      </c>
      <c r="D510" t="s">
        <v>3735</v>
      </c>
      <c r="E510" t="s">
        <v>4406</v>
      </c>
      <c r="F510" t="s">
        <v>4407</v>
      </c>
      <c r="G510" t="s">
        <v>4409</v>
      </c>
      <c r="H510" s="6" t="s">
        <v>7188</v>
      </c>
    </row>
    <row r="511" spans="1:8" ht="85" x14ac:dyDescent="0.2">
      <c r="A511">
        <v>509</v>
      </c>
      <c r="B511" t="s">
        <v>1611</v>
      </c>
      <c r="C511" t="s">
        <v>3051</v>
      </c>
      <c r="D511" t="s">
        <v>3735</v>
      </c>
      <c r="E511" t="s">
        <v>4406</v>
      </c>
      <c r="F511" t="s">
        <v>4407</v>
      </c>
      <c r="G511" t="s">
        <v>4410</v>
      </c>
      <c r="H511" s="6" t="s">
        <v>7189</v>
      </c>
    </row>
    <row r="512" spans="1:8" ht="272" x14ac:dyDescent="0.2">
      <c r="A512">
        <v>510</v>
      </c>
      <c r="B512" t="s">
        <v>1611</v>
      </c>
      <c r="C512" t="s">
        <v>3051</v>
      </c>
      <c r="D512" t="s">
        <v>3735</v>
      </c>
      <c r="E512" t="s">
        <v>4406</v>
      </c>
      <c r="F512" t="s">
        <v>4407</v>
      </c>
      <c r="G512" t="s">
        <v>4411</v>
      </c>
      <c r="H512" s="6" t="s">
        <v>7190</v>
      </c>
    </row>
    <row r="513" spans="1:8" ht="119" x14ac:dyDescent="0.2">
      <c r="A513">
        <v>511</v>
      </c>
      <c r="B513" t="s">
        <v>1611</v>
      </c>
      <c r="C513" t="s">
        <v>3051</v>
      </c>
      <c r="D513" t="s">
        <v>3735</v>
      </c>
      <c r="E513" t="s">
        <v>4406</v>
      </c>
      <c r="F513" t="s">
        <v>4407</v>
      </c>
      <c r="G513" t="s">
        <v>4412</v>
      </c>
      <c r="H513" s="6" t="s">
        <v>7191</v>
      </c>
    </row>
    <row r="514" spans="1:8" ht="102" x14ac:dyDescent="0.2">
      <c r="A514">
        <v>512</v>
      </c>
      <c r="B514" t="s">
        <v>1611</v>
      </c>
      <c r="C514" t="s">
        <v>3051</v>
      </c>
      <c r="D514" t="s">
        <v>3735</v>
      </c>
      <c r="E514" t="s">
        <v>4406</v>
      </c>
      <c r="F514" t="s">
        <v>4407</v>
      </c>
      <c r="G514" t="s">
        <v>4413</v>
      </c>
      <c r="H514" s="6" t="s">
        <v>7192</v>
      </c>
    </row>
    <row r="515" spans="1:8" ht="136" x14ac:dyDescent="0.2">
      <c r="A515">
        <v>513</v>
      </c>
      <c r="B515" t="s">
        <v>1611</v>
      </c>
      <c r="C515" t="s">
        <v>3051</v>
      </c>
      <c r="D515" t="s">
        <v>3735</v>
      </c>
      <c r="E515" t="s">
        <v>4406</v>
      </c>
      <c r="F515" t="s">
        <v>4407</v>
      </c>
      <c r="G515" t="s">
        <v>4414</v>
      </c>
      <c r="H515" s="6" t="s">
        <v>7193</v>
      </c>
    </row>
    <row r="516" spans="1:8" ht="119" x14ac:dyDescent="0.2">
      <c r="A516">
        <v>514</v>
      </c>
      <c r="B516" t="s">
        <v>1611</v>
      </c>
      <c r="C516" t="s">
        <v>3051</v>
      </c>
      <c r="D516" t="s">
        <v>3735</v>
      </c>
      <c r="E516" t="s">
        <v>4406</v>
      </c>
      <c r="F516" t="s">
        <v>4407</v>
      </c>
      <c r="G516" t="s">
        <v>4415</v>
      </c>
      <c r="H516" s="6" t="s">
        <v>7194</v>
      </c>
    </row>
    <row r="517" spans="1:8" ht="119" x14ac:dyDescent="0.2">
      <c r="A517">
        <v>515</v>
      </c>
      <c r="B517" t="s">
        <v>1611</v>
      </c>
      <c r="C517" t="s">
        <v>3051</v>
      </c>
      <c r="D517" t="s">
        <v>3735</v>
      </c>
      <c r="E517" t="s">
        <v>4406</v>
      </c>
      <c r="F517" t="s">
        <v>4407</v>
      </c>
      <c r="G517" t="s">
        <v>4416</v>
      </c>
      <c r="H517" s="6" t="s">
        <v>7195</v>
      </c>
    </row>
    <row r="518" spans="1:8" ht="85" x14ac:dyDescent="0.2">
      <c r="A518">
        <v>516</v>
      </c>
      <c r="B518" t="s">
        <v>1611</v>
      </c>
      <c r="C518" t="s">
        <v>3051</v>
      </c>
      <c r="D518" t="s">
        <v>3735</v>
      </c>
      <c r="E518" t="s">
        <v>4406</v>
      </c>
      <c r="F518" t="s">
        <v>4407</v>
      </c>
      <c r="G518" t="s">
        <v>4417</v>
      </c>
      <c r="H518" s="6" t="s">
        <v>7196</v>
      </c>
    </row>
    <row r="519" spans="1:8" ht="255" x14ac:dyDescent="0.2">
      <c r="A519">
        <v>517</v>
      </c>
      <c r="B519" t="s">
        <v>1611</v>
      </c>
      <c r="C519" t="s">
        <v>3051</v>
      </c>
      <c r="D519" t="s">
        <v>3735</v>
      </c>
      <c r="E519" t="s">
        <v>4406</v>
      </c>
      <c r="F519" t="s">
        <v>4407</v>
      </c>
      <c r="G519" t="s">
        <v>4418</v>
      </c>
      <c r="H519" s="6" t="s">
        <v>7197</v>
      </c>
    </row>
    <row r="520" spans="1:8" ht="119" x14ac:dyDescent="0.2">
      <c r="A520">
        <v>518</v>
      </c>
      <c r="B520" t="s">
        <v>1611</v>
      </c>
      <c r="C520" t="s">
        <v>3051</v>
      </c>
      <c r="D520" t="s">
        <v>3735</v>
      </c>
      <c r="E520" t="s">
        <v>4406</v>
      </c>
      <c r="F520" t="s">
        <v>4407</v>
      </c>
      <c r="G520" t="s">
        <v>4419</v>
      </c>
      <c r="H520" s="6" t="s">
        <v>7198</v>
      </c>
    </row>
    <row r="521" spans="1:8" ht="136" x14ac:dyDescent="0.2">
      <c r="A521">
        <v>519</v>
      </c>
      <c r="B521" t="s">
        <v>1611</v>
      </c>
      <c r="C521" t="s">
        <v>3051</v>
      </c>
      <c r="D521" t="s">
        <v>3735</v>
      </c>
      <c r="E521" t="s">
        <v>4406</v>
      </c>
      <c r="F521" t="s">
        <v>4407</v>
      </c>
      <c r="G521" t="s">
        <v>4420</v>
      </c>
      <c r="H521" s="6" t="s">
        <v>7199</v>
      </c>
    </row>
    <row r="522" spans="1:8" ht="119" x14ac:dyDescent="0.2">
      <c r="A522">
        <v>520</v>
      </c>
      <c r="B522" t="s">
        <v>1611</v>
      </c>
      <c r="C522" t="s">
        <v>3051</v>
      </c>
      <c r="D522" t="s">
        <v>3735</v>
      </c>
      <c r="E522" t="s">
        <v>4406</v>
      </c>
      <c r="F522" t="s">
        <v>4407</v>
      </c>
      <c r="G522" t="s">
        <v>4421</v>
      </c>
      <c r="H522" s="6" t="s">
        <v>7200</v>
      </c>
    </row>
    <row r="523" spans="1:8" ht="85" x14ac:dyDescent="0.2">
      <c r="A523">
        <v>521</v>
      </c>
      <c r="B523" t="s">
        <v>1611</v>
      </c>
      <c r="C523" t="s">
        <v>3051</v>
      </c>
      <c r="D523" t="s">
        <v>3735</v>
      </c>
      <c r="E523" t="s">
        <v>4406</v>
      </c>
      <c r="F523" t="s">
        <v>4407</v>
      </c>
      <c r="G523" t="s">
        <v>4422</v>
      </c>
      <c r="H523" s="6" t="s">
        <v>7196</v>
      </c>
    </row>
    <row r="524" spans="1:8" ht="221" x14ac:dyDescent="0.2">
      <c r="A524">
        <v>522</v>
      </c>
      <c r="B524" t="s">
        <v>1611</v>
      </c>
      <c r="C524" t="s">
        <v>3051</v>
      </c>
      <c r="D524" t="s">
        <v>3735</v>
      </c>
      <c r="E524" t="s">
        <v>4406</v>
      </c>
      <c r="F524" t="s">
        <v>4407</v>
      </c>
      <c r="G524" t="s">
        <v>4423</v>
      </c>
      <c r="H524" s="6" t="s">
        <v>7201</v>
      </c>
    </row>
    <row r="525" spans="1:8" ht="119" x14ac:dyDescent="0.2">
      <c r="A525">
        <v>523</v>
      </c>
      <c r="B525" t="s">
        <v>1611</v>
      </c>
      <c r="C525" t="s">
        <v>3051</v>
      </c>
      <c r="D525" t="s">
        <v>3735</v>
      </c>
      <c r="E525" t="s">
        <v>4406</v>
      </c>
      <c r="F525" t="s">
        <v>4407</v>
      </c>
      <c r="G525" t="s">
        <v>4424</v>
      </c>
      <c r="H525" s="6" t="s">
        <v>7202</v>
      </c>
    </row>
    <row r="526" spans="1:8" ht="153" x14ac:dyDescent="0.2">
      <c r="A526">
        <v>524</v>
      </c>
      <c r="B526" t="s">
        <v>1611</v>
      </c>
      <c r="C526" t="s">
        <v>3051</v>
      </c>
      <c r="D526" t="s">
        <v>3735</v>
      </c>
      <c r="E526" t="s">
        <v>4406</v>
      </c>
      <c r="F526" t="s">
        <v>4407</v>
      </c>
      <c r="G526" t="s">
        <v>4425</v>
      </c>
      <c r="H526" s="6" t="s">
        <v>7203</v>
      </c>
    </row>
    <row r="527" spans="1:8" ht="153" x14ac:dyDescent="0.2">
      <c r="A527">
        <v>525</v>
      </c>
      <c r="B527" t="s">
        <v>1611</v>
      </c>
      <c r="C527" t="s">
        <v>3051</v>
      </c>
      <c r="D527" t="s">
        <v>3735</v>
      </c>
      <c r="E527" t="s">
        <v>4406</v>
      </c>
      <c r="F527" t="s">
        <v>4407</v>
      </c>
      <c r="G527" t="s">
        <v>4426</v>
      </c>
      <c r="H527" s="6" t="s">
        <v>7204</v>
      </c>
    </row>
    <row r="528" spans="1:8" ht="102" x14ac:dyDescent="0.2">
      <c r="A528">
        <v>526</v>
      </c>
      <c r="B528" t="s">
        <v>1611</v>
      </c>
      <c r="C528" t="s">
        <v>3051</v>
      </c>
      <c r="D528" t="s">
        <v>3735</v>
      </c>
      <c r="E528" t="s">
        <v>4406</v>
      </c>
      <c r="F528" t="s">
        <v>4407</v>
      </c>
      <c r="G528" t="s">
        <v>4427</v>
      </c>
      <c r="H528" s="6" t="s">
        <v>7205</v>
      </c>
    </row>
    <row r="529" spans="1:8" ht="85" x14ac:dyDescent="0.2">
      <c r="A529">
        <v>527</v>
      </c>
      <c r="B529" t="s">
        <v>1611</v>
      </c>
      <c r="C529" t="s">
        <v>3051</v>
      </c>
      <c r="D529" t="s">
        <v>3735</v>
      </c>
      <c r="E529" t="s">
        <v>4406</v>
      </c>
      <c r="F529" t="s">
        <v>4407</v>
      </c>
      <c r="G529" t="s">
        <v>4428</v>
      </c>
      <c r="H529" s="6" t="s">
        <v>7206</v>
      </c>
    </row>
    <row r="530" spans="1:8" ht="85" x14ac:dyDescent="0.2">
      <c r="A530">
        <v>528</v>
      </c>
      <c r="B530" t="s">
        <v>1611</v>
      </c>
      <c r="C530" t="s">
        <v>3051</v>
      </c>
      <c r="D530" t="s">
        <v>3735</v>
      </c>
      <c r="E530" t="s">
        <v>4406</v>
      </c>
      <c r="F530" t="s">
        <v>4407</v>
      </c>
      <c r="G530" t="s">
        <v>4429</v>
      </c>
      <c r="H530" s="6" t="s">
        <v>7207</v>
      </c>
    </row>
    <row r="531" spans="1:8" ht="85" x14ac:dyDescent="0.2">
      <c r="A531">
        <v>529</v>
      </c>
      <c r="B531" t="s">
        <v>1611</v>
      </c>
      <c r="C531" t="s">
        <v>3051</v>
      </c>
      <c r="D531" t="s">
        <v>3735</v>
      </c>
      <c r="E531" t="s">
        <v>4406</v>
      </c>
      <c r="F531" t="s">
        <v>4407</v>
      </c>
      <c r="G531" t="s">
        <v>4430</v>
      </c>
      <c r="H531" s="6" t="s">
        <v>7208</v>
      </c>
    </row>
    <row r="532" spans="1:8" ht="409.6" x14ac:dyDescent="0.2">
      <c r="A532">
        <v>530</v>
      </c>
      <c r="B532" t="s">
        <v>1611</v>
      </c>
      <c r="C532" t="s">
        <v>3051</v>
      </c>
      <c r="D532" t="s">
        <v>3735</v>
      </c>
      <c r="E532" t="s">
        <v>4406</v>
      </c>
      <c r="F532" t="s">
        <v>4407</v>
      </c>
      <c r="G532" t="s">
        <v>4431</v>
      </c>
      <c r="H532" s="6" t="s">
        <v>7209</v>
      </c>
    </row>
    <row r="533" spans="1:8" ht="85" x14ac:dyDescent="0.2">
      <c r="A533">
        <v>531</v>
      </c>
      <c r="B533" t="s">
        <v>1611</v>
      </c>
      <c r="C533" t="s">
        <v>3051</v>
      </c>
      <c r="D533" t="s">
        <v>3735</v>
      </c>
      <c r="E533" t="s">
        <v>4406</v>
      </c>
      <c r="F533" t="s">
        <v>4407</v>
      </c>
      <c r="G533" t="s">
        <v>4432</v>
      </c>
      <c r="H533" s="6" t="s">
        <v>7210</v>
      </c>
    </row>
    <row r="534" spans="1:8" ht="136" x14ac:dyDescent="0.2">
      <c r="A534">
        <v>532</v>
      </c>
      <c r="B534" t="s">
        <v>1611</v>
      </c>
      <c r="C534" t="s">
        <v>3051</v>
      </c>
      <c r="D534" t="s">
        <v>3735</v>
      </c>
      <c r="E534" t="s">
        <v>4406</v>
      </c>
      <c r="F534" t="s">
        <v>4407</v>
      </c>
      <c r="G534" t="s">
        <v>4433</v>
      </c>
      <c r="H534" s="6" t="s">
        <v>7211</v>
      </c>
    </row>
    <row r="535" spans="1:8" ht="136" x14ac:dyDescent="0.2">
      <c r="A535">
        <v>533</v>
      </c>
      <c r="B535" t="s">
        <v>1611</v>
      </c>
      <c r="C535" t="s">
        <v>3051</v>
      </c>
      <c r="D535" t="s">
        <v>3735</v>
      </c>
      <c r="E535" t="s">
        <v>4406</v>
      </c>
      <c r="F535" t="s">
        <v>4407</v>
      </c>
      <c r="G535" t="s">
        <v>4434</v>
      </c>
      <c r="H535" s="6" t="s">
        <v>7212</v>
      </c>
    </row>
    <row r="536" spans="1:8" ht="102" x14ac:dyDescent="0.2">
      <c r="A536">
        <v>534</v>
      </c>
      <c r="B536" t="s">
        <v>1611</v>
      </c>
      <c r="C536" t="s">
        <v>3051</v>
      </c>
      <c r="D536" t="s">
        <v>3735</v>
      </c>
      <c r="E536" t="s">
        <v>4406</v>
      </c>
      <c r="F536" t="s">
        <v>4407</v>
      </c>
      <c r="G536" t="s">
        <v>4435</v>
      </c>
      <c r="H536" s="6" t="s">
        <v>7213</v>
      </c>
    </row>
    <row r="537" spans="1:8" ht="85" x14ac:dyDescent="0.2">
      <c r="A537">
        <v>535</v>
      </c>
      <c r="B537" t="s">
        <v>1611</v>
      </c>
      <c r="C537" t="s">
        <v>3051</v>
      </c>
      <c r="D537" t="s">
        <v>3735</v>
      </c>
      <c r="E537" t="s">
        <v>4406</v>
      </c>
      <c r="F537" t="s">
        <v>4407</v>
      </c>
      <c r="G537" t="s">
        <v>4436</v>
      </c>
      <c r="H537" s="6" t="s">
        <v>7214</v>
      </c>
    </row>
    <row r="538" spans="1:8" ht="85" x14ac:dyDescent="0.2">
      <c r="A538">
        <v>536</v>
      </c>
      <c r="B538" t="s">
        <v>1611</v>
      </c>
      <c r="C538" t="s">
        <v>3051</v>
      </c>
      <c r="D538" t="s">
        <v>3735</v>
      </c>
      <c r="E538" t="s">
        <v>4406</v>
      </c>
      <c r="F538" t="s">
        <v>4407</v>
      </c>
      <c r="G538" t="s">
        <v>4437</v>
      </c>
      <c r="H538" s="6" t="s">
        <v>7215</v>
      </c>
    </row>
    <row r="539" spans="1:8" ht="340" x14ac:dyDescent="0.2">
      <c r="A539">
        <v>537</v>
      </c>
      <c r="B539" t="s">
        <v>1611</v>
      </c>
      <c r="C539" t="s">
        <v>3051</v>
      </c>
      <c r="D539" t="s">
        <v>3735</v>
      </c>
      <c r="E539" t="s">
        <v>4406</v>
      </c>
      <c r="F539" t="s">
        <v>4407</v>
      </c>
      <c r="G539" t="s">
        <v>4438</v>
      </c>
      <c r="H539" s="6" t="s">
        <v>7216</v>
      </c>
    </row>
    <row r="540" spans="1:8" ht="119" x14ac:dyDescent="0.2">
      <c r="A540">
        <v>538</v>
      </c>
      <c r="B540" t="s">
        <v>1611</v>
      </c>
      <c r="C540" t="s">
        <v>3051</v>
      </c>
      <c r="D540" t="s">
        <v>3735</v>
      </c>
      <c r="E540" t="s">
        <v>4406</v>
      </c>
      <c r="F540" t="s">
        <v>4407</v>
      </c>
      <c r="G540" t="s">
        <v>4439</v>
      </c>
      <c r="H540" s="6" t="s">
        <v>7217</v>
      </c>
    </row>
    <row r="541" spans="1:8" ht="136" x14ac:dyDescent="0.2">
      <c r="A541">
        <v>539</v>
      </c>
      <c r="B541" t="s">
        <v>1611</v>
      </c>
      <c r="C541" t="s">
        <v>3051</v>
      </c>
      <c r="D541" t="s">
        <v>3735</v>
      </c>
      <c r="E541" t="s">
        <v>4406</v>
      </c>
      <c r="F541" t="s">
        <v>4407</v>
      </c>
      <c r="G541" t="s">
        <v>4440</v>
      </c>
      <c r="H541" s="6" t="s">
        <v>7218</v>
      </c>
    </row>
    <row r="542" spans="1:8" ht="102" x14ac:dyDescent="0.2">
      <c r="A542">
        <v>540</v>
      </c>
      <c r="B542" t="s">
        <v>1611</v>
      </c>
      <c r="C542" t="s">
        <v>3051</v>
      </c>
      <c r="D542" t="s">
        <v>3735</v>
      </c>
      <c r="E542" t="s">
        <v>4406</v>
      </c>
      <c r="F542" t="s">
        <v>4407</v>
      </c>
      <c r="G542" t="s">
        <v>4441</v>
      </c>
      <c r="H542" s="6" t="s">
        <v>7219</v>
      </c>
    </row>
    <row r="543" spans="1:8" ht="102" x14ac:dyDescent="0.2">
      <c r="A543">
        <v>541</v>
      </c>
      <c r="B543" t="s">
        <v>1611</v>
      </c>
      <c r="C543" t="s">
        <v>3051</v>
      </c>
      <c r="D543" t="s">
        <v>3735</v>
      </c>
      <c r="E543" t="s">
        <v>4406</v>
      </c>
      <c r="F543" t="s">
        <v>4407</v>
      </c>
      <c r="G543" t="s">
        <v>4442</v>
      </c>
      <c r="H543" s="6" t="s">
        <v>7220</v>
      </c>
    </row>
    <row r="544" spans="1:8" ht="323" x14ac:dyDescent="0.2">
      <c r="A544">
        <v>542</v>
      </c>
      <c r="B544" t="s">
        <v>1611</v>
      </c>
      <c r="C544" t="s">
        <v>3051</v>
      </c>
      <c r="D544" t="s">
        <v>3735</v>
      </c>
      <c r="E544" t="s">
        <v>4406</v>
      </c>
      <c r="F544" t="s">
        <v>4407</v>
      </c>
      <c r="G544" t="s">
        <v>4443</v>
      </c>
      <c r="H544" s="6" t="s">
        <v>7221</v>
      </c>
    </row>
    <row r="545" spans="1:8" ht="119" x14ac:dyDescent="0.2">
      <c r="A545">
        <v>543</v>
      </c>
      <c r="B545" t="s">
        <v>1611</v>
      </c>
      <c r="C545" t="s">
        <v>3051</v>
      </c>
      <c r="D545" t="s">
        <v>3735</v>
      </c>
      <c r="E545" t="s">
        <v>4406</v>
      </c>
      <c r="F545" t="s">
        <v>4407</v>
      </c>
      <c r="G545" t="s">
        <v>4444</v>
      </c>
      <c r="H545" s="6" t="s">
        <v>7222</v>
      </c>
    </row>
    <row r="546" spans="1:8" ht="170" x14ac:dyDescent="0.2">
      <c r="A546">
        <v>544</v>
      </c>
      <c r="B546" t="s">
        <v>1611</v>
      </c>
      <c r="C546" t="s">
        <v>3051</v>
      </c>
      <c r="D546" t="s">
        <v>3735</v>
      </c>
      <c r="E546" t="s">
        <v>4406</v>
      </c>
      <c r="F546" t="s">
        <v>4407</v>
      </c>
      <c r="G546" t="s">
        <v>4445</v>
      </c>
      <c r="H546" s="6" t="s">
        <v>7223</v>
      </c>
    </row>
    <row r="547" spans="1:8" ht="119" x14ac:dyDescent="0.2">
      <c r="A547">
        <v>545</v>
      </c>
      <c r="B547" t="s">
        <v>1611</v>
      </c>
      <c r="C547" t="s">
        <v>3051</v>
      </c>
      <c r="D547" t="s">
        <v>3735</v>
      </c>
      <c r="E547" t="s">
        <v>4406</v>
      </c>
      <c r="F547" t="s">
        <v>4407</v>
      </c>
      <c r="G547" t="s">
        <v>4446</v>
      </c>
      <c r="H547" s="6" t="s">
        <v>7224</v>
      </c>
    </row>
    <row r="548" spans="1:8" ht="85" x14ac:dyDescent="0.2">
      <c r="A548">
        <v>546</v>
      </c>
      <c r="B548" t="s">
        <v>1611</v>
      </c>
      <c r="C548" t="s">
        <v>3051</v>
      </c>
      <c r="D548" t="s">
        <v>3735</v>
      </c>
      <c r="E548" t="s">
        <v>4406</v>
      </c>
      <c r="F548" t="s">
        <v>4407</v>
      </c>
      <c r="G548" t="s">
        <v>4447</v>
      </c>
      <c r="H548" s="6" t="s">
        <v>7225</v>
      </c>
    </row>
    <row r="549" spans="1:8" ht="187" x14ac:dyDescent="0.2">
      <c r="A549">
        <v>547</v>
      </c>
      <c r="B549" t="s">
        <v>1611</v>
      </c>
      <c r="C549" t="s">
        <v>3051</v>
      </c>
      <c r="D549" t="s">
        <v>3735</v>
      </c>
      <c r="E549" t="s">
        <v>4406</v>
      </c>
      <c r="F549" t="s">
        <v>4407</v>
      </c>
      <c r="G549" t="s">
        <v>4448</v>
      </c>
      <c r="H549" s="6" t="s">
        <v>7226</v>
      </c>
    </row>
    <row r="550" spans="1:8" ht="102" x14ac:dyDescent="0.2">
      <c r="A550">
        <v>548</v>
      </c>
      <c r="B550" t="s">
        <v>1611</v>
      </c>
      <c r="C550" t="s">
        <v>3051</v>
      </c>
      <c r="D550" t="s">
        <v>3735</v>
      </c>
      <c r="E550" t="s">
        <v>4406</v>
      </c>
      <c r="F550" t="s">
        <v>4407</v>
      </c>
      <c r="G550" t="s">
        <v>4449</v>
      </c>
      <c r="H550" s="6" t="s">
        <v>7227</v>
      </c>
    </row>
    <row r="551" spans="1:8" ht="102" x14ac:dyDescent="0.2">
      <c r="A551">
        <v>549</v>
      </c>
      <c r="B551" t="s">
        <v>1611</v>
      </c>
      <c r="C551" t="s">
        <v>3051</v>
      </c>
      <c r="D551" t="s">
        <v>3735</v>
      </c>
      <c r="E551" t="s">
        <v>4406</v>
      </c>
      <c r="F551" t="s">
        <v>4407</v>
      </c>
      <c r="G551" t="s">
        <v>4450</v>
      </c>
      <c r="H551" s="6" t="s">
        <v>7228</v>
      </c>
    </row>
    <row r="552" spans="1:8" ht="170" x14ac:dyDescent="0.2">
      <c r="A552">
        <v>550</v>
      </c>
      <c r="B552" t="s">
        <v>1611</v>
      </c>
      <c r="C552" t="s">
        <v>3051</v>
      </c>
      <c r="D552" t="s">
        <v>3735</v>
      </c>
      <c r="E552" t="s">
        <v>4406</v>
      </c>
      <c r="F552" t="s">
        <v>4407</v>
      </c>
      <c r="G552" t="s">
        <v>4451</v>
      </c>
      <c r="H552" s="6" t="s">
        <v>7229</v>
      </c>
    </row>
    <row r="553" spans="1:8" ht="102" x14ac:dyDescent="0.2">
      <c r="A553">
        <v>551</v>
      </c>
      <c r="B553" t="s">
        <v>1611</v>
      </c>
      <c r="C553" t="s">
        <v>3051</v>
      </c>
      <c r="D553" t="s">
        <v>3735</v>
      </c>
      <c r="E553" t="s">
        <v>4406</v>
      </c>
      <c r="F553" t="s">
        <v>4407</v>
      </c>
      <c r="G553" t="s">
        <v>4452</v>
      </c>
      <c r="H553" s="6" t="s">
        <v>7230</v>
      </c>
    </row>
    <row r="554" spans="1:8" ht="102" x14ac:dyDescent="0.2">
      <c r="A554">
        <v>552</v>
      </c>
      <c r="B554" t="s">
        <v>1611</v>
      </c>
      <c r="C554" t="s">
        <v>3051</v>
      </c>
      <c r="D554" t="s">
        <v>3735</v>
      </c>
      <c r="E554" t="s">
        <v>4406</v>
      </c>
      <c r="F554" t="s">
        <v>4407</v>
      </c>
      <c r="G554" t="s">
        <v>4453</v>
      </c>
      <c r="H554" s="6" t="s">
        <v>7231</v>
      </c>
    </row>
    <row r="555" spans="1:8" ht="102" x14ac:dyDescent="0.2">
      <c r="A555">
        <v>553</v>
      </c>
      <c r="B555" t="s">
        <v>1611</v>
      </c>
      <c r="C555" t="s">
        <v>3051</v>
      </c>
      <c r="D555" t="s">
        <v>3735</v>
      </c>
      <c r="E555" t="s">
        <v>4406</v>
      </c>
      <c r="F555" t="s">
        <v>4407</v>
      </c>
      <c r="G555" t="s">
        <v>4454</v>
      </c>
      <c r="H555" s="6" t="s">
        <v>7232</v>
      </c>
    </row>
    <row r="556" spans="1:8" ht="102" x14ac:dyDescent="0.2">
      <c r="A556">
        <v>554</v>
      </c>
      <c r="B556" t="s">
        <v>1611</v>
      </c>
      <c r="C556" t="s">
        <v>3051</v>
      </c>
      <c r="D556" t="s">
        <v>3735</v>
      </c>
      <c r="E556" t="s">
        <v>4406</v>
      </c>
      <c r="F556" t="s">
        <v>4407</v>
      </c>
      <c r="G556" t="s">
        <v>4455</v>
      </c>
      <c r="H556" s="6" t="s">
        <v>7233</v>
      </c>
    </row>
    <row r="557" spans="1:8" ht="85" x14ac:dyDescent="0.2">
      <c r="A557">
        <v>555</v>
      </c>
      <c r="B557" t="s">
        <v>1611</v>
      </c>
      <c r="C557" t="s">
        <v>3051</v>
      </c>
      <c r="D557" t="s">
        <v>3735</v>
      </c>
      <c r="E557" t="s">
        <v>4406</v>
      </c>
      <c r="F557" t="s">
        <v>4407</v>
      </c>
      <c r="G557" t="s">
        <v>4456</v>
      </c>
      <c r="H557" s="6" t="s">
        <v>7234</v>
      </c>
    </row>
    <row r="558" spans="1:8" ht="85" x14ac:dyDescent="0.2">
      <c r="A558">
        <v>556</v>
      </c>
      <c r="B558" t="s">
        <v>1611</v>
      </c>
      <c r="C558" t="s">
        <v>3051</v>
      </c>
      <c r="D558" t="s">
        <v>3735</v>
      </c>
      <c r="E558" t="s">
        <v>4406</v>
      </c>
      <c r="F558" t="s">
        <v>4407</v>
      </c>
      <c r="G558" t="s">
        <v>4457</v>
      </c>
      <c r="H558" s="6" t="s">
        <v>7235</v>
      </c>
    </row>
    <row r="559" spans="1:8" ht="102" x14ac:dyDescent="0.2">
      <c r="A559">
        <v>557</v>
      </c>
      <c r="B559" t="s">
        <v>1611</v>
      </c>
      <c r="C559" t="s">
        <v>3051</v>
      </c>
      <c r="D559" t="s">
        <v>3735</v>
      </c>
      <c r="E559" t="s">
        <v>4406</v>
      </c>
      <c r="F559" t="s">
        <v>4407</v>
      </c>
      <c r="G559" t="s">
        <v>4458</v>
      </c>
      <c r="H559" s="6" t="s">
        <v>7236</v>
      </c>
    </row>
    <row r="560" spans="1:8" ht="136" x14ac:dyDescent="0.2">
      <c r="A560">
        <v>558</v>
      </c>
      <c r="B560" t="s">
        <v>1611</v>
      </c>
      <c r="C560" t="s">
        <v>3051</v>
      </c>
      <c r="D560" t="s">
        <v>3735</v>
      </c>
      <c r="E560" t="s">
        <v>4406</v>
      </c>
      <c r="F560" t="s">
        <v>4407</v>
      </c>
      <c r="G560" t="s">
        <v>4459</v>
      </c>
      <c r="H560" s="6" t="s">
        <v>7237</v>
      </c>
    </row>
    <row r="561" spans="1:8" ht="136" x14ac:dyDescent="0.2">
      <c r="A561">
        <v>559</v>
      </c>
      <c r="B561" t="s">
        <v>1611</v>
      </c>
      <c r="C561" t="s">
        <v>3051</v>
      </c>
      <c r="D561" t="s">
        <v>3735</v>
      </c>
      <c r="E561" t="s">
        <v>4406</v>
      </c>
      <c r="F561" t="s">
        <v>4407</v>
      </c>
      <c r="G561" t="s">
        <v>4460</v>
      </c>
      <c r="H561" s="6" t="s">
        <v>7238</v>
      </c>
    </row>
    <row r="562" spans="1:8" ht="119" x14ac:dyDescent="0.2">
      <c r="A562">
        <v>560</v>
      </c>
      <c r="B562" t="s">
        <v>1611</v>
      </c>
      <c r="C562" t="s">
        <v>3051</v>
      </c>
      <c r="D562" t="s">
        <v>3735</v>
      </c>
      <c r="E562" t="s">
        <v>4406</v>
      </c>
      <c r="F562" t="s">
        <v>4407</v>
      </c>
      <c r="G562" t="s">
        <v>4461</v>
      </c>
      <c r="H562" s="6" t="s">
        <v>7239</v>
      </c>
    </row>
    <row r="563" spans="1:8" ht="119" x14ac:dyDescent="0.2">
      <c r="A563">
        <v>561</v>
      </c>
      <c r="B563" t="s">
        <v>1611</v>
      </c>
      <c r="C563" t="s">
        <v>3051</v>
      </c>
      <c r="D563" t="s">
        <v>3735</v>
      </c>
      <c r="E563" t="s">
        <v>4406</v>
      </c>
      <c r="F563" t="s">
        <v>4407</v>
      </c>
      <c r="G563" t="s">
        <v>4462</v>
      </c>
      <c r="H563" s="6" t="s">
        <v>7240</v>
      </c>
    </row>
    <row r="564" spans="1:8" ht="102" x14ac:dyDescent="0.2">
      <c r="A564">
        <v>562</v>
      </c>
      <c r="B564" t="s">
        <v>1611</v>
      </c>
      <c r="C564" t="s">
        <v>3051</v>
      </c>
      <c r="D564" t="s">
        <v>3735</v>
      </c>
      <c r="E564" t="s">
        <v>4406</v>
      </c>
      <c r="F564" t="s">
        <v>4407</v>
      </c>
      <c r="G564" t="s">
        <v>4463</v>
      </c>
      <c r="H564" s="6" t="s">
        <v>7241</v>
      </c>
    </row>
    <row r="565" spans="1:8" ht="102" x14ac:dyDescent="0.2">
      <c r="A565">
        <v>563</v>
      </c>
      <c r="B565" t="s">
        <v>1611</v>
      </c>
      <c r="C565" t="s">
        <v>3051</v>
      </c>
      <c r="D565" t="s">
        <v>3735</v>
      </c>
      <c r="E565" t="s">
        <v>4406</v>
      </c>
      <c r="F565" t="s">
        <v>4407</v>
      </c>
      <c r="G565" t="s">
        <v>4464</v>
      </c>
      <c r="H565" s="6" t="s">
        <v>7242</v>
      </c>
    </row>
    <row r="566" spans="1:8" ht="119" x14ac:dyDescent="0.2">
      <c r="A566">
        <v>564</v>
      </c>
      <c r="B566" t="s">
        <v>1611</v>
      </c>
      <c r="C566" t="s">
        <v>3051</v>
      </c>
      <c r="D566" t="s">
        <v>3735</v>
      </c>
      <c r="E566" t="s">
        <v>4406</v>
      </c>
      <c r="F566" t="s">
        <v>4407</v>
      </c>
      <c r="G566" t="s">
        <v>4465</v>
      </c>
      <c r="H566" s="6" t="s">
        <v>7243</v>
      </c>
    </row>
    <row r="567" spans="1:8" ht="85" x14ac:dyDescent="0.2">
      <c r="A567">
        <v>565</v>
      </c>
      <c r="B567" t="s">
        <v>1611</v>
      </c>
      <c r="C567" t="s">
        <v>3051</v>
      </c>
      <c r="D567" t="s">
        <v>3735</v>
      </c>
      <c r="E567" t="s">
        <v>4406</v>
      </c>
      <c r="F567" t="s">
        <v>4407</v>
      </c>
      <c r="G567" t="s">
        <v>4466</v>
      </c>
      <c r="H567" s="6" t="s">
        <v>7244</v>
      </c>
    </row>
    <row r="568" spans="1:8" ht="136" x14ac:dyDescent="0.2">
      <c r="A568">
        <v>566</v>
      </c>
      <c r="B568" t="s">
        <v>1611</v>
      </c>
      <c r="C568" t="s">
        <v>3051</v>
      </c>
      <c r="D568" t="s">
        <v>3735</v>
      </c>
      <c r="E568" t="s">
        <v>4406</v>
      </c>
      <c r="F568" t="s">
        <v>4407</v>
      </c>
      <c r="G568" t="s">
        <v>4467</v>
      </c>
      <c r="H568" s="6" t="s">
        <v>7245</v>
      </c>
    </row>
    <row r="569" spans="1:8" ht="85" x14ac:dyDescent="0.2">
      <c r="A569">
        <v>567</v>
      </c>
      <c r="B569" t="s">
        <v>1611</v>
      </c>
      <c r="C569" t="s">
        <v>3051</v>
      </c>
      <c r="D569" t="s">
        <v>3735</v>
      </c>
      <c r="E569" t="s">
        <v>4406</v>
      </c>
      <c r="F569" t="s">
        <v>4407</v>
      </c>
      <c r="G569" t="s">
        <v>4468</v>
      </c>
      <c r="H569" s="6" t="s">
        <v>7246</v>
      </c>
    </row>
    <row r="570" spans="1:8" ht="85" x14ac:dyDescent="0.2">
      <c r="A570">
        <v>568</v>
      </c>
      <c r="B570" t="s">
        <v>1611</v>
      </c>
      <c r="C570" t="s">
        <v>3051</v>
      </c>
      <c r="D570" t="s">
        <v>3735</v>
      </c>
      <c r="E570" t="s">
        <v>4406</v>
      </c>
      <c r="F570" t="s">
        <v>4407</v>
      </c>
      <c r="G570" t="s">
        <v>4469</v>
      </c>
      <c r="H570" s="6" t="s">
        <v>7247</v>
      </c>
    </row>
    <row r="571" spans="1:8" ht="119" x14ac:dyDescent="0.2">
      <c r="A571">
        <v>569</v>
      </c>
      <c r="B571" t="s">
        <v>1611</v>
      </c>
      <c r="C571" t="s">
        <v>3051</v>
      </c>
      <c r="D571" t="s">
        <v>3735</v>
      </c>
      <c r="E571" t="s">
        <v>4406</v>
      </c>
      <c r="F571" t="s">
        <v>4407</v>
      </c>
      <c r="G571" t="s">
        <v>4470</v>
      </c>
      <c r="H571" s="6" t="s">
        <v>7248</v>
      </c>
    </row>
    <row r="572" spans="1:8" ht="85" x14ac:dyDescent="0.2">
      <c r="A572">
        <v>570</v>
      </c>
      <c r="B572" t="s">
        <v>1611</v>
      </c>
      <c r="C572" t="s">
        <v>3051</v>
      </c>
      <c r="D572" t="s">
        <v>3735</v>
      </c>
      <c r="E572" t="s">
        <v>4406</v>
      </c>
      <c r="F572" t="s">
        <v>4407</v>
      </c>
      <c r="G572" t="s">
        <v>4471</v>
      </c>
      <c r="H572" s="6" t="s">
        <v>7249</v>
      </c>
    </row>
    <row r="573" spans="1:8" ht="85" x14ac:dyDescent="0.2">
      <c r="A573">
        <v>571</v>
      </c>
      <c r="B573" t="s">
        <v>1611</v>
      </c>
      <c r="C573" t="s">
        <v>3051</v>
      </c>
      <c r="D573" t="s">
        <v>3735</v>
      </c>
      <c r="E573" t="s">
        <v>4406</v>
      </c>
      <c r="F573" t="s">
        <v>4407</v>
      </c>
      <c r="G573" t="s">
        <v>4472</v>
      </c>
      <c r="H573" s="6" t="s">
        <v>7250</v>
      </c>
    </row>
    <row r="574" spans="1:8" ht="85" x14ac:dyDescent="0.2">
      <c r="A574">
        <v>572</v>
      </c>
      <c r="B574" t="s">
        <v>1611</v>
      </c>
      <c r="C574" t="s">
        <v>3051</v>
      </c>
      <c r="D574" t="s">
        <v>3735</v>
      </c>
      <c r="E574" t="s">
        <v>4406</v>
      </c>
      <c r="F574" t="s">
        <v>4407</v>
      </c>
      <c r="G574" t="s">
        <v>4473</v>
      </c>
      <c r="H574" s="6" t="s">
        <v>7251</v>
      </c>
    </row>
    <row r="575" spans="1:8" ht="85" x14ac:dyDescent="0.2">
      <c r="A575">
        <v>573</v>
      </c>
      <c r="B575" t="s">
        <v>1611</v>
      </c>
      <c r="C575" t="s">
        <v>3051</v>
      </c>
      <c r="D575" t="s">
        <v>3735</v>
      </c>
      <c r="E575" t="s">
        <v>4406</v>
      </c>
      <c r="F575" t="s">
        <v>4407</v>
      </c>
      <c r="G575" t="s">
        <v>4474</v>
      </c>
      <c r="H575" s="6" t="s">
        <v>7252</v>
      </c>
    </row>
    <row r="576" spans="1:8" ht="221" x14ac:dyDescent="0.2">
      <c r="A576">
        <v>574</v>
      </c>
      <c r="B576" t="s">
        <v>1611</v>
      </c>
      <c r="C576" t="s">
        <v>3051</v>
      </c>
      <c r="D576" t="s">
        <v>3735</v>
      </c>
      <c r="E576" t="s">
        <v>4406</v>
      </c>
      <c r="F576" t="s">
        <v>4407</v>
      </c>
      <c r="G576" t="s">
        <v>4475</v>
      </c>
      <c r="H576" s="6" t="s">
        <v>7253</v>
      </c>
    </row>
    <row r="577" spans="1:8" ht="119" x14ac:dyDescent="0.2">
      <c r="A577">
        <v>575</v>
      </c>
      <c r="B577" t="s">
        <v>1611</v>
      </c>
      <c r="C577" t="s">
        <v>3051</v>
      </c>
      <c r="D577" t="s">
        <v>3735</v>
      </c>
      <c r="E577" t="s">
        <v>4406</v>
      </c>
      <c r="F577" t="s">
        <v>4407</v>
      </c>
      <c r="G577" t="s">
        <v>4476</v>
      </c>
      <c r="H577" s="6" t="s">
        <v>7254</v>
      </c>
    </row>
    <row r="578" spans="1:8" ht="119" x14ac:dyDescent="0.2">
      <c r="A578">
        <v>576</v>
      </c>
      <c r="B578" t="s">
        <v>1611</v>
      </c>
      <c r="C578" t="s">
        <v>3051</v>
      </c>
      <c r="D578" t="s">
        <v>3735</v>
      </c>
      <c r="E578" t="s">
        <v>4406</v>
      </c>
      <c r="F578" t="s">
        <v>4407</v>
      </c>
      <c r="G578" t="s">
        <v>4477</v>
      </c>
      <c r="H578" s="6" t="s">
        <v>7255</v>
      </c>
    </row>
    <row r="579" spans="1:8" ht="102" x14ac:dyDescent="0.2">
      <c r="A579">
        <v>577</v>
      </c>
      <c r="B579" t="s">
        <v>1611</v>
      </c>
      <c r="C579" t="s">
        <v>3051</v>
      </c>
      <c r="D579" t="s">
        <v>3735</v>
      </c>
      <c r="E579" t="s">
        <v>4406</v>
      </c>
      <c r="F579" t="s">
        <v>4407</v>
      </c>
      <c r="G579" t="s">
        <v>4478</v>
      </c>
      <c r="H579" s="6" t="s">
        <v>7256</v>
      </c>
    </row>
    <row r="580" spans="1:8" ht="102" x14ac:dyDescent="0.2">
      <c r="A580">
        <v>578</v>
      </c>
      <c r="B580" t="s">
        <v>1611</v>
      </c>
      <c r="C580" t="s">
        <v>3051</v>
      </c>
      <c r="D580" t="s">
        <v>3735</v>
      </c>
      <c r="E580" t="s">
        <v>4406</v>
      </c>
      <c r="F580" t="s">
        <v>4407</v>
      </c>
      <c r="G580" t="s">
        <v>4479</v>
      </c>
      <c r="H580" s="6" t="s">
        <v>7257</v>
      </c>
    </row>
    <row r="581" spans="1:8" ht="102" x14ac:dyDescent="0.2">
      <c r="A581">
        <v>579</v>
      </c>
      <c r="B581" t="s">
        <v>1611</v>
      </c>
      <c r="C581" t="s">
        <v>3051</v>
      </c>
      <c r="D581" t="s">
        <v>3735</v>
      </c>
      <c r="E581" t="s">
        <v>4406</v>
      </c>
      <c r="F581" t="s">
        <v>4407</v>
      </c>
      <c r="G581" t="s">
        <v>4480</v>
      </c>
      <c r="H581" s="6" t="s">
        <v>7258</v>
      </c>
    </row>
    <row r="582" spans="1:8" ht="85" x14ac:dyDescent="0.2">
      <c r="A582">
        <v>580</v>
      </c>
      <c r="B582" t="s">
        <v>1611</v>
      </c>
      <c r="C582" t="s">
        <v>3051</v>
      </c>
      <c r="D582" t="s">
        <v>3735</v>
      </c>
      <c r="E582" t="s">
        <v>4406</v>
      </c>
      <c r="F582" t="s">
        <v>4407</v>
      </c>
      <c r="G582" t="s">
        <v>4481</v>
      </c>
      <c r="H582" s="6" t="s">
        <v>7259</v>
      </c>
    </row>
    <row r="583" spans="1:8" ht="136" x14ac:dyDescent="0.2">
      <c r="A583">
        <v>581</v>
      </c>
      <c r="B583" t="s">
        <v>1611</v>
      </c>
      <c r="C583" t="s">
        <v>3051</v>
      </c>
      <c r="D583" t="s">
        <v>3735</v>
      </c>
      <c r="E583" t="s">
        <v>4406</v>
      </c>
      <c r="F583" t="s">
        <v>4407</v>
      </c>
      <c r="G583" t="s">
        <v>4482</v>
      </c>
      <c r="H583" s="6" t="s">
        <v>7260</v>
      </c>
    </row>
    <row r="584" spans="1:8" ht="119" x14ac:dyDescent="0.2">
      <c r="A584">
        <v>582</v>
      </c>
      <c r="B584" t="s">
        <v>1611</v>
      </c>
      <c r="C584" t="s">
        <v>3051</v>
      </c>
      <c r="D584" t="s">
        <v>3735</v>
      </c>
      <c r="E584" t="s">
        <v>4406</v>
      </c>
      <c r="F584" t="s">
        <v>4407</v>
      </c>
      <c r="G584" t="s">
        <v>4483</v>
      </c>
      <c r="H584" s="6" t="s">
        <v>7261</v>
      </c>
    </row>
    <row r="585" spans="1:8" ht="136" x14ac:dyDescent="0.2">
      <c r="A585">
        <v>583</v>
      </c>
      <c r="B585" t="s">
        <v>1611</v>
      </c>
      <c r="C585" t="s">
        <v>3051</v>
      </c>
      <c r="D585" t="s">
        <v>3735</v>
      </c>
      <c r="E585" t="s">
        <v>4406</v>
      </c>
      <c r="F585" t="s">
        <v>4407</v>
      </c>
      <c r="G585" t="s">
        <v>4484</v>
      </c>
      <c r="H585" s="6" t="s">
        <v>7262</v>
      </c>
    </row>
    <row r="586" spans="1:8" ht="102" x14ac:dyDescent="0.2">
      <c r="A586">
        <v>584</v>
      </c>
      <c r="B586" t="s">
        <v>1611</v>
      </c>
      <c r="C586" t="s">
        <v>3051</v>
      </c>
      <c r="D586" t="s">
        <v>3735</v>
      </c>
      <c r="E586" t="s">
        <v>4406</v>
      </c>
      <c r="F586" t="s">
        <v>4407</v>
      </c>
      <c r="G586" t="s">
        <v>4485</v>
      </c>
      <c r="H586" s="6" t="s">
        <v>7263</v>
      </c>
    </row>
    <row r="587" spans="1:8" ht="85" x14ac:dyDescent="0.2">
      <c r="A587">
        <v>585</v>
      </c>
      <c r="B587" t="s">
        <v>1611</v>
      </c>
      <c r="C587" t="s">
        <v>3051</v>
      </c>
      <c r="D587" t="s">
        <v>3735</v>
      </c>
      <c r="E587" t="s">
        <v>4406</v>
      </c>
      <c r="F587" t="s">
        <v>4407</v>
      </c>
      <c r="G587" t="s">
        <v>4486</v>
      </c>
      <c r="H587" s="6" t="s">
        <v>7264</v>
      </c>
    </row>
    <row r="588" spans="1:8" ht="102" x14ac:dyDescent="0.2">
      <c r="A588">
        <v>586</v>
      </c>
      <c r="B588" t="s">
        <v>1611</v>
      </c>
      <c r="C588" t="s">
        <v>3051</v>
      </c>
      <c r="D588" t="s">
        <v>3735</v>
      </c>
      <c r="E588" t="s">
        <v>4406</v>
      </c>
      <c r="F588" t="s">
        <v>4407</v>
      </c>
      <c r="G588" t="s">
        <v>4487</v>
      </c>
      <c r="H588" s="6" t="s">
        <v>7265</v>
      </c>
    </row>
    <row r="589" spans="1:8" ht="85" x14ac:dyDescent="0.2">
      <c r="A589">
        <v>587</v>
      </c>
      <c r="B589" t="s">
        <v>1611</v>
      </c>
      <c r="C589" t="s">
        <v>3051</v>
      </c>
      <c r="D589" t="s">
        <v>3735</v>
      </c>
      <c r="E589" t="s">
        <v>4406</v>
      </c>
      <c r="F589" t="s">
        <v>4407</v>
      </c>
      <c r="G589" t="s">
        <v>4488</v>
      </c>
      <c r="H589" s="6" t="s">
        <v>7266</v>
      </c>
    </row>
    <row r="590" spans="1:8" ht="102" x14ac:dyDescent="0.2">
      <c r="A590">
        <v>588</v>
      </c>
      <c r="B590" t="s">
        <v>1611</v>
      </c>
      <c r="C590" t="s">
        <v>3051</v>
      </c>
      <c r="D590" t="s">
        <v>3735</v>
      </c>
      <c r="E590" t="s">
        <v>4406</v>
      </c>
      <c r="F590" t="s">
        <v>4407</v>
      </c>
      <c r="G590" t="s">
        <v>4489</v>
      </c>
      <c r="H590" s="6" t="s">
        <v>7267</v>
      </c>
    </row>
    <row r="591" spans="1:8" ht="119" x14ac:dyDescent="0.2">
      <c r="A591">
        <v>589</v>
      </c>
      <c r="B591" t="s">
        <v>1611</v>
      </c>
      <c r="C591" t="s">
        <v>3051</v>
      </c>
      <c r="D591" t="s">
        <v>3735</v>
      </c>
      <c r="E591" t="s">
        <v>4406</v>
      </c>
      <c r="F591" t="s">
        <v>4407</v>
      </c>
      <c r="G591" t="s">
        <v>4490</v>
      </c>
      <c r="H591" s="6" t="s">
        <v>7268</v>
      </c>
    </row>
    <row r="592" spans="1:8" ht="119" x14ac:dyDescent="0.2">
      <c r="A592">
        <v>590</v>
      </c>
      <c r="B592" t="s">
        <v>1611</v>
      </c>
      <c r="C592" t="s">
        <v>3051</v>
      </c>
      <c r="D592" t="s">
        <v>3735</v>
      </c>
      <c r="E592" t="s">
        <v>4406</v>
      </c>
      <c r="F592" t="s">
        <v>4407</v>
      </c>
      <c r="G592" t="s">
        <v>4491</v>
      </c>
      <c r="H592" s="6" t="s">
        <v>7269</v>
      </c>
    </row>
    <row r="593" spans="1:8" ht="85" x14ac:dyDescent="0.2">
      <c r="A593">
        <v>591</v>
      </c>
      <c r="B593" t="s">
        <v>1611</v>
      </c>
      <c r="C593" t="s">
        <v>3051</v>
      </c>
      <c r="D593" t="s">
        <v>3735</v>
      </c>
      <c r="E593" t="s">
        <v>4406</v>
      </c>
      <c r="F593" t="s">
        <v>4407</v>
      </c>
      <c r="G593" t="s">
        <v>4492</v>
      </c>
      <c r="H593" s="6" t="s">
        <v>7270</v>
      </c>
    </row>
    <row r="594" spans="1:8" ht="85" x14ac:dyDescent="0.2">
      <c r="A594">
        <v>592</v>
      </c>
      <c r="B594" t="s">
        <v>1611</v>
      </c>
      <c r="C594" t="s">
        <v>3051</v>
      </c>
      <c r="D594" t="s">
        <v>3735</v>
      </c>
      <c r="E594" t="s">
        <v>4406</v>
      </c>
      <c r="F594" t="s">
        <v>4407</v>
      </c>
      <c r="G594" t="s">
        <v>4493</v>
      </c>
      <c r="H594" s="6" t="s">
        <v>7271</v>
      </c>
    </row>
    <row r="595" spans="1:8" ht="170" x14ac:dyDescent="0.2">
      <c r="A595">
        <v>593</v>
      </c>
      <c r="B595" t="s">
        <v>1611</v>
      </c>
      <c r="C595" t="s">
        <v>3051</v>
      </c>
      <c r="D595" t="s">
        <v>3735</v>
      </c>
      <c r="E595" t="s">
        <v>4406</v>
      </c>
      <c r="F595" t="s">
        <v>4407</v>
      </c>
      <c r="G595" t="s">
        <v>4494</v>
      </c>
      <c r="H595" s="6" t="s">
        <v>7272</v>
      </c>
    </row>
    <row r="596" spans="1:8" ht="85" x14ac:dyDescent="0.2">
      <c r="A596">
        <v>594</v>
      </c>
      <c r="B596" t="s">
        <v>1611</v>
      </c>
      <c r="C596" t="s">
        <v>3051</v>
      </c>
      <c r="D596" t="s">
        <v>3735</v>
      </c>
      <c r="E596" t="s">
        <v>4406</v>
      </c>
      <c r="F596" t="s">
        <v>4407</v>
      </c>
      <c r="G596" t="s">
        <v>4495</v>
      </c>
      <c r="H596" s="6" t="s">
        <v>7273</v>
      </c>
    </row>
    <row r="597" spans="1:8" ht="68" x14ac:dyDescent="0.2">
      <c r="A597">
        <v>595</v>
      </c>
      <c r="B597" t="s">
        <v>1611</v>
      </c>
      <c r="C597" t="s">
        <v>3051</v>
      </c>
      <c r="D597" t="s">
        <v>3735</v>
      </c>
      <c r="E597" t="s">
        <v>4406</v>
      </c>
      <c r="F597" t="s">
        <v>4407</v>
      </c>
      <c r="G597" t="s">
        <v>4496</v>
      </c>
      <c r="H597" s="6" t="s">
        <v>7274</v>
      </c>
    </row>
    <row r="598" spans="1:8" ht="119" x14ac:dyDescent="0.2">
      <c r="A598">
        <v>596</v>
      </c>
      <c r="B598" t="s">
        <v>1611</v>
      </c>
      <c r="C598" t="s">
        <v>3051</v>
      </c>
      <c r="D598" t="s">
        <v>3735</v>
      </c>
      <c r="E598" t="s">
        <v>4497</v>
      </c>
      <c r="F598" t="s">
        <v>4498</v>
      </c>
      <c r="G598" t="s">
        <v>4499</v>
      </c>
      <c r="H598" s="6" t="s">
        <v>7275</v>
      </c>
    </row>
    <row r="599" spans="1:8" ht="85" x14ac:dyDescent="0.2">
      <c r="A599">
        <v>597</v>
      </c>
      <c r="B599" t="s">
        <v>1611</v>
      </c>
      <c r="C599" t="s">
        <v>3051</v>
      </c>
      <c r="D599" t="s">
        <v>3735</v>
      </c>
      <c r="E599" t="s">
        <v>4497</v>
      </c>
      <c r="F599" t="s">
        <v>4498</v>
      </c>
      <c r="G599" t="s">
        <v>4500</v>
      </c>
      <c r="H599" s="6" t="s">
        <v>7276</v>
      </c>
    </row>
    <row r="600" spans="1:8" ht="102" x14ac:dyDescent="0.2">
      <c r="A600">
        <v>598</v>
      </c>
      <c r="B600" t="s">
        <v>1611</v>
      </c>
      <c r="C600" t="s">
        <v>3051</v>
      </c>
      <c r="D600" t="s">
        <v>3735</v>
      </c>
      <c r="E600" t="s">
        <v>4497</v>
      </c>
      <c r="F600" t="s">
        <v>4498</v>
      </c>
      <c r="G600" t="s">
        <v>4501</v>
      </c>
      <c r="H600" s="6" t="s">
        <v>7277</v>
      </c>
    </row>
    <row r="601" spans="1:8" ht="119" x14ac:dyDescent="0.2">
      <c r="A601">
        <v>599</v>
      </c>
      <c r="B601" t="s">
        <v>1611</v>
      </c>
      <c r="C601" t="s">
        <v>3051</v>
      </c>
      <c r="D601" t="s">
        <v>3735</v>
      </c>
      <c r="E601" t="s">
        <v>4497</v>
      </c>
      <c r="F601" t="s">
        <v>4498</v>
      </c>
      <c r="G601" t="s">
        <v>4502</v>
      </c>
      <c r="H601" s="6" t="s">
        <v>7278</v>
      </c>
    </row>
    <row r="602" spans="1:8" ht="85" x14ac:dyDescent="0.2">
      <c r="A602">
        <v>600</v>
      </c>
      <c r="B602" t="s">
        <v>1611</v>
      </c>
      <c r="C602" t="s">
        <v>3051</v>
      </c>
      <c r="D602" t="s">
        <v>3735</v>
      </c>
      <c r="E602" t="s">
        <v>4497</v>
      </c>
      <c r="F602" t="s">
        <v>4498</v>
      </c>
      <c r="G602" t="s">
        <v>4503</v>
      </c>
      <c r="H602" s="6" t="s">
        <v>7279</v>
      </c>
    </row>
    <row r="603" spans="1:8" ht="306" x14ac:dyDescent="0.2">
      <c r="A603">
        <v>601</v>
      </c>
      <c r="B603" t="s">
        <v>1611</v>
      </c>
      <c r="C603" t="s">
        <v>3051</v>
      </c>
      <c r="D603" t="s">
        <v>3735</v>
      </c>
      <c r="E603" t="s">
        <v>4504</v>
      </c>
      <c r="F603" t="s">
        <v>4505</v>
      </c>
      <c r="G603" t="s">
        <v>4506</v>
      </c>
      <c r="H603" s="6" t="s">
        <v>7280</v>
      </c>
    </row>
    <row r="604" spans="1:8" ht="119" x14ac:dyDescent="0.2">
      <c r="A604">
        <v>602</v>
      </c>
      <c r="B604" t="s">
        <v>1611</v>
      </c>
      <c r="C604" t="s">
        <v>3051</v>
      </c>
      <c r="D604" t="s">
        <v>3735</v>
      </c>
      <c r="E604" t="s">
        <v>4504</v>
      </c>
      <c r="F604" t="s">
        <v>4505</v>
      </c>
      <c r="G604" t="s">
        <v>4507</v>
      </c>
      <c r="H604" s="6" t="s">
        <v>7281</v>
      </c>
    </row>
    <row r="605" spans="1:8" ht="136" x14ac:dyDescent="0.2">
      <c r="A605">
        <v>603</v>
      </c>
      <c r="B605" t="s">
        <v>1611</v>
      </c>
      <c r="C605" t="s">
        <v>3051</v>
      </c>
      <c r="D605" t="s">
        <v>3735</v>
      </c>
      <c r="E605" t="s">
        <v>4504</v>
      </c>
      <c r="F605" t="s">
        <v>4505</v>
      </c>
      <c r="G605" t="s">
        <v>4508</v>
      </c>
      <c r="H605" s="6" t="s">
        <v>7282</v>
      </c>
    </row>
    <row r="606" spans="1:8" ht="102" x14ac:dyDescent="0.2">
      <c r="A606">
        <v>604</v>
      </c>
      <c r="B606" t="s">
        <v>1611</v>
      </c>
      <c r="C606" t="s">
        <v>3051</v>
      </c>
      <c r="D606" t="s">
        <v>3735</v>
      </c>
      <c r="E606" t="s">
        <v>4504</v>
      </c>
      <c r="F606" t="s">
        <v>4505</v>
      </c>
      <c r="G606" t="s">
        <v>4509</v>
      </c>
      <c r="H606" s="6" t="s">
        <v>7283</v>
      </c>
    </row>
    <row r="607" spans="1:8" ht="102" x14ac:dyDescent="0.2">
      <c r="A607">
        <v>605</v>
      </c>
      <c r="B607" t="s">
        <v>1611</v>
      </c>
      <c r="C607" t="s">
        <v>3051</v>
      </c>
      <c r="D607" t="s">
        <v>3735</v>
      </c>
      <c r="E607" t="s">
        <v>4504</v>
      </c>
      <c r="F607" t="s">
        <v>4505</v>
      </c>
      <c r="G607" t="s">
        <v>4510</v>
      </c>
      <c r="H607" s="6" t="s">
        <v>7284</v>
      </c>
    </row>
    <row r="608" spans="1:8" ht="85" x14ac:dyDescent="0.2">
      <c r="A608">
        <v>606</v>
      </c>
      <c r="B608" t="s">
        <v>1611</v>
      </c>
      <c r="C608" t="s">
        <v>3051</v>
      </c>
      <c r="D608" t="s">
        <v>3735</v>
      </c>
      <c r="E608" t="s">
        <v>4504</v>
      </c>
      <c r="F608" t="s">
        <v>4505</v>
      </c>
      <c r="G608" t="s">
        <v>4511</v>
      </c>
      <c r="H608" s="6" t="s">
        <v>7285</v>
      </c>
    </row>
    <row r="609" spans="1:8" ht="85" x14ac:dyDescent="0.2">
      <c r="A609">
        <v>607</v>
      </c>
      <c r="B609" t="s">
        <v>1611</v>
      </c>
      <c r="C609" t="s">
        <v>3051</v>
      </c>
      <c r="D609" t="s">
        <v>3735</v>
      </c>
      <c r="E609" t="s">
        <v>4504</v>
      </c>
      <c r="F609" t="s">
        <v>4505</v>
      </c>
      <c r="G609" t="s">
        <v>4512</v>
      </c>
      <c r="H609" s="6" t="s">
        <v>7286</v>
      </c>
    </row>
    <row r="610" spans="1:8" ht="119" x14ac:dyDescent="0.2">
      <c r="A610">
        <v>608</v>
      </c>
      <c r="B610" t="s">
        <v>1611</v>
      </c>
      <c r="C610" t="s">
        <v>3051</v>
      </c>
      <c r="D610" t="s">
        <v>3735</v>
      </c>
      <c r="E610" t="s">
        <v>4504</v>
      </c>
      <c r="F610" t="s">
        <v>4505</v>
      </c>
      <c r="G610" t="s">
        <v>4513</v>
      </c>
      <c r="H610" s="6" t="s">
        <v>7287</v>
      </c>
    </row>
    <row r="611" spans="1:8" ht="102" x14ac:dyDescent="0.2">
      <c r="A611">
        <v>609</v>
      </c>
      <c r="B611" t="s">
        <v>1611</v>
      </c>
      <c r="C611" t="s">
        <v>3051</v>
      </c>
      <c r="D611" t="s">
        <v>3735</v>
      </c>
      <c r="E611" t="s">
        <v>4504</v>
      </c>
      <c r="F611" t="s">
        <v>4505</v>
      </c>
      <c r="G611" t="s">
        <v>4514</v>
      </c>
      <c r="H611" s="6" t="s">
        <v>7288</v>
      </c>
    </row>
    <row r="612" spans="1:8" ht="102" x14ac:dyDescent="0.2">
      <c r="A612">
        <v>610</v>
      </c>
      <c r="B612" t="s">
        <v>1611</v>
      </c>
      <c r="C612" t="s">
        <v>3051</v>
      </c>
      <c r="D612" t="s">
        <v>3735</v>
      </c>
      <c r="E612" t="s">
        <v>4504</v>
      </c>
      <c r="F612" t="s">
        <v>4505</v>
      </c>
      <c r="G612" t="s">
        <v>4515</v>
      </c>
      <c r="H612" s="6" t="s">
        <v>7289</v>
      </c>
    </row>
    <row r="613" spans="1:8" ht="85" x14ac:dyDescent="0.2">
      <c r="A613">
        <v>611</v>
      </c>
      <c r="B613" t="s">
        <v>1611</v>
      </c>
      <c r="C613" t="s">
        <v>3051</v>
      </c>
      <c r="D613" t="s">
        <v>3735</v>
      </c>
      <c r="E613" t="s">
        <v>4504</v>
      </c>
      <c r="F613" t="s">
        <v>4505</v>
      </c>
      <c r="G613" t="s">
        <v>4516</v>
      </c>
      <c r="H613" s="6" t="s">
        <v>7290</v>
      </c>
    </row>
    <row r="614" spans="1:8" ht="255" x14ac:dyDescent="0.2">
      <c r="A614">
        <v>612</v>
      </c>
      <c r="B614" t="s">
        <v>1611</v>
      </c>
      <c r="C614" t="s">
        <v>3051</v>
      </c>
      <c r="D614" t="s">
        <v>3735</v>
      </c>
      <c r="E614" t="s">
        <v>4504</v>
      </c>
      <c r="F614" t="s">
        <v>4505</v>
      </c>
      <c r="G614" t="s">
        <v>4517</v>
      </c>
      <c r="H614" s="6" t="s">
        <v>7291</v>
      </c>
    </row>
    <row r="615" spans="1:8" ht="85" x14ac:dyDescent="0.2">
      <c r="A615">
        <v>613</v>
      </c>
      <c r="B615" t="s">
        <v>1611</v>
      </c>
      <c r="C615" t="s">
        <v>3051</v>
      </c>
      <c r="D615" t="s">
        <v>3735</v>
      </c>
      <c r="E615" t="s">
        <v>4504</v>
      </c>
      <c r="F615" t="s">
        <v>4505</v>
      </c>
      <c r="G615" t="s">
        <v>4518</v>
      </c>
      <c r="H615" s="6" t="s">
        <v>7292</v>
      </c>
    </row>
    <row r="616" spans="1:8" ht="102" x14ac:dyDescent="0.2">
      <c r="A616">
        <v>614</v>
      </c>
      <c r="B616" t="s">
        <v>1611</v>
      </c>
      <c r="C616" t="s">
        <v>3051</v>
      </c>
      <c r="D616" t="s">
        <v>3735</v>
      </c>
      <c r="E616" t="s">
        <v>4504</v>
      </c>
      <c r="F616" t="s">
        <v>4505</v>
      </c>
      <c r="G616" t="s">
        <v>4519</v>
      </c>
      <c r="H616" s="6" t="s">
        <v>7293</v>
      </c>
    </row>
    <row r="617" spans="1:8" ht="136" x14ac:dyDescent="0.2">
      <c r="A617">
        <v>615</v>
      </c>
      <c r="B617" t="s">
        <v>1611</v>
      </c>
      <c r="C617" t="s">
        <v>3051</v>
      </c>
      <c r="D617" t="s">
        <v>3735</v>
      </c>
      <c r="E617" t="s">
        <v>4504</v>
      </c>
      <c r="F617" t="s">
        <v>4505</v>
      </c>
      <c r="G617" t="s">
        <v>4520</v>
      </c>
      <c r="H617" s="6" t="s">
        <v>7294</v>
      </c>
    </row>
    <row r="618" spans="1:8" ht="119" x14ac:dyDescent="0.2">
      <c r="A618">
        <v>616</v>
      </c>
      <c r="B618" t="s">
        <v>1611</v>
      </c>
      <c r="C618" t="s">
        <v>3051</v>
      </c>
      <c r="D618" t="s">
        <v>3735</v>
      </c>
      <c r="E618" t="s">
        <v>4504</v>
      </c>
      <c r="F618" t="s">
        <v>4505</v>
      </c>
      <c r="G618" t="s">
        <v>4521</v>
      </c>
      <c r="H618" s="6" t="s">
        <v>7295</v>
      </c>
    </row>
    <row r="619" spans="1:8" ht="136" x14ac:dyDescent="0.2">
      <c r="A619">
        <v>617</v>
      </c>
      <c r="B619" t="s">
        <v>1611</v>
      </c>
      <c r="C619" t="s">
        <v>3051</v>
      </c>
      <c r="D619" t="s">
        <v>3735</v>
      </c>
      <c r="E619" t="s">
        <v>4504</v>
      </c>
      <c r="F619" t="s">
        <v>4505</v>
      </c>
      <c r="G619" t="s">
        <v>4522</v>
      </c>
      <c r="H619" s="6" t="s">
        <v>7296</v>
      </c>
    </row>
    <row r="620" spans="1:8" ht="119" x14ac:dyDescent="0.2">
      <c r="A620">
        <v>618</v>
      </c>
      <c r="B620" t="s">
        <v>1611</v>
      </c>
      <c r="C620" t="s">
        <v>3051</v>
      </c>
      <c r="D620" t="s">
        <v>3735</v>
      </c>
      <c r="E620" t="s">
        <v>4504</v>
      </c>
      <c r="F620" t="s">
        <v>4505</v>
      </c>
      <c r="G620" t="s">
        <v>4523</v>
      </c>
      <c r="H620" s="6" t="s">
        <v>7297</v>
      </c>
    </row>
    <row r="621" spans="1:8" ht="340" x14ac:dyDescent="0.2">
      <c r="A621">
        <v>619</v>
      </c>
      <c r="B621" t="s">
        <v>1611</v>
      </c>
      <c r="C621" t="s">
        <v>3051</v>
      </c>
      <c r="D621" t="s">
        <v>3735</v>
      </c>
      <c r="E621" t="s">
        <v>4504</v>
      </c>
      <c r="F621" t="s">
        <v>4505</v>
      </c>
      <c r="G621" t="s">
        <v>4524</v>
      </c>
      <c r="H621" s="6" t="s">
        <v>7298</v>
      </c>
    </row>
    <row r="622" spans="1:8" ht="136" x14ac:dyDescent="0.2">
      <c r="A622">
        <v>620</v>
      </c>
      <c r="B622" t="s">
        <v>1611</v>
      </c>
      <c r="C622" t="s">
        <v>3051</v>
      </c>
      <c r="D622" t="s">
        <v>3735</v>
      </c>
      <c r="E622" t="s">
        <v>4504</v>
      </c>
      <c r="F622" t="s">
        <v>4505</v>
      </c>
      <c r="G622" t="s">
        <v>4525</v>
      </c>
      <c r="H622" s="6" t="s">
        <v>7299</v>
      </c>
    </row>
    <row r="623" spans="1:8" ht="85" x14ac:dyDescent="0.2">
      <c r="A623">
        <v>621</v>
      </c>
      <c r="B623" t="s">
        <v>1611</v>
      </c>
      <c r="C623" t="s">
        <v>3051</v>
      </c>
      <c r="D623" t="s">
        <v>3735</v>
      </c>
      <c r="E623" t="s">
        <v>4504</v>
      </c>
      <c r="F623" t="s">
        <v>4505</v>
      </c>
      <c r="G623" t="s">
        <v>4526</v>
      </c>
      <c r="H623" s="6" t="s">
        <v>7300</v>
      </c>
    </row>
    <row r="624" spans="1:8" ht="102" x14ac:dyDescent="0.2">
      <c r="A624">
        <v>622</v>
      </c>
      <c r="B624" t="s">
        <v>1611</v>
      </c>
      <c r="C624" t="s">
        <v>3051</v>
      </c>
      <c r="D624" t="s">
        <v>3735</v>
      </c>
      <c r="E624" t="s">
        <v>4504</v>
      </c>
      <c r="F624" t="s">
        <v>4505</v>
      </c>
      <c r="G624" t="s">
        <v>4527</v>
      </c>
      <c r="H624" s="6" t="s">
        <v>7301</v>
      </c>
    </row>
    <row r="625" spans="1:8" ht="136" x14ac:dyDescent="0.2">
      <c r="A625">
        <v>623</v>
      </c>
      <c r="B625" t="s">
        <v>1611</v>
      </c>
      <c r="C625" t="s">
        <v>3051</v>
      </c>
      <c r="D625" t="s">
        <v>3735</v>
      </c>
      <c r="E625" t="s">
        <v>4504</v>
      </c>
      <c r="F625" t="s">
        <v>4505</v>
      </c>
      <c r="G625" t="s">
        <v>4528</v>
      </c>
      <c r="H625" s="6" t="s">
        <v>7302</v>
      </c>
    </row>
    <row r="626" spans="1:8" ht="170" x14ac:dyDescent="0.2">
      <c r="A626">
        <v>624</v>
      </c>
      <c r="B626" t="s">
        <v>1611</v>
      </c>
      <c r="C626" t="s">
        <v>3051</v>
      </c>
      <c r="D626" t="s">
        <v>3735</v>
      </c>
      <c r="E626" t="s">
        <v>4504</v>
      </c>
      <c r="F626" t="s">
        <v>4505</v>
      </c>
      <c r="G626" t="s">
        <v>4529</v>
      </c>
      <c r="H626" s="6" t="s">
        <v>7303</v>
      </c>
    </row>
    <row r="627" spans="1:8" ht="85" x14ac:dyDescent="0.2">
      <c r="A627">
        <v>625</v>
      </c>
      <c r="B627" t="s">
        <v>1611</v>
      </c>
      <c r="C627" t="s">
        <v>3051</v>
      </c>
      <c r="D627" t="s">
        <v>3735</v>
      </c>
      <c r="E627" t="s">
        <v>4504</v>
      </c>
      <c r="F627" t="s">
        <v>4505</v>
      </c>
      <c r="G627" t="s">
        <v>4530</v>
      </c>
      <c r="H627" s="6" t="s">
        <v>7304</v>
      </c>
    </row>
    <row r="628" spans="1:8" ht="85" x14ac:dyDescent="0.2">
      <c r="A628">
        <v>626</v>
      </c>
      <c r="B628" t="s">
        <v>1611</v>
      </c>
      <c r="C628" t="s">
        <v>3051</v>
      </c>
      <c r="D628" t="s">
        <v>3735</v>
      </c>
      <c r="E628" t="s">
        <v>4504</v>
      </c>
      <c r="F628" t="s">
        <v>4505</v>
      </c>
      <c r="G628" t="s">
        <v>4531</v>
      </c>
      <c r="H628" s="6" t="s">
        <v>7305</v>
      </c>
    </row>
    <row r="629" spans="1:8" ht="85" x14ac:dyDescent="0.2">
      <c r="A629">
        <v>627</v>
      </c>
      <c r="B629" t="s">
        <v>1611</v>
      </c>
      <c r="C629" t="s">
        <v>3051</v>
      </c>
      <c r="D629" t="s">
        <v>3735</v>
      </c>
      <c r="E629" t="s">
        <v>4504</v>
      </c>
      <c r="F629" t="s">
        <v>4505</v>
      </c>
      <c r="G629" t="s">
        <v>4532</v>
      </c>
      <c r="H629" s="6" t="s">
        <v>7306</v>
      </c>
    </row>
    <row r="630" spans="1:8" ht="136" x14ac:dyDescent="0.2">
      <c r="A630">
        <v>628</v>
      </c>
      <c r="B630" t="s">
        <v>1611</v>
      </c>
      <c r="C630" t="s">
        <v>3051</v>
      </c>
      <c r="D630" t="s">
        <v>3735</v>
      </c>
      <c r="E630" t="s">
        <v>4504</v>
      </c>
      <c r="F630" t="s">
        <v>4505</v>
      </c>
      <c r="G630" t="s">
        <v>4533</v>
      </c>
      <c r="H630" s="6" t="s">
        <v>7307</v>
      </c>
    </row>
    <row r="631" spans="1:8" ht="102" x14ac:dyDescent="0.2">
      <c r="A631">
        <v>629</v>
      </c>
      <c r="B631" t="s">
        <v>1611</v>
      </c>
      <c r="C631" t="s">
        <v>3051</v>
      </c>
      <c r="D631" t="s">
        <v>3735</v>
      </c>
      <c r="E631" t="s">
        <v>4504</v>
      </c>
      <c r="F631" t="s">
        <v>4505</v>
      </c>
      <c r="G631" t="s">
        <v>4534</v>
      </c>
      <c r="H631" s="6" t="s">
        <v>7308</v>
      </c>
    </row>
    <row r="632" spans="1:8" ht="85" x14ac:dyDescent="0.2">
      <c r="A632">
        <v>630</v>
      </c>
      <c r="B632" t="s">
        <v>1611</v>
      </c>
      <c r="C632" t="s">
        <v>3051</v>
      </c>
      <c r="D632" t="s">
        <v>3735</v>
      </c>
      <c r="E632" t="s">
        <v>4504</v>
      </c>
      <c r="F632" t="s">
        <v>4505</v>
      </c>
      <c r="G632" t="s">
        <v>4535</v>
      </c>
      <c r="H632" s="6" t="s">
        <v>7309</v>
      </c>
    </row>
    <row r="633" spans="1:8" ht="102" x14ac:dyDescent="0.2">
      <c r="A633">
        <v>631</v>
      </c>
      <c r="B633" t="s">
        <v>1611</v>
      </c>
      <c r="C633" t="s">
        <v>3051</v>
      </c>
      <c r="D633" t="s">
        <v>3735</v>
      </c>
      <c r="E633" t="s">
        <v>4504</v>
      </c>
      <c r="F633" t="s">
        <v>4505</v>
      </c>
      <c r="G633" t="s">
        <v>4536</v>
      </c>
      <c r="H633" s="6" t="s">
        <v>7310</v>
      </c>
    </row>
    <row r="634" spans="1:8" ht="119" x14ac:dyDescent="0.2">
      <c r="A634">
        <v>632</v>
      </c>
      <c r="B634" t="s">
        <v>1611</v>
      </c>
      <c r="C634" t="s">
        <v>3051</v>
      </c>
      <c r="D634" t="s">
        <v>3735</v>
      </c>
      <c r="E634" t="s">
        <v>4504</v>
      </c>
      <c r="F634" t="s">
        <v>4505</v>
      </c>
      <c r="G634" t="s">
        <v>4537</v>
      </c>
      <c r="H634" s="6" t="s">
        <v>7311</v>
      </c>
    </row>
    <row r="635" spans="1:8" ht="136" x14ac:dyDescent="0.2">
      <c r="A635">
        <v>633</v>
      </c>
      <c r="B635" t="s">
        <v>1611</v>
      </c>
      <c r="C635" t="s">
        <v>3051</v>
      </c>
      <c r="D635" t="s">
        <v>3735</v>
      </c>
      <c r="E635" t="s">
        <v>4504</v>
      </c>
      <c r="F635" t="s">
        <v>4505</v>
      </c>
      <c r="G635" t="s">
        <v>4538</v>
      </c>
      <c r="H635" s="6" t="s">
        <v>7312</v>
      </c>
    </row>
    <row r="636" spans="1:8" ht="187" x14ac:dyDescent="0.2">
      <c r="A636">
        <v>634</v>
      </c>
      <c r="B636" t="s">
        <v>1611</v>
      </c>
      <c r="C636" t="s">
        <v>3051</v>
      </c>
      <c r="D636" t="s">
        <v>3735</v>
      </c>
      <c r="E636" t="s">
        <v>4504</v>
      </c>
      <c r="F636" t="s">
        <v>4505</v>
      </c>
      <c r="G636" t="s">
        <v>4539</v>
      </c>
      <c r="H636" s="6" t="s">
        <v>7313</v>
      </c>
    </row>
    <row r="637" spans="1:8" ht="272" x14ac:dyDescent="0.2">
      <c r="A637">
        <v>635</v>
      </c>
      <c r="B637" t="s">
        <v>1611</v>
      </c>
      <c r="C637" t="s">
        <v>3051</v>
      </c>
      <c r="D637" t="s">
        <v>3735</v>
      </c>
      <c r="E637" t="s">
        <v>4504</v>
      </c>
      <c r="F637" t="s">
        <v>4505</v>
      </c>
      <c r="G637" t="s">
        <v>4540</v>
      </c>
      <c r="H637" s="6" t="s">
        <v>7314</v>
      </c>
    </row>
    <row r="638" spans="1:8" ht="221" x14ac:dyDescent="0.2">
      <c r="A638">
        <v>636</v>
      </c>
      <c r="B638" t="s">
        <v>1611</v>
      </c>
      <c r="C638" t="s">
        <v>3051</v>
      </c>
      <c r="D638" t="s">
        <v>3735</v>
      </c>
      <c r="E638" t="s">
        <v>4504</v>
      </c>
      <c r="F638" t="s">
        <v>4505</v>
      </c>
      <c r="G638" t="s">
        <v>4541</v>
      </c>
      <c r="H638" s="6" t="s">
        <v>7315</v>
      </c>
    </row>
    <row r="639" spans="1:8" ht="204" x14ac:dyDescent="0.2">
      <c r="A639">
        <v>637</v>
      </c>
      <c r="B639" t="s">
        <v>1611</v>
      </c>
      <c r="C639" t="s">
        <v>3051</v>
      </c>
      <c r="D639" t="s">
        <v>3735</v>
      </c>
      <c r="E639" t="s">
        <v>4504</v>
      </c>
      <c r="F639" t="s">
        <v>4505</v>
      </c>
      <c r="G639" t="s">
        <v>4542</v>
      </c>
      <c r="H639" s="6" t="s">
        <v>7316</v>
      </c>
    </row>
    <row r="640" spans="1:8" ht="136" x14ac:dyDescent="0.2">
      <c r="A640">
        <v>638</v>
      </c>
      <c r="B640" t="s">
        <v>1611</v>
      </c>
      <c r="C640" t="s">
        <v>3051</v>
      </c>
      <c r="D640" t="s">
        <v>3735</v>
      </c>
      <c r="E640" t="s">
        <v>4504</v>
      </c>
      <c r="F640" t="s">
        <v>4505</v>
      </c>
      <c r="G640" t="s">
        <v>4543</v>
      </c>
      <c r="H640" s="6" t="s">
        <v>7317</v>
      </c>
    </row>
    <row r="641" spans="1:8" ht="170" x14ac:dyDescent="0.2">
      <c r="A641">
        <v>639</v>
      </c>
      <c r="B641" t="s">
        <v>1611</v>
      </c>
      <c r="C641" t="s">
        <v>3051</v>
      </c>
      <c r="D641" t="s">
        <v>3735</v>
      </c>
      <c r="E641" t="s">
        <v>4504</v>
      </c>
      <c r="F641" t="s">
        <v>4505</v>
      </c>
      <c r="G641" t="s">
        <v>4544</v>
      </c>
      <c r="H641" s="6" t="s">
        <v>7318</v>
      </c>
    </row>
    <row r="642" spans="1:8" ht="136" x14ac:dyDescent="0.2">
      <c r="A642">
        <v>640</v>
      </c>
      <c r="B642" t="s">
        <v>1611</v>
      </c>
      <c r="C642" t="s">
        <v>3051</v>
      </c>
      <c r="D642" t="s">
        <v>3735</v>
      </c>
      <c r="E642" t="s">
        <v>4504</v>
      </c>
      <c r="F642" t="s">
        <v>4505</v>
      </c>
      <c r="G642" t="s">
        <v>4545</v>
      </c>
      <c r="H642" s="6" t="s">
        <v>7319</v>
      </c>
    </row>
    <row r="643" spans="1:8" ht="187" x14ac:dyDescent="0.2">
      <c r="A643">
        <v>641</v>
      </c>
      <c r="B643" t="s">
        <v>1611</v>
      </c>
      <c r="C643" t="s">
        <v>3051</v>
      </c>
      <c r="D643" t="s">
        <v>3735</v>
      </c>
      <c r="E643" t="s">
        <v>4504</v>
      </c>
      <c r="F643" t="s">
        <v>4505</v>
      </c>
      <c r="G643" t="s">
        <v>4546</v>
      </c>
      <c r="H643" s="6" t="s">
        <v>7320</v>
      </c>
    </row>
    <row r="644" spans="1:8" ht="102" x14ac:dyDescent="0.2">
      <c r="A644">
        <v>642</v>
      </c>
      <c r="B644" t="s">
        <v>1611</v>
      </c>
      <c r="C644" t="s">
        <v>3051</v>
      </c>
      <c r="D644" t="s">
        <v>3735</v>
      </c>
      <c r="E644" t="s">
        <v>4504</v>
      </c>
      <c r="F644" t="s">
        <v>4505</v>
      </c>
      <c r="G644" t="s">
        <v>4547</v>
      </c>
      <c r="H644" s="6" t="s">
        <v>7321</v>
      </c>
    </row>
    <row r="645" spans="1:8" ht="119" x14ac:dyDescent="0.2">
      <c r="A645">
        <v>643</v>
      </c>
      <c r="B645" t="s">
        <v>1611</v>
      </c>
      <c r="C645" t="s">
        <v>3051</v>
      </c>
      <c r="D645" t="s">
        <v>3735</v>
      </c>
      <c r="E645" t="s">
        <v>4504</v>
      </c>
      <c r="F645" t="s">
        <v>4505</v>
      </c>
      <c r="G645" t="s">
        <v>4548</v>
      </c>
      <c r="H645" s="6" t="s">
        <v>7322</v>
      </c>
    </row>
    <row r="646" spans="1:8" ht="102" x14ac:dyDescent="0.2">
      <c r="A646">
        <v>644</v>
      </c>
      <c r="B646" t="s">
        <v>1611</v>
      </c>
      <c r="C646" t="s">
        <v>3051</v>
      </c>
      <c r="D646" t="s">
        <v>3735</v>
      </c>
      <c r="E646" t="s">
        <v>4504</v>
      </c>
      <c r="F646" t="s">
        <v>4505</v>
      </c>
      <c r="G646" t="s">
        <v>4549</v>
      </c>
      <c r="H646" s="6" t="s">
        <v>7323</v>
      </c>
    </row>
    <row r="647" spans="1:8" ht="85" x14ac:dyDescent="0.2">
      <c r="A647">
        <v>645</v>
      </c>
      <c r="B647" t="s">
        <v>1611</v>
      </c>
      <c r="C647" t="s">
        <v>3051</v>
      </c>
      <c r="D647" t="s">
        <v>3735</v>
      </c>
      <c r="E647" t="s">
        <v>4504</v>
      </c>
      <c r="F647" t="s">
        <v>4505</v>
      </c>
      <c r="G647" t="s">
        <v>4550</v>
      </c>
      <c r="H647" s="6" t="s">
        <v>7324</v>
      </c>
    </row>
    <row r="648" spans="1:8" ht="102" x14ac:dyDescent="0.2">
      <c r="A648">
        <v>646</v>
      </c>
      <c r="B648" t="s">
        <v>1611</v>
      </c>
      <c r="C648" t="s">
        <v>3051</v>
      </c>
      <c r="D648" t="s">
        <v>3735</v>
      </c>
      <c r="E648" t="s">
        <v>4504</v>
      </c>
      <c r="F648" t="s">
        <v>4505</v>
      </c>
      <c r="G648" t="s">
        <v>4551</v>
      </c>
      <c r="H648" s="6" t="s">
        <v>7325</v>
      </c>
    </row>
    <row r="649" spans="1:8" ht="272" x14ac:dyDescent="0.2">
      <c r="A649">
        <v>647</v>
      </c>
      <c r="B649" t="s">
        <v>1611</v>
      </c>
      <c r="C649" t="s">
        <v>3051</v>
      </c>
      <c r="D649" t="s">
        <v>3735</v>
      </c>
      <c r="E649" t="s">
        <v>4504</v>
      </c>
      <c r="F649" t="s">
        <v>4505</v>
      </c>
      <c r="G649" t="s">
        <v>4552</v>
      </c>
      <c r="H649" s="6" t="s">
        <v>7326</v>
      </c>
    </row>
    <row r="650" spans="1:8" ht="102" x14ac:dyDescent="0.2">
      <c r="A650">
        <v>648</v>
      </c>
      <c r="B650" t="s">
        <v>1611</v>
      </c>
      <c r="C650" t="s">
        <v>3051</v>
      </c>
      <c r="D650" t="s">
        <v>3735</v>
      </c>
      <c r="E650" t="s">
        <v>4504</v>
      </c>
      <c r="F650" t="s">
        <v>4505</v>
      </c>
      <c r="G650" t="s">
        <v>4553</v>
      </c>
      <c r="H650" s="6" t="s">
        <v>7327</v>
      </c>
    </row>
    <row r="651" spans="1:8" ht="119" x14ac:dyDescent="0.2">
      <c r="A651">
        <v>649</v>
      </c>
      <c r="B651" t="s">
        <v>1611</v>
      </c>
      <c r="C651" t="s">
        <v>3051</v>
      </c>
      <c r="D651" t="s">
        <v>3735</v>
      </c>
      <c r="E651" t="s">
        <v>4504</v>
      </c>
      <c r="F651" t="s">
        <v>4505</v>
      </c>
      <c r="G651" t="s">
        <v>4554</v>
      </c>
      <c r="H651" s="6" t="s">
        <v>7328</v>
      </c>
    </row>
    <row r="652" spans="1:8" ht="102" x14ac:dyDescent="0.2">
      <c r="A652">
        <v>650</v>
      </c>
      <c r="B652" t="s">
        <v>1611</v>
      </c>
      <c r="C652" t="s">
        <v>3051</v>
      </c>
      <c r="D652" t="s">
        <v>3735</v>
      </c>
      <c r="E652" t="s">
        <v>4504</v>
      </c>
      <c r="F652" t="s">
        <v>4505</v>
      </c>
      <c r="G652" t="s">
        <v>4555</v>
      </c>
      <c r="H652" s="6" t="s">
        <v>7329</v>
      </c>
    </row>
    <row r="653" spans="1:8" ht="102" x14ac:dyDescent="0.2">
      <c r="A653">
        <v>651</v>
      </c>
      <c r="B653" t="s">
        <v>1611</v>
      </c>
      <c r="C653" t="s">
        <v>3051</v>
      </c>
      <c r="D653" t="s">
        <v>3735</v>
      </c>
      <c r="E653" t="s">
        <v>4504</v>
      </c>
      <c r="F653" t="s">
        <v>4505</v>
      </c>
      <c r="G653" t="s">
        <v>4556</v>
      </c>
      <c r="H653" s="6" t="s">
        <v>7330</v>
      </c>
    </row>
    <row r="654" spans="1:8" ht="102" x14ac:dyDescent="0.2">
      <c r="A654">
        <v>652</v>
      </c>
      <c r="B654" t="s">
        <v>1611</v>
      </c>
      <c r="C654" t="s">
        <v>3051</v>
      </c>
      <c r="D654" t="s">
        <v>3735</v>
      </c>
      <c r="E654" t="s">
        <v>4504</v>
      </c>
      <c r="F654" t="s">
        <v>4505</v>
      </c>
      <c r="G654" t="s">
        <v>4557</v>
      </c>
      <c r="H654" s="6" t="s">
        <v>7331</v>
      </c>
    </row>
    <row r="655" spans="1:8" ht="119" x14ac:dyDescent="0.2">
      <c r="A655">
        <v>653</v>
      </c>
      <c r="B655" t="s">
        <v>1611</v>
      </c>
      <c r="C655" t="s">
        <v>3051</v>
      </c>
      <c r="D655" t="s">
        <v>3735</v>
      </c>
      <c r="E655" t="s">
        <v>4504</v>
      </c>
      <c r="F655" t="s">
        <v>4505</v>
      </c>
      <c r="G655" t="s">
        <v>4558</v>
      </c>
      <c r="H655" s="6" t="s">
        <v>7332</v>
      </c>
    </row>
    <row r="656" spans="1:8" ht="204" x14ac:dyDescent="0.2">
      <c r="A656">
        <v>654</v>
      </c>
      <c r="B656" t="s">
        <v>1611</v>
      </c>
      <c r="C656" t="s">
        <v>3051</v>
      </c>
      <c r="D656" t="s">
        <v>3735</v>
      </c>
      <c r="E656" t="s">
        <v>4504</v>
      </c>
      <c r="F656" t="s">
        <v>4505</v>
      </c>
      <c r="G656" t="s">
        <v>4559</v>
      </c>
      <c r="H656" s="6" t="s">
        <v>7333</v>
      </c>
    </row>
    <row r="657" spans="1:8" ht="136" x14ac:dyDescent="0.2">
      <c r="A657">
        <v>655</v>
      </c>
      <c r="B657" t="s">
        <v>1611</v>
      </c>
      <c r="C657" t="s">
        <v>3051</v>
      </c>
      <c r="D657" t="s">
        <v>3735</v>
      </c>
      <c r="E657" t="s">
        <v>4504</v>
      </c>
      <c r="F657" t="s">
        <v>4505</v>
      </c>
      <c r="G657" t="s">
        <v>4560</v>
      </c>
      <c r="H657" s="6" t="s">
        <v>7334</v>
      </c>
    </row>
    <row r="658" spans="1:8" ht="85" x14ac:dyDescent="0.2">
      <c r="A658">
        <v>656</v>
      </c>
      <c r="B658" t="s">
        <v>1611</v>
      </c>
      <c r="C658" t="s">
        <v>3051</v>
      </c>
      <c r="D658" t="s">
        <v>3735</v>
      </c>
      <c r="E658" t="s">
        <v>4504</v>
      </c>
      <c r="F658" t="s">
        <v>4505</v>
      </c>
      <c r="G658" t="s">
        <v>4561</v>
      </c>
      <c r="H658" s="6" t="s">
        <v>7335</v>
      </c>
    </row>
    <row r="659" spans="1:8" ht="102" x14ac:dyDescent="0.2">
      <c r="A659">
        <v>657</v>
      </c>
      <c r="B659" t="s">
        <v>1611</v>
      </c>
      <c r="C659" t="s">
        <v>3051</v>
      </c>
      <c r="D659" t="s">
        <v>3735</v>
      </c>
      <c r="E659" t="s">
        <v>4504</v>
      </c>
      <c r="F659" t="s">
        <v>4505</v>
      </c>
      <c r="G659" t="s">
        <v>4562</v>
      </c>
      <c r="H659" s="6" t="s">
        <v>7336</v>
      </c>
    </row>
    <row r="660" spans="1:8" ht="102" x14ac:dyDescent="0.2">
      <c r="A660">
        <v>658</v>
      </c>
      <c r="B660" t="s">
        <v>1611</v>
      </c>
      <c r="C660" t="s">
        <v>3051</v>
      </c>
      <c r="D660" t="s">
        <v>3735</v>
      </c>
      <c r="E660" t="s">
        <v>4504</v>
      </c>
      <c r="F660" t="s">
        <v>4505</v>
      </c>
      <c r="G660" t="s">
        <v>4563</v>
      </c>
      <c r="H660" s="6" t="s">
        <v>7337</v>
      </c>
    </row>
    <row r="661" spans="1:8" ht="221" x14ac:dyDescent="0.2">
      <c r="A661">
        <v>659</v>
      </c>
      <c r="B661" t="s">
        <v>1611</v>
      </c>
      <c r="C661" t="s">
        <v>3051</v>
      </c>
      <c r="D661" t="s">
        <v>3735</v>
      </c>
      <c r="E661" t="s">
        <v>4504</v>
      </c>
      <c r="F661" t="s">
        <v>4505</v>
      </c>
      <c r="G661" t="s">
        <v>4564</v>
      </c>
      <c r="H661" s="6" t="s">
        <v>7338</v>
      </c>
    </row>
    <row r="662" spans="1:8" ht="409.6" x14ac:dyDescent="0.2">
      <c r="A662">
        <v>660</v>
      </c>
      <c r="B662" t="s">
        <v>1611</v>
      </c>
      <c r="C662" t="s">
        <v>3051</v>
      </c>
      <c r="D662" t="s">
        <v>3735</v>
      </c>
      <c r="E662" t="s">
        <v>4565</v>
      </c>
      <c r="F662" t="s">
        <v>4566</v>
      </c>
      <c r="G662" t="s">
        <v>4567</v>
      </c>
      <c r="H662" s="6" t="s">
        <v>7339</v>
      </c>
    </row>
    <row r="663" spans="1:8" ht="187" x14ac:dyDescent="0.2">
      <c r="A663">
        <v>661</v>
      </c>
      <c r="B663" t="s">
        <v>1611</v>
      </c>
      <c r="C663" t="s">
        <v>3051</v>
      </c>
      <c r="D663" t="s">
        <v>3735</v>
      </c>
      <c r="E663" t="s">
        <v>4565</v>
      </c>
      <c r="F663" t="s">
        <v>4566</v>
      </c>
      <c r="G663" t="s">
        <v>4568</v>
      </c>
      <c r="H663" s="6" t="s">
        <v>7340</v>
      </c>
    </row>
    <row r="664" spans="1:8" ht="102" x14ac:dyDescent="0.2">
      <c r="A664">
        <v>662</v>
      </c>
      <c r="B664" t="s">
        <v>1611</v>
      </c>
      <c r="C664" t="s">
        <v>3051</v>
      </c>
      <c r="D664" t="s">
        <v>3735</v>
      </c>
      <c r="E664" t="s">
        <v>4565</v>
      </c>
      <c r="F664" t="s">
        <v>4566</v>
      </c>
      <c r="G664" t="s">
        <v>4569</v>
      </c>
      <c r="H664" s="6" t="s">
        <v>7341</v>
      </c>
    </row>
    <row r="665" spans="1:8" ht="102" x14ac:dyDescent="0.2">
      <c r="A665">
        <v>663</v>
      </c>
      <c r="B665" t="s">
        <v>1611</v>
      </c>
      <c r="C665" t="s">
        <v>3051</v>
      </c>
      <c r="D665" t="s">
        <v>3735</v>
      </c>
      <c r="E665" t="s">
        <v>4565</v>
      </c>
      <c r="F665" t="s">
        <v>4566</v>
      </c>
      <c r="G665" t="s">
        <v>4570</v>
      </c>
      <c r="H665" s="6" t="s">
        <v>7342</v>
      </c>
    </row>
    <row r="666" spans="1:8" ht="187" x14ac:dyDescent="0.2">
      <c r="A666">
        <v>664</v>
      </c>
      <c r="B666" t="s">
        <v>1611</v>
      </c>
      <c r="C666" t="s">
        <v>3051</v>
      </c>
      <c r="D666" t="s">
        <v>3735</v>
      </c>
      <c r="E666" t="s">
        <v>4565</v>
      </c>
      <c r="F666" t="s">
        <v>4566</v>
      </c>
      <c r="G666" t="s">
        <v>4571</v>
      </c>
      <c r="H666" s="6" t="s">
        <v>7343</v>
      </c>
    </row>
    <row r="667" spans="1:8" ht="119" x14ac:dyDescent="0.2">
      <c r="A667">
        <v>665</v>
      </c>
      <c r="B667" t="s">
        <v>1611</v>
      </c>
      <c r="C667" t="s">
        <v>3051</v>
      </c>
      <c r="D667" t="s">
        <v>3735</v>
      </c>
      <c r="E667" t="s">
        <v>4565</v>
      </c>
      <c r="F667" t="s">
        <v>4566</v>
      </c>
      <c r="G667" t="s">
        <v>4572</v>
      </c>
      <c r="H667" s="6" t="s">
        <v>7344</v>
      </c>
    </row>
    <row r="668" spans="1:8" ht="85" x14ac:dyDescent="0.2">
      <c r="A668">
        <v>666</v>
      </c>
      <c r="B668" t="s">
        <v>1611</v>
      </c>
      <c r="C668" t="s">
        <v>3051</v>
      </c>
      <c r="D668" t="s">
        <v>3735</v>
      </c>
      <c r="E668" t="s">
        <v>4565</v>
      </c>
      <c r="F668" t="s">
        <v>4566</v>
      </c>
      <c r="G668" t="s">
        <v>4573</v>
      </c>
      <c r="H668" s="6" t="s">
        <v>7345</v>
      </c>
    </row>
    <row r="669" spans="1:8" ht="102" x14ac:dyDescent="0.2">
      <c r="A669">
        <v>667</v>
      </c>
      <c r="B669" t="s">
        <v>1611</v>
      </c>
      <c r="C669" t="s">
        <v>3051</v>
      </c>
      <c r="D669" t="s">
        <v>3735</v>
      </c>
      <c r="E669" t="s">
        <v>4565</v>
      </c>
      <c r="F669" t="s">
        <v>4566</v>
      </c>
      <c r="G669" t="s">
        <v>4574</v>
      </c>
      <c r="H669" s="6" t="s">
        <v>7346</v>
      </c>
    </row>
    <row r="670" spans="1:8" ht="102" x14ac:dyDescent="0.2">
      <c r="A670">
        <v>668</v>
      </c>
      <c r="B670" t="s">
        <v>1611</v>
      </c>
      <c r="C670" t="s">
        <v>3051</v>
      </c>
      <c r="D670" t="s">
        <v>3735</v>
      </c>
      <c r="E670" t="s">
        <v>4565</v>
      </c>
      <c r="F670" t="s">
        <v>4566</v>
      </c>
      <c r="G670" t="s">
        <v>4575</v>
      </c>
      <c r="H670" s="6" t="s">
        <v>7347</v>
      </c>
    </row>
    <row r="671" spans="1:8" ht="85" x14ac:dyDescent="0.2">
      <c r="A671">
        <v>669</v>
      </c>
      <c r="B671" t="s">
        <v>1611</v>
      </c>
      <c r="C671" t="s">
        <v>3051</v>
      </c>
      <c r="D671" t="s">
        <v>3735</v>
      </c>
      <c r="E671" t="s">
        <v>4565</v>
      </c>
      <c r="F671" t="s">
        <v>4566</v>
      </c>
      <c r="G671" t="s">
        <v>4576</v>
      </c>
      <c r="H671" s="6" t="s">
        <v>7348</v>
      </c>
    </row>
    <row r="672" spans="1:8" ht="85" x14ac:dyDescent="0.2">
      <c r="A672">
        <v>670</v>
      </c>
      <c r="B672" t="s">
        <v>1611</v>
      </c>
      <c r="C672" t="s">
        <v>3051</v>
      </c>
      <c r="D672" t="s">
        <v>3735</v>
      </c>
      <c r="E672" t="s">
        <v>4565</v>
      </c>
      <c r="F672" t="s">
        <v>4566</v>
      </c>
      <c r="G672" t="s">
        <v>4577</v>
      </c>
      <c r="H672" s="6" t="s">
        <v>7349</v>
      </c>
    </row>
    <row r="673" spans="1:8" ht="85" x14ac:dyDescent="0.2">
      <c r="A673">
        <v>671</v>
      </c>
      <c r="B673" t="s">
        <v>1611</v>
      </c>
      <c r="C673" t="s">
        <v>3051</v>
      </c>
      <c r="D673" t="s">
        <v>3735</v>
      </c>
      <c r="E673" t="s">
        <v>4565</v>
      </c>
      <c r="F673" t="s">
        <v>4566</v>
      </c>
      <c r="G673" t="s">
        <v>4578</v>
      </c>
      <c r="H673" s="6" t="s">
        <v>7350</v>
      </c>
    </row>
    <row r="674" spans="1:8" ht="102" x14ac:dyDescent="0.2">
      <c r="A674">
        <v>672</v>
      </c>
      <c r="B674" t="s">
        <v>1611</v>
      </c>
      <c r="C674" t="s">
        <v>3051</v>
      </c>
      <c r="D674" t="s">
        <v>3735</v>
      </c>
      <c r="E674" t="s">
        <v>4565</v>
      </c>
      <c r="F674" t="s">
        <v>4566</v>
      </c>
      <c r="G674" t="s">
        <v>4579</v>
      </c>
      <c r="H674" s="6" t="s">
        <v>7351</v>
      </c>
    </row>
    <row r="675" spans="1:8" ht="85" x14ac:dyDescent="0.2">
      <c r="A675">
        <v>673</v>
      </c>
      <c r="B675" t="s">
        <v>1611</v>
      </c>
      <c r="C675" t="s">
        <v>3051</v>
      </c>
      <c r="D675" t="s">
        <v>3735</v>
      </c>
      <c r="E675" t="s">
        <v>4565</v>
      </c>
      <c r="F675" t="s">
        <v>4566</v>
      </c>
      <c r="G675" t="s">
        <v>4580</v>
      </c>
      <c r="H675" s="6" t="s">
        <v>7352</v>
      </c>
    </row>
    <row r="676" spans="1:8" ht="272" x14ac:dyDescent="0.2">
      <c r="A676">
        <v>674</v>
      </c>
      <c r="B676" t="s">
        <v>1611</v>
      </c>
      <c r="C676" t="s">
        <v>3051</v>
      </c>
      <c r="D676" t="s">
        <v>3735</v>
      </c>
      <c r="E676" t="s">
        <v>4565</v>
      </c>
      <c r="F676" t="s">
        <v>4566</v>
      </c>
      <c r="G676" t="s">
        <v>4581</v>
      </c>
      <c r="H676" s="6" t="s">
        <v>7353</v>
      </c>
    </row>
    <row r="677" spans="1:8" ht="85" x14ac:dyDescent="0.2">
      <c r="A677">
        <v>675</v>
      </c>
      <c r="B677" t="s">
        <v>1611</v>
      </c>
      <c r="C677" t="s">
        <v>3051</v>
      </c>
      <c r="D677" t="s">
        <v>3735</v>
      </c>
      <c r="E677" t="s">
        <v>4565</v>
      </c>
      <c r="F677" t="s">
        <v>4566</v>
      </c>
      <c r="G677" t="s">
        <v>4582</v>
      </c>
      <c r="H677" s="6" t="s">
        <v>7354</v>
      </c>
    </row>
    <row r="678" spans="1:8" ht="85" x14ac:dyDescent="0.2">
      <c r="A678">
        <v>676</v>
      </c>
      <c r="B678" t="s">
        <v>1611</v>
      </c>
      <c r="C678" t="s">
        <v>3051</v>
      </c>
      <c r="D678" t="s">
        <v>3735</v>
      </c>
      <c r="E678" t="s">
        <v>4565</v>
      </c>
      <c r="F678" t="s">
        <v>4566</v>
      </c>
      <c r="G678" t="s">
        <v>4583</v>
      </c>
      <c r="H678" s="6" t="s">
        <v>7355</v>
      </c>
    </row>
    <row r="679" spans="1:8" ht="102" x14ac:dyDescent="0.2">
      <c r="A679">
        <v>677</v>
      </c>
      <c r="B679" t="s">
        <v>1611</v>
      </c>
      <c r="C679" t="s">
        <v>3051</v>
      </c>
      <c r="D679" t="s">
        <v>3735</v>
      </c>
      <c r="E679" t="s">
        <v>4565</v>
      </c>
      <c r="F679" t="s">
        <v>4566</v>
      </c>
      <c r="G679" t="s">
        <v>4584</v>
      </c>
      <c r="H679" s="6" t="s">
        <v>7356</v>
      </c>
    </row>
    <row r="680" spans="1:8" ht="85" x14ac:dyDescent="0.2">
      <c r="A680">
        <v>678</v>
      </c>
      <c r="B680" t="s">
        <v>1611</v>
      </c>
      <c r="C680" t="s">
        <v>3051</v>
      </c>
      <c r="D680" t="s">
        <v>3735</v>
      </c>
      <c r="E680" t="s">
        <v>4565</v>
      </c>
      <c r="F680" t="s">
        <v>4566</v>
      </c>
      <c r="G680" t="s">
        <v>4585</v>
      </c>
      <c r="H680" s="6" t="s">
        <v>7357</v>
      </c>
    </row>
    <row r="681" spans="1:8" ht="272" x14ac:dyDescent="0.2">
      <c r="A681">
        <v>679</v>
      </c>
      <c r="B681" t="s">
        <v>1611</v>
      </c>
      <c r="C681" t="s">
        <v>3051</v>
      </c>
      <c r="D681" t="s">
        <v>3735</v>
      </c>
      <c r="E681" t="s">
        <v>4565</v>
      </c>
      <c r="F681" t="s">
        <v>4566</v>
      </c>
      <c r="G681" t="s">
        <v>4586</v>
      </c>
      <c r="H681" s="6" t="s">
        <v>7358</v>
      </c>
    </row>
    <row r="682" spans="1:8" ht="85" x14ac:dyDescent="0.2">
      <c r="A682">
        <v>680</v>
      </c>
      <c r="B682" t="s">
        <v>1611</v>
      </c>
      <c r="C682" t="s">
        <v>3051</v>
      </c>
      <c r="D682" t="s">
        <v>3735</v>
      </c>
      <c r="E682" t="s">
        <v>4565</v>
      </c>
      <c r="F682" t="s">
        <v>4566</v>
      </c>
      <c r="G682" t="s">
        <v>4587</v>
      </c>
      <c r="H682" s="6" t="s">
        <v>7354</v>
      </c>
    </row>
    <row r="683" spans="1:8" ht="85" x14ac:dyDescent="0.2">
      <c r="A683">
        <v>681</v>
      </c>
      <c r="B683" t="s">
        <v>1611</v>
      </c>
      <c r="C683" t="s">
        <v>3051</v>
      </c>
      <c r="D683" t="s">
        <v>3735</v>
      </c>
      <c r="E683" t="s">
        <v>4565</v>
      </c>
      <c r="F683" t="s">
        <v>4566</v>
      </c>
      <c r="G683" t="s">
        <v>4588</v>
      </c>
      <c r="H683" s="6" t="s">
        <v>7359</v>
      </c>
    </row>
    <row r="684" spans="1:8" ht="85" x14ac:dyDescent="0.2">
      <c r="A684">
        <v>682</v>
      </c>
      <c r="B684" t="s">
        <v>1611</v>
      </c>
      <c r="C684" t="s">
        <v>3051</v>
      </c>
      <c r="D684" t="s">
        <v>3735</v>
      </c>
      <c r="E684" t="s">
        <v>4565</v>
      </c>
      <c r="F684" t="s">
        <v>4566</v>
      </c>
      <c r="G684" t="s">
        <v>4589</v>
      </c>
      <c r="H684" s="6" t="s">
        <v>7360</v>
      </c>
    </row>
    <row r="685" spans="1:8" ht="85" x14ac:dyDescent="0.2">
      <c r="A685">
        <v>683</v>
      </c>
      <c r="B685" t="s">
        <v>1611</v>
      </c>
      <c r="C685" t="s">
        <v>3051</v>
      </c>
      <c r="D685" t="s">
        <v>3735</v>
      </c>
      <c r="E685" t="s">
        <v>4565</v>
      </c>
      <c r="F685" t="s">
        <v>4566</v>
      </c>
      <c r="G685" t="s">
        <v>4590</v>
      </c>
      <c r="H685" s="6" t="s">
        <v>7361</v>
      </c>
    </row>
    <row r="686" spans="1:8" ht="289" x14ac:dyDescent="0.2">
      <c r="A686">
        <v>684</v>
      </c>
      <c r="B686" t="s">
        <v>1611</v>
      </c>
      <c r="C686" t="s">
        <v>3051</v>
      </c>
      <c r="D686" t="s">
        <v>3735</v>
      </c>
      <c r="E686" t="s">
        <v>4565</v>
      </c>
      <c r="F686" t="s">
        <v>4566</v>
      </c>
      <c r="G686" t="s">
        <v>4591</v>
      </c>
      <c r="H686" s="6" t="s">
        <v>7362</v>
      </c>
    </row>
    <row r="687" spans="1:8" ht="306" x14ac:dyDescent="0.2">
      <c r="A687">
        <v>685</v>
      </c>
      <c r="B687" t="s">
        <v>1611</v>
      </c>
      <c r="C687" t="s">
        <v>3051</v>
      </c>
      <c r="D687" t="s">
        <v>3735</v>
      </c>
      <c r="E687" t="s">
        <v>4565</v>
      </c>
      <c r="F687" t="s">
        <v>4566</v>
      </c>
      <c r="G687" t="s">
        <v>4592</v>
      </c>
      <c r="H687" s="6" t="s">
        <v>7363</v>
      </c>
    </row>
    <row r="688" spans="1:8" ht="255" x14ac:dyDescent="0.2">
      <c r="A688">
        <v>686</v>
      </c>
      <c r="B688" t="s">
        <v>1611</v>
      </c>
      <c r="C688" t="s">
        <v>3051</v>
      </c>
      <c r="D688" t="s">
        <v>3735</v>
      </c>
      <c r="E688" t="s">
        <v>4565</v>
      </c>
      <c r="F688" t="s">
        <v>4566</v>
      </c>
      <c r="G688" t="s">
        <v>4593</v>
      </c>
      <c r="H688" s="6" t="s">
        <v>7364</v>
      </c>
    </row>
    <row r="689" spans="1:8" ht="102" x14ac:dyDescent="0.2">
      <c r="A689">
        <v>687</v>
      </c>
      <c r="B689" t="s">
        <v>1611</v>
      </c>
      <c r="C689" t="s">
        <v>3051</v>
      </c>
      <c r="D689" t="s">
        <v>3735</v>
      </c>
      <c r="E689" t="s">
        <v>4565</v>
      </c>
      <c r="F689" t="s">
        <v>4566</v>
      </c>
      <c r="G689" t="s">
        <v>4594</v>
      </c>
      <c r="H689" s="6" t="s">
        <v>7365</v>
      </c>
    </row>
    <row r="690" spans="1:8" ht="85" x14ac:dyDescent="0.2">
      <c r="A690">
        <v>688</v>
      </c>
      <c r="B690" t="s">
        <v>1611</v>
      </c>
      <c r="C690" t="s">
        <v>3051</v>
      </c>
      <c r="D690" t="s">
        <v>3735</v>
      </c>
      <c r="E690" t="s">
        <v>4565</v>
      </c>
      <c r="F690" t="s">
        <v>4566</v>
      </c>
      <c r="G690" t="s">
        <v>4595</v>
      </c>
      <c r="H690" s="6" t="s">
        <v>7366</v>
      </c>
    </row>
    <row r="691" spans="1:8" ht="85" x14ac:dyDescent="0.2">
      <c r="A691">
        <v>689</v>
      </c>
      <c r="B691" t="s">
        <v>1611</v>
      </c>
      <c r="C691" t="s">
        <v>3051</v>
      </c>
      <c r="D691" t="s">
        <v>3735</v>
      </c>
      <c r="E691" t="s">
        <v>4565</v>
      </c>
      <c r="F691" t="s">
        <v>4566</v>
      </c>
      <c r="G691" t="s">
        <v>4596</v>
      </c>
      <c r="H691" s="6" t="s">
        <v>7367</v>
      </c>
    </row>
    <row r="692" spans="1:8" ht="356" x14ac:dyDescent="0.2">
      <c r="A692">
        <v>690</v>
      </c>
      <c r="B692" t="s">
        <v>1611</v>
      </c>
      <c r="C692" t="s">
        <v>3051</v>
      </c>
      <c r="D692" t="s">
        <v>3735</v>
      </c>
      <c r="E692" t="s">
        <v>4565</v>
      </c>
      <c r="F692" t="s">
        <v>4566</v>
      </c>
      <c r="G692" t="s">
        <v>4597</v>
      </c>
      <c r="H692" s="6" t="s">
        <v>7368</v>
      </c>
    </row>
    <row r="693" spans="1:8" ht="85" x14ac:dyDescent="0.2">
      <c r="A693">
        <v>691</v>
      </c>
      <c r="B693" t="s">
        <v>1611</v>
      </c>
      <c r="C693" t="s">
        <v>3051</v>
      </c>
      <c r="D693" t="s">
        <v>3735</v>
      </c>
      <c r="E693" t="s">
        <v>4565</v>
      </c>
      <c r="F693" t="s">
        <v>4566</v>
      </c>
      <c r="G693" t="s">
        <v>4598</v>
      </c>
      <c r="H693" s="6" t="s">
        <v>7369</v>
      </c>
    </row>
    <row r="694" spans="1:8" ht="102" x14ac:dyDescent="0.2">
      <c r="A694">
        <v>692</v>
      </c>
      <c r="B694" t="s">
        <v>1611</v>
      </c>
      <c r="C694" t="s">
        <v>3051</v>
      </c>
      <c r="D694" t="s">
        <v>3735</v>
      </c>
      <c r="E694" t="s">
        <v>4565</v>
      </c>
      <c r="F694" t="s">
        <v>4566</v>
      </c>
      <c r="G694" t="s">
        <v>4599</v>
      </c>
      <c r="H694" s="6" t="s">
        <v>7370</v>
      </c>
    </row>
    <row r="695" spans="1:8" ht="119" x14ac:dyDescent="0.2">
      <c r="A695">
        <v>693</v>
      </c>
      <c r="B695" t="s">
        <v>1611</v>
      </c>
      <c r="C695" t="s">
        <v>3051</v>
      </c>
      <c r="D695" t="s">
        <v>3735</v>
      </c>
      <c r="E695" t="s">
        <v>4565</v>
      </c>
      <c r="F695" t="s">
        <v>4566</v>
      </c>
      <c r="G695" t="s">
        <v>4600</v>
      </c>
      <c r="H695" s="6" t="s">
        <v>7371</v>
      </c>
    </row>
    <row r="696" spans="1:8" ht="136" x14ac:dyDescent="0.2">
      <c r="A696">
        <v>694</v>
      </c>
      <c r="B696" t="s">
        <v>1611</v>
      </c>
      <c r="C696" t="s">
        <v>3051</v>
      </c>
      <c r="D696" t="s">
        <v>3735</v>
      </c>
      <c r="E696" t="s">
        <v>4565</v>
      </c>
      <c r="F696" t="s">
        <v>4566</v>
      </c>
      <c r="G696" t="s">
        <v>4601</v>
      </c>
      <c r="H696" s="6" t="s">
        <v>7372</v>
      </c>
    </row>
    <row r="697" spans="1:8" ht="119" x14ac:dyDescent="0.2">
      <c r="A697">
        <v>695</v>
      </c>
      <c r="B697" t="s">
        <v>1611</v>
      </c>
      <c r="C697" t="s">
        <v>3051</v>
      </c>
      <c r="D697" t="s">
        <v>3735</v>
      </c>
      <c r="E697" t="s">
        <v>4565</v>
      </c>
      <c r="F697" t="s">
        <v>4566</v>
      </c>
      <c r="G697" t="s">
        <v>4602</v>
      </c>
      <c r="H697" s="6" t="s">
        <v>7373</v>
      </c>
    </row>
    <row r="698" spans="1:8" ht="102" x14ac:dyDescent="0.2">
      <c r="A698">
        <v>696</v>
      </c>
      <c r="B698" t="s">
        <v>1611</v>
      </c>
      <c r="C698" t="s">
        <v>3051</v>
      </c>
      <c r="D698" t="s">
        <v>3735</v>
      </c>
      <c r="E698" t="s">
        <v>4565</v>
      </c>
      <c r="F698" t="s">
        <v>4566</v>
      </c>
      <c r="G698" t="s">
        <v>4603</v>
      </c>
      <c r="H698" s="6" t="s">
        <v>7374</v>
      </c>
    </row>
    <row r="699" spans="1:8" ht="136" x14ac:dyDescent="0.2">
      <c r="A699">
        <v>697</v>
      </c>
      <c r="B699" t="s">
        <v>1611</v>
      </c>
      <c r="C699" t="s">
        <v>3051</v>
      </c>
      <c r="D699" t="s">
        <v>3735</v>
      </c>
      <c r="E699" t="s">
        <v>4565</v>
      </c>
      <c r="F699" t="s">
        <v>4566</v>
      </c>
      <c r="G699" t="s">
        <v>4604</v>
      </c>
      <c r="H699" s="6" t="s">
        <v>7375</v>
      </c>
    </row>
    <row r="700" spans="1:8" ht="85" x14ac:dyDescent="0.2">
      <c r="A700">
        <v>698</v>
      </c>
      <c r="B700" t="s">
        <v>1611</v>
      </c>
      <c r="C700" t="s">
        <v>3051</v>
      </c>
      <c r="D700" t="s">
        <v>3735</v>
      </c>
      <c r="E700" t="s">
        <v>4565</v>
      </c>
      <c r="F700" t="s">
        <v>4566</v>
      </c>
      <c r="G700" t="s">
        <v>4605</v>
      </c>
      <c r="H700" s="6" t="s">
        <v>7376</v>
      </c>
    </row>
    <row r="701" spans="1:8" ht="102" x14ac:dyDescent="0.2">
      <c r="A701">
        <v>699</v>
      </c>
      <c r="B701" t="s">
        <v>1611</v>
      </c>
      <c r="C701" t="s">
        <v>3051</v>
      </c>
      <c r="D701" t="s">
        <v>3735</v>
      </c>
      <c r="E701" t="s">
        <v>4565</v>
      </c>
      <c r="F701" t="s">
        <v>4566</v>
      </c>
      <c r="G701" t="s">
        <v>4606</v>
      </c>
      <c r="H701" s="6" t="s">
        <v>7377</v>
      </c>
    </row>
    <row r="702" spans="1:8" ht="204" x14ac:dyDescent="0.2">
      <c r="A702">
        <v>700</v>
      </c>
      <c r="B702" t="s">
        <v>1611</v>
      </c>
      <c r="C702" t="s">
        <v>3051</v>
      </c>
      <c r="D702" t="s">
        <v>3735</v>
      </c>
      <c r="E702" t="s">
        <v>4565</v>
      </c>
      <c r="F702" t="s">
        <v>4566</v>
      </c>
      <c r="G702" t="s">
        <v>4607</v>
      </c>
      <c r="H702" s="6" t="s">
        <v>7378</v>
      </c>
    </row>
    <row r="703" spans="1:8" ht="102" x14ac:dyDescent="0.2">
      <c r="A703">
        <v>701</v>
      </c>
      <c r="B703" t="s">
        <v>1611</v>
      </c>
      <c r="C703" t="s">
        <v>3051</v>
      </c>
      <c r="D703" t="s">
        <v>3735</v>
      </c>
      <c r="E703" t="s">
        <v>4565</v>
      </c>
      <c r="F703" t="s">
        <v>4566</v>
      </c>
      <c r="G703" t="s">
        <v>4608</v>
      </c>
      <c r="H703" s="6" t="s">
        <v>7379</v>
      </c>
    </row>
    <row r="704" spans="1:8" ht="102" x14ac:dyDescent="0.2">
      <c r="A704">
        <v>702</v>
      </c>
      <c r="B704" t="s">
        <v>1611</v>
      </c>
      <c r="C704" t="s">
        <v>3051</v>
      </c>
      <c r="D704" t="s">
        <v>3735</v>
      </c>
      <c r="E704" t="s">
        <v>4565</v>
      </c>
      <c r="F704" t="s">
        <v>4566</v>
      </c>
      <c r="G704" t="s">
        <v>4609</v>
      </c>
      <c r="H704" s="6" t="s">
        <v>7380</v>
      </c>
    </row>
    <row r="705" spans="1:8" ht="170" x14ac:dyDescent="0.2">
      <c r="A705">
        <v>703</v>
      </c>
      <c r="B705" t="s">
        <v>1611</v>
      </c>
      <c r="C705" t="s">
        <v>3051</v>
      </c>
      <c r="D705" t="s">
        <v>3735</v>
      </c>
      <c r="E705" t="s">
        <v>4565</v>
      </c>
      <c r="F705" t="s">
        <v>4566</v>
      </c>
      <c r="G705" t="s">
        <v>4610</v>
      </c>
      <c r="H705" s="6" t="s">
        <v>7381</v>
      </c>
    </row>
    <row r="706" spans="1:8" ht="85" x14ac:dyDescent="0.2">
      <c r="A706">
        <v>704</v>
      </c>
      <c r="B706" t="s">
        <v>1611</v>
      </c>
      <c r="C706" t="s">
        <v>3051</v>
      </c>
      <c r="D706" t="s">
        <v>3735</v>
      </c>
      <c r="E706" t="s">
        <v>4565</v>
      </c>
      <c r="F706" t="s">
        <v>4566</v>
      </c>
      <c r="G706" t="s">
        <v>4611</v>
      </c>
      <c r="H706" s="6" t="s">
        <v>7382</v>
      </c>
    </row>
    <row r="707" spans="1:8" ht="85" x14ac:dyDescent="0.2">
      <c r="A707">
        <v>705</v>
      </c>
      <c r="B707" t="s">
        <v>1611</v>
      </c>
      <c r="C707" t="s">
        <v>3051</v>
      </c>
      <c r="D707" t="s">
        <v>3735</v>
      </c>
      <c r="E707" t="s">
        <v>4565</v>
      </c>
      <c r="F707" t="s">
        <v>4566</v>
      </c>
      <c r="G707" t="s">
        <v>4612</v>
      </c>
      <c r="H707" s="6" t="s">
        <v>7383</v>
      </c>
    </row>
    <row r="708" spans="1:8" ht="102" x14ac:dyDescent="0.2">
      <c r="A708">
        <v>706</v>
      </c>
      <c r="B708" t="s">
        <v>1611</v>
      </c>
      <c r="C708" t="s">
        <v>3051</v>
      </c>
      <c r="D708" t="s">
        <v>3735</v>
      </c>
      <c r="E708" t="s">
        <v>4565</v>
      </c>
      <c r="F708" t="s">
        <v>4566</v>
      </c>
      <c r="G708" t="s">
        <v>4613</v>
      </c>
      <c r="H708" s="6" t="s">
        <v>7384</v>
      </c>
    </row>
    <row r="709" spans="1:8" ht="119" x14ac:dyDescent="0.2">
      <c r="A709">
        <v>707</v>
      </c>
      <c r="B709" t="s">
        <v>1611</v>
      </c>
      <c r="C709" t="s">
        <v>3051</v>
      </c>
      <c r="D709" t="s">
        <v>3735</v>
      </c>
      <c r="E709" t="s">
        <v>4565</v>
      </c>
      <c r="F709" t="s">
        <v>4566</v>
      </c>
      <c r="G709" t="s">
        <v>4614</v>
      </c>
      <c r="H709" s="6" t="s">
        <v>7385</v>
      </c>
    </row>
    <row r="710" spans="1:8" ht="85" x14ac:dyDescent="0.2">
      <c r="A710">
        <v>708</v>
      </c>
      <c r="B710" t="s">
        <v>1611</v>
      </c>
      <c r="C710" t="s">
        <v>3051</v>
      </c>
      <c r="D710" t="s">
        <v>3735</v>
      </c>
      <c r="E710" t="s">
        <v>4565</v>
      </c>
      <c r="F710" t="s">
        <v>4566</v>
      </c>
      <c r="G710" t="s">
        <v>4615</v>
      </c>
      <c r="H710" s="6" t="s">
        <v>7386</v>
      </c>
    </row>
    <row r="711" spans="1:8" ht="204" x14ac:dyDescent="0.2">
      <c r="A711">
        <v>709</v>
      </c>
      <c r="B711" t="s">
        <v>1611</v>
      </c>
      <c r="C711" t="s">
        <v>3051</v>
      </c>
      <c r="D711" t="s">
        <v>3735</v>
      </c>
      <c r="E711" t="s">
        <v>4565</v>
      </c>
      <c r="F711" t="s">
        <v>4566</v>
      </c>
      <c r="G711" t="s">
        <v>4616</v>
      </c>
      <c r="H711" s="6" t="s">
        <v>7387</v>
      </c>
    </row>
    <row r="712" spans="1:8" ht="85" x14ac:dyDescent="0.2">
      <c r="A712">
        <v>710</v>
      </c>
      <c r="B712" t="s">
        <v>1611</v>
      </c>
      <c r="C712" t="s">
        <v>3051</v>
      </c>
      <c r="D712" t="s">
        <v>3735</v>
      </c>
      <c r="E712" t="s">
        <v>4565</v>
      </c>
      <c r="F712" t="s">
        <v>4566</v>
      </c>
      <c r="G712" t="s">
        <v>4617</v>
      </c>
      <c r="H712" s="6" t="s">
        <v>7388</v>
      </c>
    </row>
    <row r="713" spans="1:8" ht="85" x14ac:dyDescent="0.2">
      <c r="A713">
        <v>711</v>
      </c>
      <c r="B713" t="s">
        <v>1611</v>
      </c>
      <c r="C713" t="s">
        <v>3051</v>
      </c>
      <c r="D713" t="s">
        <v>3735</v>
      </c>
      <c r="E713" t="s">
        <v>4565</v>
      </c>
      <c r="F713" t="s">
        <v>4566</v>
      </c>
      <c r="G713" t="s">
        <v>4618</v>
      </c>
      <c r="H713" s="6" t="s">
        <v>7383</v>
      </c>
    </row>
    <row r="714" spans="1:8" ht="102" x14ac:dyDescent="0.2">
      <c r="A714">
        <v>712</v>
      </c>
      <c r="B714" t="s">
        <v>1611</v>
      </c>
      <c r="C714" t="s">
        <v>3051</v>
      </c>
      <c r="D714" t="s">
        <v>3735</v>
      </c>
      <c r="E714" t="s">
        <v>4565</v>
      </c>
      <c r="F714" t="s">
        <v>4566</v>
      </c>
      <c r="G714" t="s">
        <v>4619</v>
      </c>
      <c r="H714" s="6" t="s">
        <v>7389</v>
      </c>
    </row>
    <row r="715" spans="1:8" ht="102" x14ac:dyDescent="0.2">
      <c r="A715">
        <v>713</v>
      </c>
      <c r="B715" t="s">
        <v>1611</v>
      </c>
      <c r="C715" t="s">
        <v>3051</v>
      </c>
      <c r="D715" t="s">
        <v>3735</v>
      </c>
      <c r="E715" t="s">
        <v>4565</v>
      </c>
      <c r="F715" t="s">
        <v>4566</v>
      </c>
      <c r="G715" t="s">
        <v>4620</v>
      </c>
      <c r="H715" s="6" t="s">
        <v>7390</v>
      </c>
    </row>
    <row r="716" spans="1:8" ht="85" x14ac:dyDescent="0.2">
      <c r="A716">
        <v>714</v>
      </c>
      <c r="B716" t="s">
        <v>1611</v>
      </c>
      <c r="C716" t="s">
        <v>3051</v>
      </c>
      <c r="D716" t="s">
        <v>3735</v>
      </c>
      <c r="E716" t="s">
        <v>4565</v>
      </c>
      <c r="F716" t="s">
        <v>4566</v>
      </c>
      <c r="G716" t="s">
        <v>4621</v>
      </c>
      <c r="H716" s="6" t="s">
        <v>7391</v>
      </c>
    </row>
    <row r="717" spans="1:8" ht="85" x14ac:dyDescent="0.2">
      <c r="A717">
        <v>715</v>
      </c>
      <c r="B717" t="s">
        <v>1611</v>
      </c>
      <c r="C717" t="s">
        <v>3051</v>
      </c>
      <c r="D717" t="s">
        <v>3735</v>
      </c>
      <c r="E717" t="s">
        <v>4565</v>
      </c>
      <c r="F717" t="s">
        <v>4566</v>
      </c>
      <c r="G717" t="s">
        <v>4622</v>
      </c>
      <c r="H717" s="6" t="s">
        <v>7392</v>
      </c>
    </row>
    <row r="718" spans="1:8" ht="204" x14ac:dyDescent="0.2">
      <c r="A718">
        <v>716</v>
      </c>
      <c r="B718" t="s">
        <v>1611</v>
      </c>
      <c r="C718" t="s">
        <v>3051</v>
      </c>
      <c r="D718" t="s">
        <v>3735</v>
      </c>
      <c r="E718" t="s">
        <v>4565</v>
      </c>
      <c r="F718" t="s">
        <v>4566</v>
      </c>
      <c r="G718" t="s">
        <v>4623</v>
      </c>
      <c r="H718" s="6" t="s">
        <v>7393</v>
      </c>
    </row>
    <row r="719" spans="1:8" ht="85" x14ac:dyDescent="0.2">
      <c r="A719">
        <v>717</v>
      </c>
      <c r="B719" t="s">
        <v>1611</v>
      </c>
      <c r="C719" t="s">
        <v>3051</v>
      </c>
      <c r="D719" t="s">
        <v>3735</v>
      </c>
      <c r="E719" t="s">
        <v>4565</v>
      </c>
      <c r="F719" t="s">
        <v>4566</v>
      </c>
      <c r="G719" t="s">
        <v>4624</v>
      </c>
      <c r="H719" s="6" t="s">
        <v>7394</v>
      </c>
    </row>
    <row r="720" spans="1:8" ht="85" x14ac:dyDescent="0.2">
      <c r="A720">
        <v>718</v>
      </c>
      <c r="B720" t="s">
        <v>1611</v>
      </c>
      <c r="C720" t="s">
        <v>3051</v>
      </c>
      <c r="D720" t="s">
        <v>3735</v>
      </c>
      <c r="E720" t="s">
        <v>4565</v>
      </c>
      <c r="F720" t="s">
        <v>4566</v>
      </c>
      <c r="G720" t="s">
        <v>4625</v>
      </c>
      <c r="H720" s="6" t="s">
        <v>7395</v>
      </c>
    </row>
    <row r="721" spans="1:8" ht="85" x14ac:dyDescent="0.2">
      <c r="A721">
        <v>719</v>
      </c>
      <c r="B721" t="s">
        <v>1611</v>
      </c>
      <c r="C721" t="s">
        <v>3051</v>
      </c>
      <c r="D721" t="s">
        <v>3735</v>
      </c>
      <c r="E721" t="s">
        <v>4565</v>
      </c>
      <c r="F721" t="s">
        <v>4566</v>
      </c>
      <c r="G721" t="s">
        <v>4626</v>
      </c>
      <c r="H721" s="6" t="s">
        <v>7396</v>
      </c>
    </row>
    <row r="722" spans="1:8" ht="85" x14ac:dyDescent="0.2">
      <c r="A722">
        <v>720</v>
      </c>
      <c r="B722" t="s">
        <v>1611</v>
      </c>
      <c r="C722" t="s">
        <v>3051</v>
      </c>
      <c r="D722" t="s">
        <v>3735</v>
      </c>
      <c r="E722" t="s">
        <v>4565</v>
      </c>
      <c r="F722" t="s">
        <v>4566</v>
      </c>
      <c r="G722" t="s">
        <v>4627</v>
      </c>
      <c r="H722" s="6" t="s">
        <v>7397</v>
      </c>
    </row>
    <row r="723" spans="1:8" ht="85" x14ac:dyDescent="0.2">
      <c r="A723">
        <v>721</v>
      </c>
      <c r="B723" t="s">
        <v>1611</v>
      </c>
      <c r="C723" t="s">
        <v>3051</v>
      </c>
      <c r="D723" t="s">
        <v>3735</v>
      </c>
      <c r="E723" t="s">
        <v>4565</v>
      </c>
      <c r="F723" t="s">
        <v>4566</v>
      </c>
      <c r="G723" t="s">
        <v>4628</v>
      </c>
      <c r="H723" s="6" t="s">
        <v>7398</v>
      </c>
    </row>
    <row r="724" spans="1:8" ht="136" x14ac:dyDescent="0.2">
      <c r="A724">
        <v>722</v>
      </c>
      <c r="B724" t="s">
        <v>1611</v>
      </c>
      <c r="C724" t="s">
        <v>3051</v>
      </c>
      <c r="D724" t="s">
        <v>3735</v>
      </c>
      <c r="E724" t="s">
        <v>4565</v>
      </c>
      <c r="F724" t="s">
        <v>4566</v>
      </c>
      <c r="G724" t="s">
        <v>4629</v>
      </c>
      <c r="H724" s="6" t="s">
        <v>7399</v>
      </c>
    </row>
    <row r="725" spans="1:8" ht="102" x14ac:dyDescent="0.2">
      <c r="A725">
        <v>723</v>
      </c>
      <c r="B725" t="s">
        <v>1611</v>
      </c>
      <c r="C725" t="s">
        <v>3051</v>
      </c>
      <c r="D725" t="s">
        <v>3735</v>
      </c>
      <c r="E725" t="s">
        <v>4565</v>
      </c>
      <c r="F725" t="s">
        <v>4566</v>
      </c>
      <c r="G725" t="s">
        <v>4630</v>
      </c>
      <c r="H725" s="6" t="s">
        <v>7400</v>
      </c>
    </row>
    <row r="726" spans="1:8" ht="85" x14ac:dyDescent="0.2">
      <c r="A726">
        <v>724</v>
      </c>
      <c r="B726" t="s">
        <v>1611</v>
      </c>
      <c r="C726" t="s">
        <v>3051</v>
      </c>
      <c r="D726" t="s">
        <v>3735</v>
      </c>
      <c r="E726" t="s">
        <v>4565</v>
      </c>
      <c r="F726" t="s">
        <v>4566</v>
      </c>
      <c r="G726" t="s">
        <v>4631</v>
      </c>
      <c r="H726" s="6" t="s">
        <v>7401</v>
      </c>
    </row>
    <row r="727" spans="1:8" ht="204" x14ac:dyDescent="0.2">
      <c r="A727">
        <v>725</v>
      </c>
      <c r="B727" t="s">
        <v>1611</v>
      </c>
      <c r="C727" t="s">
        <v>3051</v>
      </c>
      <c r="D727" t="s">
        <v>3735</v>
      </c>
      <c r="E727" t="s">
        <v>4565</v>
      </c>
      <c r="F727" t="s">
        <v>4566</v>
      </c>
      <c r="G727" t="s">
        <v>4632</v>
      </c>
      <c r="H727" s="6" t="s">
        <v>7402</v>
      </c>
    </row>
    <row r="728" spans="1:8" ht="119" x14ac:dyDescent="0.2">
      <c r="A728">
        <v>726</v>
      </c>
      <c r="B728" t="s">
        <v>1611</v>
      </c>
      <c r="C728" t="s">
        <v>3051</v>
      </c>
      <c r="D728" t="s">
        <v>3735</v>
      </c>
      <c r="E728" t="s">
        <v>4565</v>
      </c>
      <c r="F728" t="s">
        <v>4566</v>
      </c>
      <c r="G728" t="s">
        <v>4633</v>
      </c>
      <c r="H728" s="6" t="s">
        <v>7403</v>
      </c>
    </row>
    <row r="729" spans="1:8" ht="119" x14ac:dyDescent="0.2">
      <c r="A729">
        <v>727</v>
      </c>
      <c r="B729" t="s">
        <v>1611</v>
      </c>
      <c r="C729" t="s">
        <v>3051</v>
      </c>
      <c r="D729" t="s">
        <v>3735</v>
      </c>
      <c r="E729" t="s">
        <v>4565</v>
      </c>
      <c r="F729" t="s">
        <v>4566</v>
      </c>
      <c r="G729" t="s">
        <v>4634</v>
      </c>
      <c r="H729" s="6" t="s">
        <v>7404</v>
      </c>
    </row>
    <row r="730" spans="1:8" ht="136" x14ac:dyDescent="0.2">
      <c r="A730">
        <v>728</v>
      </c>
      <c r="B730" t="s">
        <v>1611</v>
      </c>
      <c r="C730" t="s">
        <v>3051</v>
      </c>
      <c r="D730" t="s">
        <v>3735</v>
      </c>
      <c r="E730" t="s">
        <v>4565</v>
      </c>
      <c r="F730" t="s">
        <v>4566</v>
      </c>
      <c r="G730" t="s">
        <v>4635</v>
      </c>
      <c r="H730" s="6" t="s">
        <v>7405</v>
      </c>
    </row>
    <row r="731" spans="1:8" ht="187" x14ac:dyDescent="0.2">
      <c r="A731">
        <v>729</v>
      </c>
      <c r="B731" t="s">
        <v>1611</v>
      </c>
      <c r="C731" t="s">
        <v>3051</v>
      </c>
      <c r="D731" t="s">
        <v>3735</v>
      </c>
      <c r="E731" t="s">
        <v>4565</v>
      </c>
      <c r="F731" t="s">
        <v>4566</v>
      </c>
      <c r="G731" t="s">
        <v>4636</v>
      </c>
      <c r="H731" s="6" t="s">
        <v>7406</v>
      </c>
    </row>
    <row r="732" spans="1:8" ht="238" x14ac:dyDescent="0.2">
      <c r="A732">
        <v>730</v>
      </c>
      <c r="B732" t="s">
        <v>1611</v>
      </c>
      <c r="C732" t="s">
        <v>3051</v>
      </c>
      <c r="D732" t="s">
        <v>3735</v>
      </c>
      <c r="E732" t="s">
        <v>4565</v>
      </c>
      <c r="F732" t="s">
        <v>4566</v>
      </c>
      <c r="G732" t="s">
        <v>4637</v>
      </c>
      <c r="H732" s="6" t="s">
        <v>7407</v>
      </c>
    </row>
    <row r="733" spans="1:8" ht="102" x14ac:dyDescent="0.2">
      <c r="A733">
        <v>731</v>
      </c>
      <c r="B733" t="s">
        <v>1611</v>
      </c>
      <c r="C733" t="s">
        <v>3051</v>
      </c>
      <c r="D733" t="s">
        <v>3735</v>
      </c>
      <c r="E733" t="s">
        <v>4565</v>
      </c>
      <c r="F733" t="s">
        <v>4566</v>
      </c>
      <c r="G733" t="s">
        <v>4638</v>
      </c>
      <c r="H733" s="6" t="s">
        <v>7408</v>
      </c>
    </row>
    <row r="734" spans="1:8" ht="102" x14ac:dyDescent="0.2">
      <c r="A734">
        <v>732</v>
      </c>
      <c r="B734" t="s">
        <v>1611</v>
      </c>
      <c r="C734" t="s">
        <v>3051</v>
      </c>
      <c r="D734" t="s">
        <v>3735</v>
      </c>
      <c r="E734" t="s">
        <v>4565</v>
      </c>
      <c r="F734" t="s">
        <v>4566</v>
      </c>
      <c r="G734" t="s">
        <v>4639</v>
      </c>
      <c r="H734" s="6" t="s">
        <v>7409</v>
      </c>
    </row>
    <row r="735" spans="1:8" ht="85" x14ac:dyDescent="0.2">
      <c r="A735">
        <v>733</v>
      </c>
      <c r="B735" t="s">
        <v>1611</v>
      </c>
      <c r="C735" t="s">
        <v>3051</v>
      </c>
      <c r="D735" t="s">
        <v>3735</v>
      </c>
      <c r="E735" t="s">
        <v>4565</v>
      </c>
      <c r="F735" t="s">
        <v>4566</v>
      </c>
      <c r="G735" t="s">
        <v>4640</v>
      </c>
      <c r="H735" s="6" t="s">
        <v>7410</v>
      </c>
    </row>
    <row r="736" spans="1:8" ht="85" x14ac:dyDescent="0.2">
      <c r="A736">
        <v>734</v>
      </c>
      <c r="B736" t="s">
        <v>1611</v>
      </c>
      <c r="C736" t="s">
        <v>3051</v>
      </c>
      <c r="D736" t="s">
        <v>3735</v>
      </c>
      <c r="E736" t="s">
        <v>4565</v>
      </c>
      <c r="F736" t="s">
        <v>4566</v>
      </c>
      <c r="G736" t="s">
        <v>4641</v>
      </c>
      <c r="H736" s="6" t="s">
        <v>7411</v>
      </c>
    </row>
    <row r="737" spans="1:8" ht="102" x14ac:dyDescent="0.2">
      <c r="A737">
        <v>735</v>
      </c>
      <c r="B737" t="s">
        <v>1611</v>
      </c>
      <c r="C737" t="s">
        <v>3051</v>
      </c>
      <c r="D737" t="s">
        <v>3735</v>
      </c>
      <c r="E737" t="s">
        <v>4565</v>
      </c>
      <c r="F737" t="s">
        <v>4566</v>
      </c>
      <c r="G737" t="s">
        <v>4642</v>
      </c>
      <c r="H737" s="6" t="s">
        <v>7412</v>
      </c>
    </row>
    <row r="738" spans="1:8" ht="119" x14ac:dyDescent="0.2">
      <c r="A738">
        <v>736</v>
      </c>
      <c r="B738" t="s">
        <v>1611</v>
      </c>
      <c r="C738" t="s">
        <v>3051</v>
      </c>
      <c r="D738" t="s">
        <v>3735</v>
      </c>
      <c r="E738" t="s">
        <v>4565</v>
      </c>
      <c r="F738" t="s">
        <v>4566</v>
      </c>
      <c r="G738" t="s">
        <v>4643</v>
      </c>
      <c r="H738" s="6" t="s">
        <v>7413</v>
      </c>
    </row>
    <row r="739" spans="1:8" ht="102" x14ac:dyDescent="0.2">
      <c r="A739">
        <v>737</v>
      </c>
      <c r="B739" t="s">
        <v>1611</v>
      </c>
      <c r="C739" t="s">
        <v>3051</v>
      </c>
      <c r="D739" t="s">
        <v>3735</v>
      </c>
      <c r="E739" t="s">
        <v>4565</v>
      </c>
      <c r="F739" t="s">
        <v>4566</v>
      </c>
      <c r="G739" t="s">
        <v>4644</v>
      </c>
      <c r="H739" s="6" t="s">
        <v>7414</v>
      </c>
    </row>
    <row r="740" spans="1:8" ht="119" x14ac:dyDescent="0.2">
      <c r="A740">
        <v>738</v>
      </c>
      <c r="B740" t="s">
        <v>1611</v>
      </c>
      <c r="C740" t="s">
        <v>3051</v>
      </c>
      <c r="D740" t="s">
        <v>3735</v>
      </c>
      <c r="E740" t="s">
        <v>4565</v>
      </c>
      <c r="F740" t="s">
        <v>4566</v>
      </c>
      <c r="G740" t="s">
        <v>4645</v>
      </c>
      <c r="H740" s="6" t="s">
        <v>7415</v>
      </c>
    </row>
    <row r="741" spans="1:8" ht="238" x14ac:dyDescent="0.2">
      <c r="A741">
        <v>739</v>
      </c>
      <c r="B741" t="s">
        <v>1611</v>
      </c>
      <c r="C741" t="s">
        <v>3051</v>
      </c>
      <c r="D741" t="s">
        <v>3735</v>
      </c>
      <c r="E741" t="s">
        <v>4565</v>
      </c>
      <c r="F741" t="s">
        <v>4566</v>
      </c>
      <c r="G741" t="s">
        <v>4646</v>
      </c>
      <c r="H741" s="6" t="s">
        <v>7416</v>
      </c>
    </row>
    <row r="742" spans="1:8" ht="102" x14ac:dyDescent="0.2">
      <c r="A742">
        <v>740</v>
      </c>
      <c r="B742" t="s">
        <v>1611</v>
      </c>
      <c r="C742" t="s">
        <v>3051</v>
      </c>
      <c r="D742" t="s">
        <v>3735</v>
      </c>
      <c r="E742" t="s">
        <v>4565</v>
      </c>
      <c r="F742" t="s">
        <v>4566</v>
      </c>
      <c r="G742" t="s">
        <v>4647</v>
      </c>
      <c r="H742" s="6" t="s">
        <v>7417</v>
      </c>
    </row>
    <row r="743" spans="1:8" ht="102" x14ac:dyDescent="0.2">
      <c r="A743">
        <v>741</v>
      </c>
      <c r="B743" t="s">
        <v>1611</v>
      </c>
      <c r="C743" t="s">
        <v>3051</v>
      </c>
      <c r="D743" t="s">
        <v>3735</v>
      </c>
      <c r="E743" t="s">
        <v>4565</v>
      </c>
      <c r="F743" t="s">
        <v>4566</v>
      </c>
      <c r="G743" t="s">
        <v>4648</v>
      </c>
      <c r="H743" s="6" t="s">
        <v>7418</v>
      </c>
    </row>
    <row r="744" spans="1:8" ht="85" x14ac:dyDescent="0.2">
      <c r="A744">
        <v>742</v>
      </c>
      <c r="B744" t="s">
        <v>1611</v>
      </c>
      <c r="C744" t="s">
        <v>3051</v>
      </c>
      <c r="D744" t="s">
        <v>3735</v>
      </c>
      <c r="E744" t="s">
        <v>4565</v>
      </c>
      <c r="F744" t="s">
        <v>4566</v>
      </c>
      <c r="G744" t="s">
        <v>4649</v>
      </c>
      <c r="H744" s="6" t="s">
        <v>7419</v>
      </c>
    </row>
    <row r="745" spans="1:8" ht="102" x14ac:dyDescent="0.2">
      <c r="A745">
        <v>743</v>
      </c>
      <c r="B745" t="s">
        <v>1611</v>
      </c>
      <c r="C745" t="s">
        <v>3051</v>
      </c>
      <c r="D745" t="s">
        <v>3735</v>
      </c>
      <c r="E745" t="s">
        <v>4565</v>
      </c>
      <c r="F745" t="s">
        <v>4566</v>
      </c>
      <c r="G745" t="s">
        <v>4650</v>
      </c>
      <c r="H745" s="6" t="s">
        <v>7420</v>
      </c>
    </row>
    <row r="746" spans="1:8" ht="102" x14ac:dyDescent="0.2">
      <c r="A746">
        <v>744</v>
      </c>
      <c r="B746" t="s">
        <v>1611</v>
      </c>
      <c r="C746" t="s">
        <v>3051</v>
      </c>
      <c r="D746" t="s">
        <v>3735</v>
      </c>
      <c r="E746" t="s">
        <v>4565</v>
      </c>
      <c r="F746" t="s">
        <v>4566</v>
      </c>
      <c r="G746" t="s">
        <v>4651</v>
      </c>
      <c r="H746" s="6" t="s">
        <v>7421</v>
      </c>
    </row>
    <row r="747" spans="1:8" ht="102" x14ac:dyDescent="0.2">
      <c r="A747">
        <v>745</v>
      </c>
      <c r="B747" t="s">
        <v>1611</v>
      </c>
      <c r="C747" t="s">
        <v>3051</v>
      </c>
      <c r="D747" t="s">
        <v>3735</v>
      </c>
      <c r="E747" t="s">
        <v>4565</v>
      </c>
      <c r="F747" t="s">
        <v>4566</v>
      </c>
      <c r="G747" t="s">
        <v>4652</v>
      </c>
      <c r="H747" s="6" t="s">
        <v>7422</v>
      </c>
    </row>
    <row r="748" spans="1:8" ht="85" x14ac:dyDescent="0.2">
      <c r="A748">
        <v>746</v>
      </c>
      <c r="B748" t="s">
        <v>1611</v>
      </c>
      <c r="C748" t="s">
        <v>3051</v>
      </c>
      <c r="D748" t="s">
        <v>3735</v>
      </c>
      <c r="E748" t="s">
        <v>4565</v>
      </c>
      <c r="F748" t="s">
        <v>4566</v>
      </c>
      <c r="G748" t="s">
        <v>4653</v>
      </c>
      <c r="H748" s="6" t="s">
        <v>7423</v>
      </c>
    </row>
    <row r="749" spans="1:8" ht="102" x14ac:dyDescent="0.2">
      <c r="A749">
        <v>747</v>
      </c>
      <c r="B749" t="s">
        <v>1611</v>
      </c>
      <c r="C749" t="s">
        <v>3051</v>
      </c>
      <c r="D749" t="s">
        <v>3735</v>
      </c>
      <c r="E749" t="s">
        <v>4565</v>
      </c>
      <c r="F749" t="s">
        <v>4566</v>
      </c>
      <c r="G749" t="s">
        <v>4654</v>
      </c>
      <c r="H749" s="6" t="s">
        <v>7424</v>
      </c>
    </row>
    <row r="750" spans="1:8" ht="119" x14ac:dyDescent="0.2">
      <c r="A750">
        <v>748</v>
      </c>
      <c r="B750" t="s">
        <v>1611</v>
      </c>
      <c r="C750" t="s">
        <v>3051</v>
      </c>
      <c r="D750" t="s">
        <v>3735</v>
      </c>
      <c r="E750" t="s">
        <v>4565</v>
      </c>
      <c r="F750" t="s">
        <v>4566</v>
      </c>
      <c r="G750" t="s">
        <v>4655</v>
      </c>
      <c r="H750" s="6" t="s">
        <v>7425</v>
      </c>
    </row>
    <row r="751" spans="1:8" ht="119" x14ac:dyDescent="0.2">
      <c r="A751">
        <v>749</v>
      </c>
      <c r="B751" t="s">
        <v>1611</v>
      </c>
      <c r="C751" t="s">
        <v>3051</v>
      </c>
      <c r="D751" t="s">
        <v>3735</v>
      </c>
      <c r="E751" t="s">
        <v>4565</v>
      </c>
      <c r="F751" t="s">
        <v>4566</v>
      </c>
      <c r="G751" t="s">
        <v>4656</v>
      </c>
      <c r="H751" s="6" t="s">
        <v>7426</v>
      </c>
    </row>
    <row r="752" spans="1:8" ht="119" x14ac:dyDescent="0.2">
      <c r="A752">
        <v>750</v>
      </c>
      <c r="B752" t="s">
        <v>1611</v>
      </c>
      <c r="C752" t="s">
        <v>3051</v>
      </c>
      <c r="D752" t="s">
        <v>3735</v>
      </c>
      <c r="E752" t="s">
        <v>4565</v>
      </c>
      <c r="F752" t="s">
        <v>4566</v>
      </c>
      <c r="G752" t="s">
        <v>4657</v>
      </c>
      <c r="H752" s="6" t="s">
        <v>7427</v>
      </c>
    </row>
    <row r="753" spans="1:8" ht="255" x14ac:dyDescent="0.2">
      <c r="A753">
        <v>751</v>
      </c>
      <c r="B753" t="s">
        <v>1611</v>
      </c>
      <c r="C753" t="s">
        <v>3051</v>
      </c>
      <c r="D753" t="s">
        <v>3735</v>
      </c>
      <c r="E753" t="s">
        <v>4565</v>
      </c>
      <c r="F753" t="s">
        <v>4566</v>
      </c>
      <c r="G753" t="s">
        <v>4658</v>
      </c>
      <c r="H753" s="6" t="s">
        <v>7428</v>
      </c>
    </row>
    <row r="754" spans="1:8" ht="221" x14ac:dyDescent="0.2">
      <c r="A754">
        <v>752</v>
      </c>
      <c r="B754" t="s">
        <v>1611</v>
      </c>
      <c r="C754" t="s">
        <v>3051</v>
      </c>
      <c r="D754" t="s">
        <v>3735</v>
      </c>
      <c r="E754" t="s">
        <v>4565</v>
      </c>
      <c r="F754" t="s">
        <v>4566</v>
      </c>
      <c r="G754" t="s">
        <v>4659</v>
      </c>
      <c r="H754" s="6" t="s">
        <v>7429</v>
      </c>
    </row>
    <row r="755" spans="1:8" ht="272" x14ac:dyDescent="0.2">
      <c r="A755">
        <v>753</v>
      </c>
      <c r="B755" t="s">
        <v>1611</v>
      </c>
      <c r="C755" t="s">
        <v>3051</v>
      </c>
      <c r="D755" t="s">
        <v>3735</v>
      </c>
      <c r="E755" t="s">
        <v>4565</v>
      </c>
      <c r="F755" t="s">
        <v>4566</v>
      </c>
      <c r="G755" t="s">
        <v>4660</v>
      </c>
      <c r="H755" s="6" t="s">
        <v>7430</v>
      </c>
    </row>
    <row r="756" spans="1:8" ht="170" x14ac:dyDescent="0.2">
      <c r="A756">
        <v>754</v>
      </c>
      <c r="B756" t="s">
        <v>1611</v>
      </c>
      <c r="C756" t="s">
        <v>3051</v>
      </c>
      <c r="D756" t="s">
        <v>3735</v>
      </c>
      <c r="E756" t="s">
        <v>4565</v>
      </c>
      <c r="F756" t="s">
        <v>4566</v>
      </c>
      <c r="G756" t="s">
        <v>4661</v>
      </c>
      <c r="H756" s="6" t="s">
        <v>7431</v>
      </c>
    </row>
    <row r="757" spans="1:8" ht="204" x14ac:dyDescent="0.2">
      <c r="A757">
        <v>755</v>
      </c>
      <c r="B757" t="s">
        <v>1611</v>
      </c>
      <c r="C757" t="s">
        <v>3051</v>
      </c>
      <c r="D757" t="s">
        <v>3735</v>
      </c>
      <c r="E757" t="s">
        <v>4565</v>
      </c>
      <c r="F757" t="s">
        <v>4566</v>
      </c>
      <c r="G757" t="s">
        <v>4662</v>
      </c>
      <c r="H757" s="6" t="s">
        <v>7432</v>
      </c>
    </row>
    <row r="758" spans="1:8" ht="85" x14ac:dyDescent="0.2">
      <c r="A758">
        <v>756</v>
      </c>
      <c r="B758" t="s">
        <v>1611</v>
      </c>
      <c r="C758" t="s">
        <v>3051</v>
      </c>
      <c r="D758" t="s">
        <v>3735</v>
      </c>
      <c r="E758" t="s">
        <v>4565</v>
      </c>
      <c r="F758" t="s">
        <v>4566</v>
      </c>
      <c r="G758" t="s">
        <v>4663</v>
      </c>
      <c r="H758" s="6" t="s">
        <v>7433</v>
      </c>
    </row>
    <row r="759" spans="1:8" ht="136" x14ac:dyDescent="0.2">
      <c r="A759">
        <v>757</v>
      </c>
      <c r="B759" t="s">
        <v>1611</v>
      </c>
      <c r="C759" t="s">
        <v>3051</v>
      </c>
      <c r="D759" t="s">
        <v>3735</v>
      </c>
      <c r="E759" t="s">
        <v>4565</v>
      </c>
      <c r="F759" t="s">
        <v>4566</v>
      </c>
      <c r="G759" t="s">
        <v>4664</v>
      </c>
      <c r="H759" s="6" t="s">
        <v>7434</v>
      </c>
    </row>
    <row r="760" spans="1:8" ht="255" x14ac:dyDescent="0.2">
      <c r="A760">
        <v>758</v>
      </c>
      <c r="B760" t="s">
        <v>1611</v>
      </c>
      <c r="C760" t="s">
        <v>3051</v>
      </c>
      <c r="D760" t="s">
        <v>3735</v>
      </c>
      <c r="E760" t="s">
        <v>4565</v>
      </c>
      <c r="F760" t="s">
        <v>4566</v>
      </c>
      <c r="G760" t="s">
        <v>4665</v>
      </c>
      <c r="H760" s="6" t="s">
        <v>7435</v>
      </c>
    </row>
    <row r="761" spans="1:8" ht="85" x14ac:dyDescent="0.2">
      <c r="A761">
        <v>759</v>
      </c>
      <c r="B761" t="s">
        <v>1611</v>
      </c>
      <c r="C761" t="s">
        <v>3051</v>
      </c>
      <c r="D761" t="s">
        <v>3735</v>
      </c>
      <c r="E761" t="s">
        <v>4565</v>
      </c>
      <c r="F761" t="s">
        <v>4566</v>
      </c>
      <c r="G761" t="s">
        <v>4666</v>
      </c>
      <c r="H761" s="6" t="s">
        <v>7436</v>
      </c>
    </row>
    <row r="762" spans="1:8" ht="85" x14ac:dyDescent="0.2">
      <c r="A762">
        <v>760</v>
      </c>
      <c r="B762" t="s">
        <v>1611</v>
      </c>
      <c r="C762" t="s">
        <v>3051</v>
      </c>
      <c r="D762" t="s">
        <v>3735</v>
      </c>
      <c r="E762" t="s">
        <v>4565</v>
      </c>
      <c r="F762" t="s">
        <v>4566</v>
      </c>
      <c r="G762" t="s">
        <v>4667</v>
      </c>
      <c r="H762" s="6" t="s">
        <v>7437</v>
      </c>
    </row>
    <row r="763" spans="1:8" ht="119" x14ac:dyDescent="0.2">
      <c r="A763">
        <v>761</v>
      </c>
      <c r="B763" t="s">
        <v>1611</v>
      </c>
      <c r="C763" t="s">
        <v>3051</v>
      </c>
      <c r="D763" t="s">
        <v>3735</v>
      </c>
      <c r="E763" t="s">
        <v>4565</v>
      </c>
      <c r="F763" t="s">
        <v>4566</v>
      </c>
      <c r="G763" t="s">
        <v>4668</v>
      </c>
      <c r="H763" s="6" t="s">
        <v>7438</v>
      </c>
    </row>
    <row r="764" spans="1:8" ht="119" x14ac:dyDescent="0.2">
      <c r="A764">
        <v>762</v>
      </c>
      <c r="B764" t="s">
        <v>1611</v>
      </c>
      <c r="C764" t="s">
        <v>3051</v>
      </c>
      <c r="D764" t="s">
        <v>3735</v>
      </c>
      <c r="E764" t="s">
        <v>4565</v>
      </c>
      <c r="F764" t="s">
        <v>4566</v>
      </c>
      <c r="G764" t="s">
        <v>4669</v>
      </c>
      <c r="H764" s="6" t="s">
        <v>7439</v>
      </c>
    </row>
    <row r="765" spans="1:8" ht="119" x14ac:dyDescent="0.2">
      <c r="A765">
        <v>763</v>
      </c>
      <c r="B765" t="s">
        <v>1611</v>
      </c>
      <c r="C765" t="s">
        <v>3051</v>
      </c>
      <c r="D765" t="s">
        <v>3735</v>
      </c>
      <c r="E765" t="s">
        <v>4565</v>
      </c>
      <c r="F765" t="s">
        <v>4566</v>
      </c>
      <c r="G765" t="s">
        <v>4670</v>
      </c>
      <c r="H765" s="6" t="s">
        <v>7440</v>
      </c>
    </row>
    <row r="766" spans="1:8" ht="119" x14ac:dyDescent="0.2">
      <c r="A766">
        <v>764</v>
      </c>
      <c r="B766" t="s">
        <v>1611</v>
      </c>
      <c r="C766" t="s">
        <v>3051</v>
      </c>
      <c r="D766" t="s">
        <v>3735</v>
      </c>
      <c r="E766" t="s">
        <v>4565</v>
      </c>
      <c r="F766" t="s">
        <v>4566</v>
      </c>
      <c r="G766" t="s">
        <v>4671</v>
      </c>
      <c r="H766" s="6" t="s">
        <v>7441</v>
      </c>
    </row>
    <row r="767" spans="1:8" ht="85" x14ac:dyDescent="0.2">
      <c r="A767">
        <v>765</v>
      </c>
      <c r="B767" t="s">
        <v>1611</v>
      </c>
      <c r="C767" t="s">
        <v>3051</v>
      </c>
      <c r="D767" t="s">
        <v>3735</v>
      </c>
      <c r="E767" t="s">
        <v>4565</v>
      </c>
      <c r="F767" t="s">
        <v>4566</v>
      </c>
      <c r="G767" t="s">
        <v>4672</v>
      </c>
      <c r="H767" s="6" t="s">
        <v>7442</v>
      </c>
    </row>
    <row r="768" spans="1:8" ht="85" x14ac:dyDescent="0.2">
      <c r="A768">
        <v>766</v>
      </c>
      <c r="B768" t="s">
        <v>1611</v>
      </c>
      <c r="C768" t="s">
        <v>3051</v>
      </c>
      <c r="D768" t="s">
        <v>3735</v>
      </c>
      <c r="E768" t="s">
        <v>4565</v>
      </c>
      <c r="F768" t="s">
        <v>4566</v>
      </c>
      <c r="G768" t="s">
        <v>4673</v>
      </c>
      <c r="H768" s="6" t="s">
        <v>7443</v>
      </c>
    </row>
    <row r="769" spans="1:8" ht="187" x14ac:dyDescent="0.2">
      <c r="A769">
        <v>767</v>
      </c>
      <c r="B769" t="s">
        <v>1611</v>
      </c>
      <c r="C769" t="s">
        <v>3051</v>
      </c>
      <c r="D769" t="s">
        <v>3735</v>
      </c>
      <c r="E769" t="s">
        <v>4565</v>
      </c>
      <c r="F769" t="s">
        <v>4566</v>
      </c>
      <c r="G769" t="s">
        <v>4674</v>
      </c>
      <c r="H769" s="6" t="s">
        <v>7444</v>
      </c>
    </row>
    <row r="770" spans="1:8" ht="170" x14ac:dyDescent="0.2">
      <c r="A770">
        <v>768</v>
      </c>
      <c r="B770" t="s">
        <v>1611</v>
      </c>
      <c r="C770" t="s">
        <v>3051</v>
      </c>
      <c r="D770" t="s">
        <v>3735</v>
      </c>
      <c r="E770" t="s">
        <v>4675</v>
      </c>
      <c r="F770" t="s">
        <v>4676</v>
      </c>
      <c r="G770" t="s">
        <v>4677</v>
      </c>
      <c r="H770" s="6" t="s">
        <v>7445</v>
      </c>
    </row>
    <row r="771" spans="1:8" ht="85" x14ac:dyDescent="0.2">
      <c r="A771">
        <v>769</v>
      </c>
      <c r="B771" t="s">
        <v>1611</v>
      </c>
      <c r="C771" t="s">
        <v>3051</v>
      </c>
      <c r="D771" t="s">
        <v>3735</v>
      </c>
      <c r="E771" t="s">
        <v>4675</v>
      </c>
      <c r="F771" t="s">
        <v>4676</v>
      </c>
      <c r="G771" t="s">
        <v>4678</v>
      </c>
      <c r="H771" s="6" t="s">
        <v>7446</v>
      </c>
    </row>
    <row r="772" spans="1:8" ht="102" x14ac:dyDescent="0.2">
      <c r="A772">
        <v>770</v>
      </c>
      <c r="B772" t="s">
        <v>1611</v>
      </c>
      <c r="C772" t="s">
        <v>3051</v>
      </c>
      <c r="D772" t="s">
        <v>3735</v>
      </c>
      <c r="E772" t="s">
        <v>4675</v>
      </c>
      <c r="F772" t="s">
        <v>4676</v>
      </c>
      <c r="G772" t="s">
        <v>4679</v>
      </c>
      <c r="H772" s="6" t="s">
        <v>7447</v>
      </c>
    </row>
    <row r="773" spans="1:8" ht="102" x14ac:dyDescent="0.2">
      <c r="A773">
        <v>771</v>
      </c>
      <c r="B773" t="s">
        <v>1611</v>
      </c>
      <c r="C773" t="s">
        <v>3051</v>
      </c>
      <c r="D773" t="s">
        <v>3735</v>
      </c>
      <c r="E773" t="s">
        <v>4675</v>
      </c>
      <c r="F773" t="s">
        <v>4676</v>
      </c>
      <c r="G773" t="s">
        <v>4680</v>
      </c>
      <c r="H773" s="6" t="s">
        <v>7448</v>
      </c>
    </row>
    <row r="774" spans="1:8" ht="221" x14ac:dyDescent="0.2">
      <c r="A774">
        <v>772</v>
      </c>
      <c r="B774" t="s">
        <v>1611</v>
      </c>
      <c r="C774" t="s">
        <v>3051</v>
      </c>
      <c r="D774" t="s">
        <v>3735</v>
      </c>
      <c r="E774" t="s">
        <v>4675</v>
      </c>
      <c r="F774" t="s">
        <v>4676</v>
      </c>
      <c r="G774" t="s">
        <v>4681</v>
      </c>
      <c r="H774" s="6" t="s">
        <v>7449</v>
      </c>
    </row>
    <row r="775" spans="1:8" ht="119" x14ac:dyDescent="0.2">
      <c r="A775">
        <v>773</v>
      </c>
      <c r="B775" t="s">
        <v>1611</v>
      </c>
      <c r="C775" t="s">
        <v>3051</v>
      </c>
      <c r="D775" t="s">
        <v>3735</v>
      </c>
      <c r="E775" t="s">
        <v>4675</v>
      </c>
      <c r="F775" t="s">
        <v>4676</v>
      </c>
      <c r="G775" t="s">
        <v>4682</v>
      </c>
      <c r="H775" s="6" t="s">
        <v>7450</v>
      </c>
    </row>
    <row r="776" spans="1:8" ht="102" x14ac:dyDescent="0.2">
      <c r="A776">
        <v>774</v>
      </c>
      <c r="B776" t="s">
        <v>1611</v>
      </c>
      <c r="C776" t="s">
        <v>3051</v>
      </c>
      <c r="D776" t="s">
        <v>3735</v>
      </c>
      <c r="E776" t="s">
        <v>4675</v>
      </c>
      <c r="F776" t="s">
        <v>4676</v>
      </c>
      <c r="G776" t="s">
        <v>4683</v>
      </c>
      <c r="H776" s="6" t="s">
        <v>7451</v>
      </c>
    </row>
    <row r="777" spans="1:8" ht="119" x14ac:dyDescent="0.2">
      <c r="A777">
        <v>775</v>
      </c>
      <c r="B777" t="s">
        <v>1611</v>
      </c>
      <c r="C777" t="s">
        <v>3051</v>
      </c>
      <c r="D777" t="s">
        <v>3735</v>
      </c>
      <c r="E777" t="s">
        <v>4675</v>
      </c>
      <c r="F777" t="s">
        <v>4676</v>
      </c>
      <c r="G777" t="s">
        <v>4684</v>
      </c>
      <c r="H777" s="6" t="s">
        <v>7452</v>
      </c>
    </row>
    <row r="778" spans="1:8" ht="153" x14ac:dyDescent="0.2">
      <c r="A778">
        <v>776</v>
      </c>
      <c r="B778" t="s">
        <v>1611</v>
      </c>
      <c r="C778" t="s">
        <v>3051</v>
      </c>
      <c r="D778" t="s">
        <v>3735</v>
      </c>
      <c r="E778" t="s">
        <v>4675</v>
      </c>
      <c r="F778" t="s">
        <v>4676</v>
      </c>
      <c r="G778" t="s">
        <v>4685</v>
      </c>
      <c r="H778" s="6" t="s">
        <v>7453</v>
      </c>
    </row>
    <row r="779" spans="1:8" ht="102" x14ac:dyDescent="0.2">
      <c r="A779">
        <v>777</v>
      </c>
      <c r="B779" t="s">
        <v>1611</v>
      </c>
      <c r="C779" t="s">
        <v>3051</v>
      </c>
      <c r="D779" t="s">
        <v>3735</v>
      </c>
      <c r="E779" t="s">
        <v>4675</v>
      </c>
      <c r="F779" t="s">
        <v>4676</v>
      </c>
      <c r="G779" t="s">
        <v>4686</v>
      </c>
      <c r="H779" s="6" t="s">
        <v>7454</v>
      </c>
    </row>
    <row r="780" spans="1:8" ht="85" x14ac:dyDescent="0.2">
      <c r="A780">
        <v>778</v>
      </c>
      <c r="B780" t="s">
        <v>1611</v>
      </c>
      <c r="C780" t="s">
        <v>3051</v>
      </c>
      <c r="D780" t="s">
        <v>3735</v>
      </c>
      <c r="E780" t="s">
        <v>4675</v>
      </c>
      <c r="F780" t="s">
        <v>4676</v>
      </c>
      <c r="G780" t="s">
        <v>4687</v>
      </c>
      <c r="H780" s="6" t="s">
        <v>7455</v>
      </c>
    </row>
    <row r="781" spans="1:8" ht="102" x14ac:dyDescent="0.2">
      <c r="A781">
        <v>779</v>
      </c>
      <c r="B781" t="s">
        <v>1611</v>
      </c>
      <c r="C781" t="s">
        <v>3051</v>
      </c>
      <c r="D781" t="s">
        <v>3735</v>
      </c>
      <c r="E781" t="s">
        <v>4675</v>
      </c>
      <c r="F781" t="s">
        <v>4676</v>
      </c>
      <c r="G781" t="s">
        <v>4688</v>
      </c>
      <c r="H781" s="6" t="s">
        <v>7456</v>
      </c>
    </row>
    <row r="782" spans="1:8" ht="289" x14ac:dyDescent="0.2">
      <c r="A782">
        <v>780</v>
      </c>
      <c r="B782" t="s">
        <v>1611</v>
      </c>
      <c r="C782" t="s">
        <v>3051</v>
      </c>
      <c r="D782" t="s">
        <v>3735</v>
      </c>
      <c r="E782" t="s">
        <v>4675</v>
      </c>
      <c r="F782" t="s">
        <v>4676</v>
      </c>
      <c r="G782" t="s">
        <v>4689</v>
      </c>
      <c r="H782" s="6" t="s">
        <v>7457</v>
      </c>
    </row>
    <row r="783" spans="1:8" ht="85" x14ac:dyDescent="0.2">
      <c r="A783">
        <v>781</v>
      </c>
      <c r="B783" t="s">
        <v>1611</v>
      </c>
      <c r="C783" t="s">
        <v>3051</v>
      </c>
      <c r="D783" t="s">
        <v>3735</v>
      </c>
      <c r="E783" t="s">
        <v>4675</v>
      </c>
      <c r="F783" t="s">
        <v>4676</v>
      </c>
      <c r="G783" t="s">
        <v>4690</v>
      </c>
      <c r="H783" s="6" t="s">
        <v>7458</v>
      </c>
    </row>
    <row r="784" spans="1:8" ht="85" x14ac:dyDescent="0.2">
      <c r="A784">
        <v>782</v>
      </c>
      <c r="B784" t="s">
        <v>1611</v>
      </c>
      <c r="C784" t="s">
        <v>3051</v>
      </c>
      <c r="D784" t="s">
        <v>3735</v>
      </c>
      <c r="E784" t="s">
        <v>4675</v>
      </c>
      <c r="F784" t="s">
        <v>4676</v>
      </c>
      <c r="G784" t="s">
        <v>4691</v>
      </c>
      <c r="H784" s="6" t="s">
        <v>7459</v>
      </c>
    </row>
    <row r="785" spans="1:8" ht="85" x14ac:dyDescent="0.2">
      <c r="A785">
        <v>783</v>
      </c>
      <c r="B785" t="s">
        <v>1611</v>
      </c>
      <c r="C785" t="s">
        <v>3051</v>
      </c>
      <c r="D785" t="s">
        <v>3735</v>
      </c>
      <c r="E785" t="s">
        <v>4675</v>
      </c>
      <c r="F785" t="s">
        <v>4676</v>
      </c>
      <c r="G785" t="s">
        <v>4692</v>
      </c>
      <c r="H785" s="6" t="s">
        <v>7460</v>
      </c>
    </row>
    <row r="786" spans="1:8" ht="221" x14ac:dyDescent="0.2">
      <c r="A786">
        <v>784</v>
      </c>
      <c r="B786" t="s">
        <v>1611</v>
      </c>
      <c r="C786" t="s">
        <v>3051</v>
      </c>
      <c r="D786" t="s">
        <v>3735</v>
      </c>
      <c r="E786" t="s">
        <v>4675</v>
      </c>
      <c r="F786" t="s">
        <v>4676</v>
      </c>
      <c r="G786" t="s">
        <v>4693</v>
      </c>
      <c r="H786" s="6" t="s">
        <v>7461</v>
      </c>
    </row>
    <row r="787" spans="1:8" ht="102" x14ac:dyDescent="0.2">
      <c r="A787">
        <v>785</v>
      </c>
      <c r="B787" t="s">
        <v>1611</v>
      </c>
      <c r="C787" t="s">
        <v>3051</v>
      </c>
      <c r="D787" t="s">
        <v>3735</v>
      </c>
      <c r="E787" t="s">
        <v>4675</v>
      </c>
      <c r="F787" t="s">
        <v>4676</v>
      </c>
      <c r="G787" t="s">
        <v>4694</v>
      </c>
      <c r="H787" s="6" t="s">
        <v>7462</v>
      </c>
    </row>
    <row r="788" spans="1:8" ht="102" x14ac:dyDescent="0.2">
      <c r="A788">
        <v>786</v>
      </c>
      <c r="B788" t="s">
        <v>1611</v>
      </c>
      <c r="C788" t="s">
        <v>3051</v>
      </c>
      <c r="D788" t="s">
        <v>3735</v>
      </c>
      <c r="E788" t="s">
        <v>4675</v>
      </c>
      <c r="F788" t="s">
        <v>4676</v>
      </c>
      <c r="G788" t="s">
        <v>4695</v>
      </c>
      <c r="H788" s="6" t="s">
        <v>7463</v>
      </c>
    </row>
    <row r="789" spans="1:8" ht="85" x14ac:dyDescent="0.2">
      <c r="A789">
        <v>787</v>
      </c>
      <c r="B789" t="s">
        <v>1611</v>
      </c>
      <c r="C789" t="s">
        <v>3051</v>
      </c>
      <c r="D789" t="s">
        <v>3735</v>
      </c>
      <c r="E789" t="s">
        <v>4675</v>
      </c>
      <c r="F789" t="s">
        <v>4676</v>
      </c>
      <c r="G789" t="s">
        <v>4696</v>
      </c>
      <c r="H789" s="6" t="s">
        <v>7464</v>
      </c>
    </row>
    <row r="790" spans="1:8" ht="85" x14ac:dyDescent="0.2">
      <c r="A790">
        <v>788</v>
      </c>
      <c r="B790" t="s">
        <v>1611</v>
      </c>
      <c r="C790" t="s">
        <v>3051</v>
      </c>
      <c r="D790" t="s">
        <v>3735</v>
      </c>
      <c r="E790" t="s">
        <v>4675</v>
      </c>
      <c r="F790" t="s">
        <v>4676</v>
      </c>
      <c r="G790" t="s">
        <v>4697</v>
      </c>
      <c r="H790" s="6" t="s">
        <v>7465</v>
      </c>
    </row>
    <row r="791" spans="1:8" ht="102" x14ac:dyDescent="0.2">
      <c r="A791">
        <v>789</v>
      </c>
      <c r="B791" t="s">
        <v>1611</v>
      </c>
      <c r="C791" t="s">
        <v>3051</v>
      </c>
      <c r="D791" t="s">
        <v>3735</v>
      </c>
      <c r="E791" t="s">
        <v>4675</v>
      </c>
      <c r="F791" t="s">
        <v>4676</v>
      </c>
      <c r="G791" t="s">
        <v>4698</v>
      </c>
      <c r="H791" s="6" t="s">
        <v>7466</v>
      </c>
    </row>
    <row r="792" spans="1:8" ht="85" x14ac:dyDescent="0.2">
      <c r="A792">
        <v>790</v>
      </c>
      <c r="B792" t="s">
        <v>1611</v>
      </c>
      <c r="C792" t="s">
        <v>3051</v>
      </c>
      <c r="D792" t="s">
        <v>3735</v>
      </c>
      <c r="E792" t="s">
        <v>4675</v>
      </c>
      <c r="F792" t="s">
        <v>4676</v>
      </c>
      <c r="G792" t="s">
        <v>4699</v>
      </c>
      <c r="H792" s="6" t="s">
        <v>7467</v>
      </c>
    </row>
    <row r="793" spans="1:8" ht="204" x14ac:dyDescent="0.2">
      <c r="A793">
        <v>791</v>
      </c>
      <c r="B793" t="s">
        <v>1611</v>
      </c>
      <c r="C793" t="s">
        <v>3051</v>
      </c>
      <c r="D793" t="s">
        <v>3735</v>
      </c>
      <c r="E793" t="s">
        <v>4675</v>
      </c>
      <c r="F793" t="s">
        <v>4676</v>
      </c>
      <c r="G793" t="s">
        <v>4700</v>
      </c>
      <c r="H793" s="6" t="s">
        <v>7468</v>
      </c>
    </row>
    <row r="794" spans="1:8" ht="85" x14ac:dyDescent="0.2">
      <c r="A794">
        <v>792</v>
      </c>
      <c r="B794" t="s">
        <v>1611</v>
      </c>
      <c r="C794" t="s">
        <v>3051</v>
      </c>
      <c r="D794" t="s">
        <v>3735</v>
      </c>
      <c r="E794" t="s">
        <v>4675</v>
      </c>
      <c r="F794" t="s">
        <v>4676</v>
      </c>
      <c r="G794" t="s">
        <v>4701</v>
      </c>
      <c r="H794" s="6" t="s">
        <v>7469</v>
      </c>
    </row>
    <row r="795" spans="1:8" ht="102" x14ac:dyDescent="0.2">
      <c r="A795">
        <v>793</v>
      </c>
      <c r="B795" t="s">
        <v>1611</v>
      </c>
      <c r="C795" t="s">
        <v>3051</v>
      </c>
      <c r="D795" t="s">
        <v>3735</v>
      </c>
      <c r="E795" t="s">
        <v>4675</v>
      </c>
      <c r="F795" t="s">
        <v>4676</v>
      </c>
      <c r="G795" t="s">
        <v>4702</v>
      </c>
      <c r="H795" s="6" t="s">
        <v>7470</v>
      </c>
    </row>
    <row r="796" spans="1:8" ht="85" x14ac:dyDescent="0.2">
      <c r="A796">
        <v>794</v>
      </c>
      <c r="B796" t="s">
        <v>1611</v>
      </c>
      <c r="C796" t="s">
        <v>3051</v>
      </c>
      <c r="D796" t="s">
        <v>3735</v>
      </c>
      <c r="E796" t="s">
        <v>4675</v>
      </c>
      <c r="F796" t="s">
        <v>4676</v>
      </c>
      <c r="G796" t="s">
        <v>4703</v>
      </c>
      <c r="H796" s="6" t="s">
        <v>7471</v>
      </c>
    </row>
    <row r="797" spans="1:8" ht="170" x14ac:dyDescent="0.2">
      <c r="A797">
        <v>795</v>
      </c>
      <c r="B797" t="s">
        <v>1611</v>
      </c>
      <c r="C797" t="s">
        <v>3051</v>
      </c>
      <c r="D797" t="s">
        <v>3735</v>
      </c>
      <c r="E797" t="s">
        <v>4675</v>
      </c>
      <c r="F797" t="s">
        <v>4676</v>
      </c>
      <c r="G797" t="s">
        <v>4704</v>
      </c>
      <c r="H797" s="6" t="s">
        <v>7472</v>
      </c>
    </row>
    <row r="798" spans="1:8" ht="136" x14ac:dyDescent="0.2">
      <c r="A798">
        <v>796</v>
      </c>
      <c r="B798" t="s">
        <v>1611</v>
      </c>
      <c r="C798" t="s">
        <v>3051</v>
      </c>
      <c r="D798" t="s">
        <v>3735</v>
      </c>
      <c r="E798" t="s">
        <v>4675</v>
      </c>
      <c r="F798" t="s">
        <v>4676</v>
      </c>
      <c r="G798" t="s">
        <v>4705</v>
      </c>
      <c r="H798" s="6" t="s">
        <v>7473</v>
      </c>
    </row>
    <row r="799" spans="1:8" ht="85" x14ac:dyDescent="0.2">
      <c r="A799">
        <v>797</v>
      </c>
      <c r="B799" t="s">
        <v>1611</v>
      </c>
      <c r="C799" t="s">
        <v>3051</v>
      </c>
      <c r="D799" t="s">
        <v>3735</v>
      </c>
      <c r="E799" t="s">
        <v>4675</v>
      </c>
      <c r="F799" t="s">
        <v>4676</v>
      </c>
      <c r="G799" t="s">
        <v>4706</v>
      </c>
      <c r="H799" s="6" t="s">
        <v>7474</v>
      </c>
    </row>
    <row r="800" spans="1:8" ht="119" x14ac:dyDescent="0.2">
      <c r="A800">
        <v>798</v>
      </c>
      <c r="B800" t="s">
        <v>1611</v>
      </c>
      <c r="C800" t="s">
        <v>3051</v>
      </c>
      <c r="D800" t="s">
        <v>3735</v>
      </c>
      <c r="E800" t="s">
        <v>4675</v>
      </c>
      <c r="F800" t="s">
        <v>4676</v>
      </c>
      <c r="G800" t="s">
        <v>4707</v>
      </c>
      <c r="H800" s="6" t="s">
        <v>7475</v>
      </c>
    </row>
    <row r="801" spans="1:8" ht="85" x14ac:dyDescent="0.2">
      <c r="A801">
        <v>799</v>
      </c>
      <c r="B801" t="s">
        <v>1611</v>
      </c>
      <c r="C801" t="s">
        <v>3051</v>
      </c>
      <c r="D801" t="s">
        <v>3735</v>
      </c>
      <c r="E801" t="s">
        <v>4675</v>
      </c>
      <c r="F801" t="s">
        <v>4676</v>
      </c>
      <c r="G801" t="s">
        <v>4708</v>
      </c>
      <c r="H801" s="6" t="s">
        <v>7476</v>
      </c>
    </row>
    <row r="802" spans="1:8" ht="272" x14ac:dyDescent="0.2">
      <c r="A802">
        <v>800</v>
      </c>
      <c r="B802" t="s">
        <v>1611</v>
      </c>
      <c r="C802" t="s">
        <v>3051</v>
      </c>
      <c r="D802" t="s">
        <v>3735</v>
      </c>
      <c r="E802" t="s">
        <v>4709</v>
      </c>
      <c r="F802" t="s">
        <v>4710</v>
      </c>
      <c r="G802" t="s">
        <v>4711</v>
      </c>
      <c r="H802" s="6" t="s">
        <v>7477</v>
      </c>
    </row>
    <row r="803" spans="1:8" ht="119" x14ac:dyDescent="0.2">
      <c r="A803">
        <v>801</v>
      </c>
      <c r="B803" t="s">
        <v>1611</v>
      </c>
      <c r="C803" t="s">
        <v>3051</v>
      </c>
      <c r="D803" t="s">
        <v>3735</v>
      </c>
      <c r="E803" t="s">
        <v>4709</v>
      </c>
      <c r="F803" t="s">
        <v>4710</v>
      </c>
      <c r="G803" t="s">
        <v>4712</v>
      </c>
      <c r="H803" s="6" t="s">
        <v>7478</v>
      </c>
    </row>
    <row r="804" spans="1:8" ht="85" x14ac:dyDescent="0.2">
      <c r="A804">
        <v>802</v>
      </c>
      <c r="B804" t="s">
        <v>1611</v>
      </c>
      <c r="C804" t="s">
        <v>3051</v>
      </c>
      <c r="D804" t="s">
        <v>3735</v>
      </c>
      <c r="E804" t="s">
        <v>4709</v>
      </c>
      <c r="F804" t="s">
        <v>4710</v>
      </c>
      <c r="G804" t="s">
        <v>4713</v>
      </c>
      <c r="H804" s="6" t="s">
        <v>7479</v>
      </c>
    </row>
    <row r="805" spans="1:8" ht="323" x14ac:dyDescent="0.2">
      <c r="A805">
        <v>803</v>
      </c>
      <c r="B805" t="s">
        <v>1611</v>
      </c>
      <c r="C805" t="s">
        <v>3051</v>
      </c>
      <c r="D805" t="s">
        <v>3735</v>
      </c>
      <c r="E805" t="s">
        <v>4709</v>
      </c>
      <c r="F805" t="s">
        <v>4710</v>
      </c>
      <c r="G805" t="s">
        <v>4714</v>
      </c>
      <c r="H805" s="6" t="s">
        <v>7480</v>
      </c>
    </row>
    <row r="806" spans="1:8" ht="119" x14ac:dyDescent="0.2">
      <c r="A806">
        <v>804</v>
      </c>
      <c r="B806" t="s">
        <v>1611</v>
      </c>
      <c r="C806" t="s">
        <v>3051</v>
      </c>
      <c r="D806" t="s">
        <v>3735</v>
      </c>
      <c r="E806" t="s">
        <v>4709</v>
      </c>
      <c r="F806" t="s">
        <v>4710</v>
      </c>
      <c r="G806" t="s">
        <v>4715</v>
      </c>
      <c r="H806" s="6" t="s">
        <v>7481</v>
      </c>
    </row>
    <row r="807" spans="1:8" ht="102" x14ac:dyDescent="0.2">
      <c r="A807">
        <v>805</v>
      </c>
      <c r="B807" t="s">
        <v>1611</v>
      </c>
      <c r="C807" t="s">
        <v>3051</v>
      </c>
      <c r="D807" t="s">
        <v>3735</v>
      </c>
      <c r="E807" t="s">
        <v>4709</v>
      </c>
      <c r="F807" t="s">
        <v>4710</v>
      </c>
      <c r="G807" t="s">
        <v>4716</v>
      </c>
      <c r="H807" s="6" t="s">
        <v>7482</v>
      </c>
    </row>
    <row r="808" spans="1:8" ht="85" x14ac:dyDescent="0.2">
      <c r="A808">
        <v>806</v>
      </c>
      <c r="B808" t="s">
        <v>1611</v>
      </c>
      <c r="C808" t="s">
        <v>3051</v>
      </c>
      <c r="D808" t="s">
        <v>3735</v>
      </c>
      <c r="E808" t="s">
        <v>4709</v>
      </c>
      <c r="F808" t="s">
        <v>4710</v>
      </c>
      <c r="G808" t="s">
        <v>4717</v>
      </c>
      <c r="H808" s="6" t="s">
        <v>7483</v>
      </c>
    </row>
    <row r="809" spans="1:8" ht="372" x14ac:dyDescent="0.2">
      <c r="A809">
        <v>807</v>
      </c>
      <c r="B809" t="s">
        <v>1611</v>
      </c>
      <c r="C809" t="s">
        <v>3051</v>
      </c>
      <c r="D809" t="s">
        <v>3735</v>
      </c>
      <c r="E809" t="s">
        <v>4718</v>
      </c>
      <c r="F809" t="s">
        <v>4719</v>
      </c>
      <c r="G809" t="s">
        <v>4720</v>
      </c>
      <c r="H809" s="6" t="s">
        <v>7484</v>
      </c>
    </row>
    <row r="810" spans="1:8" ht="85" x14ac:dyDescent="0.2">
      <c r="A810">
        <v>808</v>
      </c>
      <c r="B810" t="s">
        <v>1611</v>
      </c>
      <c r="C810" t="s">
        <v>3051</v>
      </c>
      <c r="D810" t="s">
        <v>3735</v>
      </c>
      <c r="E810" t="s">
        <v>4718</v>
      </c>
      <c r="F810" t="s">
        <v>4719</v>
      </c>
      <c r="G810" t="s">
        <v>4721</v>
      </c>
      <c r="H810" s="6" t="s">
        <v>7485</v>
      </c>
    </row>
    <row r="811" spans="1:8" ht="102" x14ac:dyDescent="0.2">
      <c r="A811">
        <v>809</v>
      </c>
      <c r="B811" t="s">
        <v>1611</v>
      </c>
      <c r="C811" t="s">
        <v>3051</v>
      </c>
      <c r="D811" t="s">
        <v>3735</v>
      </c>
      <c r="E811" t="s">
        <v>4718</v>
      </c>
      <c r="F811" t="s">
        <v>4719</v>
      </c>
      <c r="G811" t="s">
        <v>4722</v>
      </c>
      <c r="H811" s="6" t="s">
        <v>7486</v>
      </c>
    </row>
    <row r="812" spans="1:8" ht="102" x14ac:dyDescent="0.2">
      <c r="A812">
        <v>810</v>
      </c>
      <c r="B812" t="s">
        <v>1611</v>
      </c>
      <c r="C812" t="s">
        <v>3051</v>
      </c>
      <c r="D812" t="s">
        <v>3735</v>
      </c>
      <c r="E812" t="s">
        <v>4718</v>
      </c>
      <c r="F812" t="s">
        <v>4719</v>
      </c>
      <c r="G812" t="s">
        <v>4723</v>
      </c>
      <c r="H812" s="6" t="s">
        <v>7487</v>
      </c>
    </row>
    <row r="813" spans="1:8" ht="102" x14ac:dyDescent="0.2">
      <c r="A813">
        <v>811</v>
      </c>
      <c r="B813" t="s">
        <v>1611</v>
      </c>
      <c r="C813" t="s">
        <v>3051</v>
      </c>
      <c r="D813" t="s">
        <v>3735</v>
      </c>
      <c r="E813" t="s">
        <v>4718</v>
      </c>
      <c r="F813" t="s">
        <v>4719</v>
      </c>
      <c r="G813" t="s">
        <v>4724</v>
      </c>
      <c r="H813" s="6" t="s">
        <v>7488</v>
      </c>
    </row>
    <row r="814" spans="1:8" ht="170" x14ac:dyDescent="0.2">
      <c r="A814">
        <v>812</v>
      </c>
      <c r="B814" t="s">
        <v>1611</v>
      </c>
      <c r="C814" t="s">
        <v>3051</v>
      </c>
      <c r="D814" t="s">
        <v>3735</v>
      </c>
      <c r="E814" t="s">
        <v>4718</v>
      </c>
      <c r="F814" t="s">
        <v>4719</v>
      </c>
      <c r="G814" t="s">
        <v>4725</v>
      </c>
      <c r="H814" s="6" t="s">
        <v>7489</v>
      </c>
    </row>
    <row r="815" spans="1:8" ht="170" x14ac:dyDescent="0.2">
      <c r="A815">
        <v>813</v>
      </c>
      <c r="B815" t="s">
        <v>1611</v>
      </c>
      <c r="C815" t="s">
        <v>3051</v>
      </c>
      <c r="D815" t="s">
        <v>3735</v>
      </c>
      <c r="E815" t="s">
        <v>4718</v>
      </c>
      <c r="F815" t="s">
        <v>4719</v>
      </c>
      <c r="G815" t="s">
        <v>4726</v>
      </c>
      <c r="H815" s="6" t="s">
        <v>7490</v>
      </c>
    </row>
    <row r="816" spans="1:8" ht="119" x14ac:dyDescent="0.2">
      <c r="A816">
        <v>814</v>
      </c>
      <c r="B816" t="s">
        <v>1611</v>
      </c>
      <c r="C816" t="s">
        <v>3051</v>
      </c>
      <c r="D816" t="s">
        <v>3735</v>
      </c>
      <c r="E816" t="s">
        <v>4718</v>
      </c>
      <c r="F816" t="s">
        <v>4719</v>
      </c>
      <c r="G816" t="s">
        <v>4727</v>
      </c>
      <c r="H816" s="6" t="s">
        <v>7491</v>
      </c>
    </row>
    <row r="817" spans="1:8" ht="153" x14ac:dyDescent="0.2">
      <c r="A817">
        <v>815</v>
      </c>
      <c r="B817" t="s">
        <v>1611</v>
      </c>
      <c r="C817" t="s">
        <v>3051</v>
      </c>
      <c r="D817" t="s">
        <v>3735</v>
      </c>
      <c r="E817" t="s">
        <v>4718</v>
      </c>
      <c r="F817" t="s">
        <v>4719</v>
      </c>
      <c r="G817" t="s">
        <v>4728</v>
      </c>
      <c r="H817" s="6" t="s">
        <v>7492</v>
      </c>
    </row>
    <row r="818" spans="1:8" ht="119" x14ac:dyDescent="0.2">
      <c r="A818">
        <v>816</v>
      </c>
      <c r="B818" t="s">
        <v>1611</v>
      </c>
      <c r="C818" t="s">
        <v>3051</v>
      </c>
      <c r="D818" t="s">
        <v>3735</v>
      </c>
      <c r="E818" t="s">
        <v>4718</v>
      </c>
      <c r="F818" t="s">
        <v>4719</v>
      </c>
      <c r="G818" t="s">
        <v>4729</v>
      </c>
      <c r="H818" s="6" t="s">
        <v>7493</v>
      </c>
    </row>
    <row r="819" spans="1:8" ht="102" x14ac:dyDescent="0.2">
      <c r="A819">
        <v>817</v>
      </c>
      <c r="B819" t="s">
        <v>1611</v>
      </c>
      <c r="C819" t="s">
        <v>3051</v>
      </c>
      <c r="D819" t="s">
        <v>3735</v>
      </c>
      <c r="E819" t="s">
        <v>4718</v>
      </c>
      <c r="F819" t="s">
        <v>4719</v>
      </c>
      <c r="G819" t="s">
        <v>4730</v>
      </c>
      <c r="H819" s="6" t="s">
        <v>7494</v>
      </c>
    </row>
    <row r="820" spans="1:8" ht="409.6" x14ac:dyDescent="0.2">
      <c r="A820">
        <v>818</v>
      </c>
      <c r="B820" t="s">
        <v>1611</v>
      </c>
      <c r="C820" t="s">
        <v>3051</v>
      </c>
      <c r="D820" t="s">
        <v>3735</v>
      </c>
      <c r="E820" t="s">
        <v>4718</v>
      </c>
      <c r="F820" t="s">
        <v>4719</v>
      </c>
      <c r="G820" t="s">
        <v>4731</v>
      </c>
      <c r="H820" s="6" t="s">
        <v>7495</v>
      </c>
    </row>
    <row r="821" spans="1:8" ht="85" x14ac:dyDescent="0.2">
      <c r="A821">
        <v>819</v>
      </c>
      <c r="B821" t="s">
        <v>1611</v>
      </c>
      <c r="C821" t="s">
        <v>3051</v>
      </c>
      <c r="D821" t="s">
        <v>3735</v>
      </c>
      <c r="E821" t="s">
        <v>4718</v>
      </c>
      <c r="F821" t="s">
        <v>4719</v>
      </c>
      <c r="G821" t="s">
        <v>4732</v>
      </c>
      <c r="H821" s="6" t="s">
        <v>7496</v>
      </c>
    </row>
    <row r="822" spans="1:8" ht="404" x14ac:dyDescent="0.2">
      <c r="A822">
        <v>820</v>
      </c>
      <c r="B822" t="s">
        <v>1611</v>
      </c>
      <c r="C822" t="s">
        <v>3051</v>
      </c>
      <c r="D822" t="s">
        <v>3735</v>
      </c>
      <c r="E822" t="s">
        <v>4718</v>
      </c>
      <c r="F822" t="s">
        <v>4719</v>
      </c>
      <c r="G822" t="s">
        <v>4733</v>
      </c>
      <c r="H822" s="6" t="s">
        <v>7497</v>
      </c>
    </row>
    <row r="823" spans="1:8" ht="85" x14ac:dyDescent="0.2">
      <c r="A823">
        <v>821</v>
      </c>
      <c r="B823" t="s">
        <v>1611</v>
      </c>
      <c r="C823" t="s">
        <v>3051</v>
      </c>
      <c r="D823" t="s">
        <v>3735</v>
      </c>
      <c r="E823" t="s">
        <v>4718</v>
      </c>
      <c r="F823" t="s">
        <v>4719</v>
      </c>
      <c r="G823" t="s">
        <v>4734</v>
      </c>
      <c r="H823" s="6" t="s">
        <v>7498</v>
      </c>
    </row>
    <row r="824" spans="1:8" ht="136" x14ac:dyDescent="0.2">
      <c r="A824">
        <v>822</v>
      </c>
      <c r="B824" t="s">
        <v>1611</v>
      </c>
      <c r="C824" t="s">
        <v>3051</v>
      </c>
      <c r="D824" t="s">
        <v>3735</v>
      </c>
      <c r="E824" t="s">
        <v>4718</v>
      </c>
      <c r="F824" t="s">
        <v>4719</v>
      </c>
      <c r="G824" t="s">
        <v>4735</v>
      </c>
      <c r="H824" s="6" t="s">
        <v>7499</v>
      </c>
    </row>
    <row r="825" spans="1:8" ht="119" x14ac:dyDescent="0.2">
      <c r="A825">
        <v>823</v>
      </c>
      <c r="B825" t="s">
        <v>1611</v>
      </c>
      <c r="C825" t="s">
        <v>3051</v>
      </c>
      <c r="D825" t="s">
        <v>3735</v>
      </c>
      <c r="E825" t="s">
        <v>4718</v>
      </c>
      <c r="F825" t="s">
        <v>4719</v>
      </c>
      <c r="G825" t="s">
        <v>4736</v>
      </c>
      <c r="H825" s="6" t="s">
        <v>7500</v>
      </c>
    </row>
    <row r="826" spans="1:8" ht="136" x14ac:dyDescent="0.2">
      <c r="A826">
        <v>824</v>
      </c>
      <c r="B826" t="s">
        <v>1611</v>
      </c>
      <c r="C826" t="s">
        <v>3051</v>
      </c>
      <c r="D826" t="s">
        <v>3735</v>
      </c>
      <c r="E826" t="s">
        <v>4718</v>
      </c>
      <c r="F826" t="s">
        <v>4719</v>
      </c>
      <c r="G826" t="s">
        <v>4737</v>
      </c>
      <c r="H826" s="6" t="s">
        <v>7501</v>
      </c>
    </row>
    <row r="827" spans="1:8" ht="136" x14ac:dyDescent="0.2">
      <c r="A827">
        <v>825</v>
      </c>
      <c r="B827" t="s">
        <v>1611</v>
      </c>
      <c r="C827" t="s">
        <v>3051</v>
      </c>
      <c r="D827" t="s">
        <v>3735</v>
      </c>
      <c r="E827" t="s">
        <v>4718</v>
      </c>
      <c r="F827" t="s">
        <v>4719</v>
      </c>
      <c r="G827" t="s">
        <v>4738</v>
      </c>
      <c r="H827" s="6" t="s">
        <v>7502</v>
      </c>
    </row>
    <row r="828" spans="1:8" ht="136" x14ac:dyDescent="0.2">
      <c r="A828">
        <v>826</v>
      </c>
      <c r="B828" t="s">
        <v>1611</v>
      </c>
      <c r="C828" t="s">
        <v>3051</v>
      </c>
      <c r="D828" t="s">
        <v>3735</v>
      </c>
      <c r="E828" t="s">
        <v>4718</v>
      </c>
      <c r="F828" t="s">
        <v>4719</v>
      </c>
      <c r="G828" t="s">
        <v>4739</v>
      </c>
      <c r="H828" s="6" t="s">
        <v>7503</v>
      </c>
    </row>
    <row r="829" spans="1:8" ht="221" x14ac:dyDescent="0.2">
      <c r="A829">
        <v>827</v>
      </c>
      <c r="B829" t="s">
        <v>1611</v>
      </c>
      <c r="C829" t="s">
        <v>3051</v>
      </c>
      <c r="D829" t="s">
        <v>3735</v>
      </c>
      <c r="E829" t="s">
        <v>4740</v>
      </c>
      <c r="F829" t="s">
        <v>4741</v>
      </c>
      <c r="G829" t="s">
        <v>4742</v>
      </c>
      <c r="H829" s="6" t="s">
        <v>7504</v>
      </c>
    </row>
    <row r="830" spans="1:8" ht="119" x14ac:dyDescent="0.2">
      <c r="A830">
        <v>828</v>
      </c>
      <c r="B830" t="s">
        <v>1611</v>
      </c>
      <c r="C830" t="s">
        <v>3051</v>
      </c>
      <c r="D830" t="s">
        <v>3735</v>
      </c>
      <c r="E830" t="s">
        <v>4740</v>
      </c>
      <c r="F830" t="s">
        <v>4741</v>
      </c>
      <c r="G830" t="s">
        <v>4743</v>
      </c>
      <c r="H830" s="6" t="s">
        <v>7505</v>
      </c>
    </row>
    <row r="831" spans="1:8" ht="119" x14ac:dyDescent="0.2">
      <c r="A831">
        <v>829</v>
      </c>
      <c r="B831" t="s">
        <v>1611</v>
      </c>
      <c r="C831" t="s">
        <v>3051</v>
      </c>
      <c r="D831" t="s">
        <v>3735</v>
      </c>
      <c r="E831" t="s">
        <v>4740</v>
      </c>
      <c r="F831" t="s">
        <v>4741</v>
      </c>
      <c r="G831" t="s">
        <v>4744</v>
      </c>
      <c r="H831" s="6" t="s">
        <v>7506</v>
      </c>
    </row>
    <row r="832" spans="1:8" ht="102" x14ac:dyDescent="0.2">
      <c r="A832">
        <v>830</v>
      </c>
      <c r="B832" t="s">
        <v>1611</v>
      </c>
      <c r="C832" t="s">
        <v>3051</v>
      </c>
      <c r="D832" t="s">
        <v>3735</v>
      </c>
      <c r="E832" t="s">
        <v>4740</v>
      </c>
      <c r="F832" t="s">
        <v>4741</v>
      </c>
      <c r="G832" t="s">
        <v>4745</v>
      </c>
      <c r="H832" s="6" t="s">
        <v>7507</v>
      </c>
    </row>
    <row r="833" spans="1:8" ht="85" x14ac:dyDescent="0.2">
      <c r="A833">
        <v>831</v>
      </c>
      <c r="B833" t="s">
        <v>1611</v>
      </c>
      <c r="C833" t="s">
        <v>3051</v>
      </c>
      <c r="D833" t="s">
        <v>3735</v>
      </c>
      <c r="E833" t="s">
        <v>4740</v>
      </c>
      <c r="F833" t="s">
        <v>4741</v>
      </c>
      <c r="G833" t="s">
        <v>4746</v>
      </c>
      <c r="H833" s="6" t="s">
        <v>7508</v>
      </c>
    </row>
    <row r="834" spans="1:8" ht="102" x14ac:dyDescent="0.2">
      <c r="A834">
        <v>832</v>
      </c>
      <c r="B834" t="s">
        <v>1611</v>
      </c>
      <c r="C834" t="s">
        <v>3051</v>
      </c>
      <c r="D834" t="s">
        <v>3735</v>
      </c>
      <c r="E834" t="s">
        <v>4740</v>
      </c>
      <c r="F834" t="s">
        <v>4741</v>
      </c>
      <c r="G834" t="s">
        <v>4747</v>
      </c>
      <c r="H834" s="6" t="s">
        <v>7509</v>
      </c>
    </row>
    <row r="835" spans="1:8" ht="102" x14ac:dyDescent="0.2">
      <c r="A835">
        <v>833</v>
      </c>
      <c r="B835" t="s">
        <v>1611</v>
      </c>
      <c r="C835" t="s">
        <v>3051</v>
      </c>
      <c r="D835" t="s">
        <v>3735</v>
      </c>
      <c r="E835" t="s">
        <v>4740</v>
      </c>
      <c r="F835" t="s">
        <v>4741</v>
      </c>
      <c r="G835" t="s">
        <v>4748</v>
      </c>
      <c r="H835" s="6" t="s">
        <v>7510</v>
      </c>
    </row>
    <row r="836" spans="1:8" ht="102" x14ac:dyDescent="0.2">
      <c r="A836">
        <v>834</v>
      </c>
      <c r="B836" t="s">
        <v>1611</v>
      </c>
      <c r="C836" t="s">
        <v>3051</v>
      </c>
      <c r="D836" t="s">
        <v>3735</v>
      </c>
      <c r="E836" t="s">
        <v>4740</v>
      </c>
      <c r="F836" t="s">
        <v>4741</v>
      </c>
      <c r="G836" t="s">
        <v>4749</v>
      </c>
      <c r="H836" s="6" t="s">
        <v>7511</v>
      </c>
    </row>
    <row r="837" spans="1:8" ht="85" x14ac:dyDescent="0.2">
      <c r="A837">
        <v>835</v>
      </c>
      <c r="B837" t="s">
        <v>1611</v>
      </c>
      <c r="C837" t="s">
        <v>3051</v>
      </c>
      <c r="D837" t="s">
        <v>3735</v>
      </c>
      <c r="E837" t="s">
        <v>4740</v>
      </c>
      <c r="F837" t="s">
        <v>4741</v>
      </c>
      <c r="G837" t="s">
        <v>4750</v>
      </c>
      <c r="H837" s="6" t="s">
        <v>7512</v>
      </c>
    </row>
    <row r="838" spans="1:8" ht="85" x14ac:dyDescent="0.2">
      <c r="A838">
        <v>836</v>
      </c>
      <c r="B838" t="s">
        <v>1611</v>
      </c>
      <c r="C838" t="s">
        <v>3051</v>
      </c>
      <c r="D838" t="s">
        <v>3735</v>
      </c>
      <c r="E838" t="s">
        <v>4740</v>
      </c>
      <c r="F838" t="s">
        <v>4741</v>
      </c>
      <c r="G838" t="s">
        <v>4751</v>
      </c>
      <c r="H838" s="6" t="s">
        <v>7513</v>
      </c>
    </row>
    <row r="839" spans="1:8" ht="102" x14ac:dyDescent="0.2">
      <c r="A839">
        <v>837</v>
      </c>
      <c r="B839" t="s">
        <v>1611</v>
      </c>
      <c r="C839" t="s">
        <v>3051</v>
      </c>
      <c r="D839" t="s">
        <v>3735</v>
      </c>
      <c r="E839" t="s">
        <v>4740</v>
      </c>
      <c r="F839" t="s">
        <v>4741</v>
      </c>
      <c r="G839" t="s">
        <v>4752</v>
      </c>
      <c r="H839" s="6" t="s">
        <v>7514</v>
      </c>
    </row>
    <row r="840" spans="1:8" ht="204" x14ac:dyDescent="0.2">
      <c r="A840">
        <v>838</v>
      </c>
      <c r="B840" t="s">
        <v>1611</v>
      </c>
      <c r="C840" t="s">
        <v>3051</v>
      </c>
      <c r="D840" t="s">
        <v>3735</v>
      </c>
      <c r="E840" t="s">
        <v>4740</v>
      </c>
      <c r="F840" t="s">
        <v>4741</v>
      </c>
      <c r="G840" t="s">
        <v>4753</v>
      </c>
      <c r="H840" s="6" t="s">
        <v>7515</v>
      </c>
    </row>
    <row r="841" spans="1:8" ht="102" x14ac:dyDescent="0.2">
      <c r="A841">
        <v>839</v>
      </c>
      <c r="B841" t="s">
        <v>1611</v>
      </c>
      <c r="C841" t="s">
        <v>3051</v>
      </c>
      <c r="D841" t="s">
        <v>3735</v>
      </c>
      <c r="E841" t="s">
        <v>4740</v>
      </c>
      <c r="F841" t="s">
        <v>4741</v>
      </c>
      <c r="G841" t="s">
        <v>4754</v>
      </c>
      <c r="H841" s="6" t="s">
        <v>7516</v>
      </c>
    </row>
    <row r="842" spans="1:8" ht="119" x14ac:dyDescent="0.2">
      <c r="A842">
        <v>840</v>
      </c>
      <c r="B842" t="s">
        <v>1611</v>
      </c>
      <c r="C842" t="s">
        <v>3051</v>
      </c>
      <c r="D842" t="s">
        <v>3735</v>
      </c>
      <c r="E842" t="s">
        <v>4740</v>
      </c>
      <c r="F842" t="s">
        <v>4741</v>
      </c>
      <c r="G842" t="s">
        <v>4755</v>
      </c>
      <c r="H842" s="6" t="s">
        <v>7517</v>
      </c>
    </row>
    <row r="843" spans="1:8" ht="102" x14ac:dyDescent="0.2">
      <c r="A843">
        <v>841</v>
      </c>
      <c r="B843" t="s">
        <v>1611</v>
      </c>
      <c r="C843" t="s">
        <v>3051</v>
      </c>
      <c r="D843" t="s">
        <v>3735</v>
      </c>
      <c r="E843" t="s">
        <v>4740</v>
      </c>
      <c r="F843" t="s">
        <v>4741</v>
      </c>
      <c r="G843" t="s">
        <v>4756</v>
      </c>
      <c r="H843" s="6" t="s">
        <v>7518</v>
      </c>
    </row>
    <row r="844" spans="1:8" ht="187" x14ac:dyDescent="0.2">
      <c r="A844">
        <v>842</v>
      </c>
      <c r="B844" t="s">
        <v>1611</v>
      </c>
      <c r="C844" t="s">
        <v>3051</v>
      </c>
      <c r="D844" t="s">
        <v>3735</v>
      </c>
      <c r="E844" t="s">
        <v>4740</v>
      </c>
      <c r="F844" t="s">
        <v>4741</v>
      </c>
      <c r="G844" t="s">
        <v>4757</v>
      </c>
      <c r="H844" s="6" t="s">
        <v>7519</v>
      </c>
    </row>
    <row r="845" spans="1:8" ht="136" x14ac:dyDescent="0.2">
      <c r="A845">
        <v>843</v>
      </c>
      <c r="B845" t="s">
        <v>1611</v>
      </c>
      <c r="C845" t="s">
        <v>3051</v>
      </c>
      <c r="D845" t="s">
        <v>3735</v>
      </c>
      <c r="E845" t="s">
        <v>4740</v>
      </c>
      <c r="F845" t="s">
        <v>4741</v>
      </c>
      <c r="G845" t="s">
        <v>4758</v>
      </c>
      <c r="H845" s="6" t="s">
        <v>7520</v>
      </c>
    </row>
    <row r="846" spans="1:8" ht="187" x14ac:dyDescent="0.2">
      <c r="A846">
        <v>844</v>
      </c>
      <c r="B846" t="s">
        <v>1611</v>
      </c>
      <c r="C846" t="s">
        <v>3051</v>
      </c>
      <c r="D846" t="s">
        <v>3735</v>
      </c>
      <c r="E846" t="s">
        <v>4740</v>
      </c>
      <c r="F846" t="s">
        <v>4741</v>
      </c>
      <c r="G846" t="s">
        <v>4759</v>
      </c>
      <c r="H846" s="6" t="s">
        <v>7521</v>
      </c>
    </row>
    <row r="847" spans="1:8" ht="85" x14ac:dyDescent="0.2">
      <c r="A847">
        <v>845</v>
      </c>
      <c r="B847" t="s">
        <v>1611</v>
      </c>
      <c r="C847" t="s">
        <v>3051</v>
      </c>
      <c r="D847" t="s">
        <v>3735</v>
      </c>
      <c r="E847" t="s">
        <v>4740</v>
      </c>
      <c r="F847" t="s">
        <v>4741</v>
      </c>
      <c r="G847" t="s">
        <v>4760</v>
      </c>
      <c r="H847" s="6" t="s">
        <v>7522</v>
      </c>
    </row>
    <row r="848" spans="1:8" ht="119" x14ac:dyDescent="0.2">
      <c r="A848">
        <v>846</v>
      </c>
      <c r="B848" t="s">
        <v>1611</v>
      </c>
      <c r="C848" t="s">
        <v>3051</v>
      </c>
      <c r="D848" t="s">
        <v>3735</v>
      </c>
      <c r="E848" t="s">
        <v>4740</v>
      </c>
      <c r="F848" t="s">
        <v>4741</v>
      </c>
      <c r="G848" t="s">
        <v>4761</v>
      </c>
      <c r="H848" s="6" t="s">
        <v>7523</v>
      </c>
    </row>
    <row r="849" spans="1:8" ht="119" x14ac:dyDescent="0.2">
      <c r="A849">
        <v>847</v>
      </c>
      <c r="B849" t="s">
        <v>1611</v>
      </c>
      <c r="C849" t="s">
        <v>3051</v>
      </c>
      <c r="D849" t="s">
        <v>3735</v>
      </c>
      <c r="E849" t="s">
        <v>4740</v>
      </c>
      <c r="F849" t="s">
        <v>4741</v>
      </c>
      <c r="G849" t="s">
        <v>4762</v>
      </c>
      <c r="H849" s="6" t="s">
        <v>7524</v>
      </c>
    </row>
    <row r="850" spans="1:8" ht="102" x14ac:dyDescent="0.2">
      <c r="A850">
        <v>848</v>
      </c>
      <c r="B850" t="s">
        <v>1611</v>
      </c>
      <c r="C850" t="s">
        <v>3051</v>
      </c>
      <c r="D850" t="s">
        <v>3735</v>
      </c>
      <c r="E850" t="s">
        <v>4740</v>
      </c>
      <c r="F850" t="s">
        <v>4741</v>
      </c>
      <c r="G850" t="s">
        <v>4763</v>
      </c>
      <c r="H850" s="6" t="s">
        <v>7525</v>
      </c>
    </row>
    <row r="851" spans="1:8" ht="102" x14ac:dyDescent="0.2">
      <c r="A851">
        <v>849</v>
      </c>
      <c r="B851" t="s">
        <v>1611</v>
      </c>
      <c r="C851" t="s">
        <v>3051</v>
      </c>
      <c r="D851" t="s">
        <v>3735</v>
      </c>
      <c r="E851" t="s">
        <v>4740</v>
      </c>
      <c r="F851" t="s">
        <v>4741</v>
      </c>
      <c r="G851" t="s">
        <v>4764</v>
      </c>
      <c r="H851" s="6" t="s">
        <v>7526</v>
      </c>
    </row>
    <row r="852" spans="1:8" ht="102" x14ac:dyDescent="0.2">
      <c r="A852">
        <v>850</v>
      </c>
      <c r="B852" t="s">
        <v>1611</v>
      </c>
      <c r="C852" t="s">
        <v>3051</v>
      </c>
      <c r="D852" t="s">
        <v>3735</v>
      </c>
      <c r="E852" t="s">
        <v>4740</v>
      </c>
      <c r="F852" t="s">
        <v>4741</v>
      </c>
      <c r="G852" t="s">
        <v>4765</v>
      </c>
      <c r="H852" s="6" t="s">
        <v>7527</v>
      </c>
    </row>
    <row r="853" spans="1:8" ht="119" x14ac:dyDescent="0.2">
      <c r="A853">
        <v>851</v>
      </c>
      <c r="B853" t="s">
        <v>1611</v>
      </c>
      <c r="C853" t="s">
        <v>3051</v>
      </c>
      <c r="D853" t="s">
        <v>3735</v>
      </c>
      <c r="E853" t="s">
        <v>4766</v>
      </c>
      <c r="F853" t="s">
        <v>4367</v>
      </c>
      <c r="G853" t="s">
        <v>4767</v>
      </c>
      <c r="H853" s="6" t="s">
        <v>7528</v>
      </c>
    </row>
    <row r="854" spans="1:8" ht="85" x14ac:dyDescent="0.2">
      <c r="A854">
        <v>852</v>
      </c>
      <c r="B854" t="s">
        <v>1611</v>
      </c>
      <c r="C854" t="s">
        <v>3051</v>
      </c>
      <c r="D854" t="s">
        <v>3735</v>
      </c>
      <c r="E854" t="s">
        <v>4766</v>
      </c>
      <c r="F854" t="s">
        <v>4367</v>
      </c>
      <c r="G854" t="s">
        <v>4768</v>
      </c>
      <c r="H854" s="6" t="s">
        <v>7529</v>
      </c>
    </row>
    <row r="855" spans="1:8" ht="102" x14ac:dyDescent="0.2">
      <c r="A855">
        <v>853</v>
      </c>
      <c r="B855" t="s">
        <v>1611</v>
      </c>
      <c r="C855" t="s">
        <v>3051</v>
      </c>
      <c r="D855" t="s">
        <v>3735</v>
      </c>
      <c r="E855" t="s">
        <v>4766</v>
      </c>
      <c r="F855" t="s">
        <v>4367</v>
      </c>
      <c r="G855" t="s">
        <v>4769</v>
      </c>
      <c r="H855" s="6" t="s">
        <v>7530</v>
      </c>
    </row>
    <row r="856" spans="1:8" ht="119" x14ac:dyDescent="0.2">
      <c r="A856">
        <v>854</v>
      </c>
      <c r="B856" t="s">
        <v>1611</v>
      </c>
      <c r="C856" t="s">
        <v>3051</v>
      </c>
      <c r="D856" t="s">
        <v>3735</v>
      </c>
      <c r="E856" t="s">
        <v>4766</v>
      </c>
      <c r="F856" t="s">
        <v>4367</v>
      </c>
      <c r="G856" t="s">
        <v>4770</v>
      </c>
      <c r="H856" s="6" t="s">
        <v>7531</v>
      </c>
    </row>
    <row r="857" spans="1:8" ht="238" x14ac:dyDescent="0.2">
      <c r="A857">
        <v>855</v>
      </c>
      <c r="B857" t="s">
        <v>1611</v>
      </c>
      <c r="C857" t="s">
        <v>3051</v>
      </c>
      <c r="D857" t="s">
        <v>3735</v>
      </c>
      <c r="E857" t="s">
        <v>4766</v>
      </c>
      <c r="F857" t="s">
        <v>4367</v>
      </c>
      <c r="G857" t="s">
        <v>4771</v>
      </c>
      <c r="H857" s="6" t="s">
        <v>7532</v>
      </c>
    </row>
    <row r="858" spans="1:8" ht="102" x14ac:dyDescent="0.2">
      <c r="A858">
        <v>856</v>
      </c>
      <c r="B858" t="s">
        <v>1611</v>
      </c>
      <c r="C858" t="s">
        <v>3051</v>
      </c>
      <c r="D858" t="s">
        <v>3735</v>
      </c>
      <c r="E858" t="s">
        <v>4766</v>
      </c>
      <c r="F858" t="s">
        <v>4367</v>
      </c>
      <c r="G858" t="s">
        <v>4772</v>
      </c>
      <c r="H858" s="6" t="s">
        <v>7533</v>
      </c>
    </row>
    <row r="859" spans="1:8" ht="85" x14ac:dyDescent="0.2">
      <c r="A859">
        <v>857</v>
      </c>
      <c r="B859" t="s">
        <v>1611</v>
      </c>
      <c r="C859" t="s">
        <v>3051</v>
      </c>
      <c r="D859" t="s">
        <v>3735</v>
      </c>
      <c r="E859" t="s">
        <v>4766</v>
      </c>
      <c r="F859" t="s">
        <v>4367</v>
      </c>
      <c r="G859" t="s">
        <v>4773</v>
      </c>
      <c r="H859" s="6" t="s">
        <v>7534</v>
      </c>
    </row>
    <row r="860" spans="1:8" ht="119" x14ac:dyDescent="0.2">
      <c r="A860">
        <v>858</v>
      </c>
      <c r="B860" t="s">
        <v>1611</v>
      </c>
      <c r="C860" t="s">
        <v>3051</v>
      </c>
      <c r="D860" t="s">
        <v>3735</v>
      </c>
      <c r="E860" t="s">
        <v>4766</v>
      </c>
      <c r="F860" t="s">
        <v>4367</v>
      </c>
      <c r="G860" t="s">
        <v>4774</v>
      </c>
      <c r="H860" s="6" t="s">
        <v>7535</v>
      </c>
    </row>
    <row r="861" spans="1:8" ht="119" x14ac:dyDescent="0.2">
      <c r="A861">
        <v>859</v>
      </c>
      <c r="B861" t="s">
        <v>1611</v>
      </c>
      <c r="C861" t="s">
        <v>3051</v>
      </c>
      <c r="D861" t="s">
        <v>3735</v>
      </c>
      <c r="E861" t="s">
        <v>4766</v>
      </c>
      <c r="F861" t="s">
        <v>4367</v>
      </c>
      <c r="G861" t="s">
        <v>4775</v>
      </c>
      <c r="H861" s="6" t="s">
        <v>7536</v>
      </c>
    </row>
    <row r="862" spans="1:8" ht="119" x14ac:dyDescent="0.2">
      <c r="A862">
        <v>860</v>
      </c>
      <c r="B862" t="s">
        <v>1611</v>
      </c>
      <c r="C862" t="s">
        <v>3051</v>
      </c>
      <c r="D862" t="s">
        <v>3735</v>
      </c>
      <c r="E862" t="s">
        <v>4766</v>
      </c>
      <c r="F862" t="s">
        <v>4367</v>
      </c>
      <c r="G862" t="s">
        <v>4776</v>
      </c>
      <c r="H862" s="6" t="s">
        <v>7537</v>
      </c>
    </row>
    <row r="863" spans="1:8" ht="102" x14ac:dyDescent="0.2">
      <c r="A863">
        <v>861</v>
      </c>
      <c r="B863" t="s">
        <v>1611</v>
      </c>
      <c r="C863" t="s">
        <v>3051</v>
      </c>
      <c r="D863" t="s">
        <v>3735</v>
      </c>
      <c r="E863" t="s">
        <v>4766</v>
      </c>
      <c r="F863" t="s">
        <v>4367</v>
      </c>
      <c r="G863" t="s">
        <v>4777</v>
      </c>
      <c r="H863" s="6" t="s">
        <v>7538</v>
      </c>
    </row>
    <row r="864" spans="1:8" ht="119" x14ac:dyDescent="0.2">
      <c r="A864">
        <v>862</v>
      </c>
      <c r="B864" t="s">
        <v>1611</v>
      </c>
      <c r="C864" t="s">
        <v>3051</v>
      </c>
      <c r="D864" t="s">
        <v>3735</v>
      </c>
      <c r="E864" t="s">
        <v>4766</v>
      </c>
      <c r="F864" t="s">
        <v>4367</v>
      </c>
      <c r="G864" t="s">
        <v>4778</v>
      </c>
      <c r="H864" s="6" t="s">
        <v>7539</v>
      </c>
    </row>
    <row r="865" spans="1:8" ht="102" x14ac:dyDescent="0.2">
      <c r="A865">
        <v>863</v>
      </c>
      <c r="B865" t="s">
        <v>1611</v>
      </c>
      <c r="C865" t="s">
        <v>3051</v>
      </c>
      <c r="D865" t="s">
        <v>3735</v>
      </c>
      <c r="E865" t="s">
        <v>4766</v>
      </c>
      <c r="F865" t="s">
        <v>4367</v>
      </c>
      <c r="G865" t="s">
        <v>4779</v>
      </c>
      <c r="H865" s="6" t="s">
        <v>7540</v>
      </c>
    </row>
    <row r="866" spans="1:8" ht="102" x14ac:dyDescent="0.2">
      <c r="A866">
        <v>864</v>
      </c>
      <c r="B866" t="s">
        <v>1611</v>
      </c>
      <c r="C866" t="s">
        <v>3051</v>
      </c>
      <c r="D866" t="s">
        <v>3735</v>
      </c>
      <c r="E866" t="s">
        <v>4766</v>
      </c>
      <c r="F866" t="s">
        <v>4367</v>
      </c>
      <c r="G866" t="s">
        <v>4780</v>
      </c>
      <c r="H866" s="6" t="s">
        <v>7541</v>
      </c>
    </row>
    <row r="867" spans="1:8" ht="119" x14ac:dyDescent="0.2">
      <c r="A867">
        <v>865</v>
      </c>
      <c r="B867" t="s">
        <v>1611</v>
      </c>
      <c r="C867" t="s">
        <v>3051</v>
      </c>
      <c r="D867" t="s">
        <v>3735</v>
      </c>
      <c r="E867" t="s">
        <v>4766</v>
      </c>
      <c r="F867" t="s">
        <v>4367</v>
      </c>
      <c r="G867" t="s">
        <v>4781</v>
      </c>
      <c r="H867" s="6" t="s">
        <v>7542</v>
      </c>
    </row>
    <row r="868" spans="1:8" ht="153" x14ac:dyDescent="0.2">
      <c r="A868">
        <v>866</v>
      </c>
      <c r="B868" t="s">
        <v>1611</v>
      </c>
      <c r="C868" t="s">
        <v>3051</v>
      </c>
      <c r="D868" t="s">
        <v>3735</v>
      </c>
      <c r="E868" t="s">
        <v>4766</v>
      </c>
      <c r="F868" t="s">
        <v>4367</v>
      </c>
      <c r="G868" t="s">
        <v>4782</v>
      </c>
      <c r="H868" s="6" t="s">
        <v>7543</v>
      </c>
    </row>
    <row r="869" spans="1:8" ht="119" x14ac:dyDescent="0.2">
      <c r="A869">
        <v>867</v>
      </c>
      <c r="B869" t="s">
        <v>1611</v>
      </c>
      <c r="C869" t="s">
        <v>3051</v>
      </c>
      <c r="D869" t="s">
        <v>3735</v>
      </c>
      <c r="E869" t="s">
        <v>4766</v>
      </c>
      <c r="F869" t="s">
        <v>4367</v>
      </c>
      <c r="G869" t="s">
        <v>4783</v>
      </c>
      <c r="H869" s="6" t="s">
        <v>7544</v>
      </c>
    </row>
    <row r="870" spans="1:8" ht="136" x14ac:dyDescent="0.2">
      <c r="A870">
        <v>868</v>
      </c>
      <c r="B870" t="s">
        <v>1611</v>
      </c>
      <c r="C870" t="s">
        <v>3051</v>
      </c>
      <c r="D870" t="s">
        <v>3735</v>
      </c>
      <c r="E870" t="s">
        <v>4766</v>
      </c>
      <c r="F870" t="s">
        <v>4367</v>
      </c>
      <c r="G870" t="s">
        <v>4784</v>
      </c>
      <c r="H870" s="6" t="s">
        <v>7545</v>
      </c>
    </row>
    <row r="871" spans="1:8" ht="102" x14ac:dyDescent="0.2">
      <c r="A871">
        <v>869</v>
      </c>
      <c r="B871" t="s">
        <v>1611</v>
      </c>
      <c r="C871" t="s">
        <v>3051</v>
      </c>
      <c r="D871" t="s">
        <v>3735</v>
      </c>
      <c r="E871" t="s">
        <v>4766</v>
      </c>
      <c r="F871" t="s">
        <v>4367</v>
      </c>
      <c r="G871" t="s">
        <v>4785</v>
      </c>
      <c r="H871" s="6" t="s">
        <v>7546</v>
      </c>
    </row>
    <row r="872" spans="1:8" ht="85" x14ac:dyDescent="0.2">
      <c r="A872">
        <v>870</v>
      </c>
      <c r="B872" t="s">
        <v>1611</v>
      </c>
      <c r="C872" t="s">
        <v>3051</v>
      </c>
      <c r="D872" t="s">
        <v>3735</v>
      </c>
      <c r="E872" t="s">
        <v>4786</v>
      </c>
      <c r="F872" t="s">
        <v>4381</v>
      </c>
      <c r="G872" t="s">
        <v>4787</v>
      </c>
      <c r="H872" s="6" t="s">
        <v>7547</v>
      </c>
    </row>
    <row r="873" spans="1:8" ht="136" x14ac:dyDescent="0.2">
      <c r="A873">
        <v>871</v>
      </c>
      <c r="B873" t="s">
        <v>1611</v>
      </c>
      <c r="C873" t="s">
        <v>3051</v>
      </c>
      <c r="D873" t="s">
        <v>3735</v>
      </c>
      <c r="E873" t="s">
        <v>4788</v>
      </c>
      <c r="F873" t="s">
        <v>4789</v>
      </c>
      <c r="G873" t="s">
        <v>4790</v>
      </c>
      <c r="H873" s="6" t="s">
        <v>7548</v>
      </c>
    </row>
    <row r="874" spans="1:8" ht="204" x14ac:dyDescent="0.2">
      <c r="A874">
        <v>872</v>
      </c>
      <c r="B874" t="s">
        <v>1611</v>
      </c>
      <c r="C874" t="s">
        <v>3051</v>
      </c>
      <c r="D874" t="s">
        <v>3735</v>
      </c>
      <c r="E874" t="s">
        <v>4788</v>
      </c>
      <c r="F874" t="s">
        <v>4789</v>
      </c>
      <c r="G874" t="s">
        <v>4791</v>
      </c>
      <c r="H874" s="6" t="s">
        <v>7549</v>
      </c>
    </row>
    <row r="875" spans="1:8" ht="187" x14ac:dyDescent="0.2">
      <c r="A875">
        <v>873</v>
      </c>
      <c r="B875" t="s">
        <v>1611</v>
      </c>
      <c r="C875" t="s">
        <v>3051</v>
      </c>
      <c r="D875" t="s">
        <v>3735</v>
      </c>
      <c r="E875" t="s">
        <v>4788</v>
      </c>
      <c r="F875" t="s">
        <v>4789</v>
      </c>
      <c r="G875" t="s">
        <v>4792</v>
      </c>
      <c r="H875" s="6" t="s">
        <v>7550</v>
      </c>
    </row>
    <row r="876" spans="1:8" ht="221" x14ac:dyDescent="0.2">
      <c r="A876">
        <v>874</v>
      </c>
      <c r="B876" t="s">
        <v>1611</v>
      </c>
      <c r="C876" t="s">
        <v>3051</v>
      </c>
      <c r="D876" t="s">
        <v>3735</v>
      </c>
      <c r="E876" t="s">
        <v>4793</v>
      </c>
      <c r="F876" t="s">
        <v>4794</v>
      </c>
      <c r="G876" t="s">
        <v>4795</v>
      </c>
      <c r="H876" s="6" t="s">
        <v>7551</v>
      </c>
    </row>
    <row r="877" spans="1:8" ht="85" x14ac:dyDescent="0.2">
      <c r="A877">
        <v>875</v>
      </c>
      <c r="B877" t="s">
        <v>1611</v>
      </c>
      <c r="C877" t="s">
        <v>3051</v>
      </c>
      <c r="D877" t="s">
        <v>3735</v>
      </c>
      <c r="E877" t="s">
        <v>4793</v>
      </c>
      <c r="F877" t="s">
        <v>4794</v>
      </c>
      <c r="G877" t="s">
        <v>4796</v>
      </c>
      <c r="H877" s="6" t="s">
        <v>7552</v>
      </c>
    </row>
    <row r="878" spans="1:8" ht="85" x14ac:dyDescent="0.2">
      <c r="A878">
        <v>876</v>
      </c>
      <c r="B878" t="s">
        <v>1611</v>
      </c>
      <c r="C878" t="s">
        <v>3051</v>
      </c>
      <c r="D878" t="s">
        <v>3735</v>
      </c>
      <c r="E878" t="s">
        <v>4793</v>
      </c>
      <c r="F878" t="s">
        <v>4794</v>
      </c>
      <c r="G878" t="s">
        <v>4797</v>
      </c>
      <c r="H878" s="6" t="s">
        <v>7553</v>
      </c>
    </row>
    <row r="879" spans="1:8" ht="119" x14ac:dyDescent="0.2">
      <c r="A879">
        <v>877</v>
      </c>
      <c r="B879" t="s">
        <v>1611</v>
      </c>
      <c r="C879" t="s">
        <v>3051</v>
      </c>
      <c r="D879" t="s">
        <v>3735</v>
      </c>
      <c r="E879" t="s">
        <v>4793</v>
      </c>
      <c r="F879" t="s">
        <v>4794</v>
      </c>
      <c r="G879" t="s">
        <v>4798</v>
      </c>
      <c r="H879" s="6" t="s">
        <v>7554</v>
      </c>
    </row>
    <row r="880" spans="1:8" ht="119" x14ac:dyDescent="0.2">
      <c r="A880">
        <v>878</v>
      </c>
      <c r="B880" t="s">
        <v>1611</v>
      </c>
      <c r="C880" t="s">
        <v>3051</v>
      </c>
      <c r="D880" t="s">
        <v>3735</v>
      </c>
      <c r="E880" t="s">
        <v>4793</v>
      </c>
      <c r="F880" t="s">
        <v>4794</v>
      </c>
      <c r="G880" t="s">
        <v>4799</v>
      </c>
      <c r="H880" s="6" t="s">
        <v>7555</v>
      </c>
    </row>
    <row r="881" spans="1:8" ht="119" x14ac:dyDescent="0.2">
      <c r="A881">
        <v>879</v>
      </c>
      <c r="B881" t="s">
        <v>1611</v>
      </c>
      <c r="C881" t="s">
        <v>3051</v>
      </c>
      <c r="D881" t="s">
        <v>3735</v>
      </c>
      <c r="E881" t="s">
        <v>4793</v>
      </c>
      <c r="F881" t="s">
        <v>4794</v>
      </c>
      <c r="G881" t="s">
        <v>4800</v>
      </c>
      <c r="H881" s="6" t="s">
        <v>7556</v>
      </c>
    </row>
    <row r="882" spans="1:8" ht="85" x14ac:dyDescent="0.2">
      <c r="A882">
        <v>880</v>
      </c>
      <c r="B882" t="s">
        <v>1611</v>
      </c>
      <c r="C882" t="s">
        <v>3051</v>
      </c>
      <c r="D882" t="s">
        <v>3735</v>
      </c>
      <c r="E882" t="s">
        <v>4793</v>
      </c>
      <c r="F882" t="s">
        <v>4794</v>
      </c>
      <c r="G882" t="s">
        <v>4801</v>
      </c>
      <c r="H882" s="6" t="s">
        <v>7557</v>
      </c>
    </row>
    <row r="883" spans="1:8" ht="238" x14ac:dyDescent="0.2">
      <c r="A883">
        <v>881</v>
      </c>
      <c r="B883" t="s">
        <v>1611</v>
      </c>
      <c r="C883" t="s">
        <v>3051</v>
      </c>
      <c r="D883" t="s">
        <v>3735</v>
      </c>
      <c r="E883" t="s">
        <v>4793</v>
      </c>
      <c r="F883" t="s">
        <v>4794</v>
      </c>
      <c r="G883" t="s">
        <v>4802</v>
      </c>
      <c r="H883" s="6" t="s">
        <v>7558</v>
      </c>
    </row>
    <row r="884" spans="1:8" ht="85" x14ac:dyDescent="0.2">
      <c r="A884">
        <v>882</v>
      </c>
      <c r="B884" t="s">
        <v>1611</v>
      </c>
      <c r="C884" t="s">
        <v>3051</v>
      </c>
      <c r="D884" t="s">
        <v>3735</v>
      </c>
      <c r="E884" t="s">
        <v>4793</v>
      </c>
      <c r="F884" t="s">
        <v>4794</v>
      </c>
      <c r="G884" t="s">
        <v>4803</v>
      </c>
      <c r="H884" s="6" t="s">
        <v>7559</v>
      </c>
    </row>
    <row r="885" spans="1:8" ht="102" x14ac:dyDescent="0.2">
      <c r="A885">
        <v>883</v>
      </c>
      <c r="B885" t="s">
        <v>1611</v>
      </c>
      <c r="C885" t="s">
        <v>3051</v>
      </c>
      <c r="D885" t="s">
        <v>3735</v>
      </c>
      <c r="E885" t="s">
        <v>4793</v>
      </c>
      <c r="F885" t="s">
        <v>4794</v>
      </c>
      <c r="G885" t="s">
        <v>4804</v>
      </c>
      <c r="H885" s="6" t="s">
        <v>7560</v>
      </c>
    </row>
    <row r="886" spans="1:8" ht="85" x14ac:dyDescent="0.2">
      <c r="A886">
        <v>884</v>
      </c>
      <c r="B886" t="s">
        <v>1611</v>
      </c>
      <c r="C886" t="s">
        <v>3051</v>
      </c>
      <c r="D886" t="s">
        <v>3735</v>
      </c>
      <c r="E886" t="s">
        <v>4793</v>
      </c>
      <c r="F886" t="s">
        <v>4794</v>
      </c>
      <c r="G886" t="s">
        <v>4805</v>
      </c>
      <c r="H886" s="6" t="s">
        <v>7561</v>
      </c>
    </row>
    <row r="887" spans="1:8" ht="85" x14ac:dyDescent="0.2">
      <c r="A887">
        <v>885</v>
      </c>
      <c r="B887" t="s">
        <v>1611</v>
      </c>
      <c r="C887" t="s">
        <v>3051</v>
      </c>
      <c r="D887" t="s">
        <v>3735</v>
      </c>
      <c r="E887" t="s">
        <v>4793</v>
      </c>
      <c r="F887" t="s">
        <v>4794</v>
      </c>
      <c r="G887" t="s">
        <v>4806</v>
      </c>
      <c r="H887" s="6" t="s">
        <v>7562</v>
      </c>
    </row>
    <row r="888" spans="1:8" ht="85" x14ac:dyDescent="0.2">
      <c r="A888">
        <v>886</v>
      </c>
      <c r="B888" t="s">
        <v>1611</v>
      </c>
      <c r="C888" t="s">
        <v>3051</v>
      </c>
      <c r="D888" t="s">
        <v>3735</v>
      </c>
      <c r="E888" t="s">
        <v>4793</v>
      </c>
      <c r="F888" t="s">
        <v>4794</v>
      </c>
      <c r="G888" t="s">
        <v>4807</v>
      </c>
      <c r="H888" s="6" t="s">
        <v>7563</v>
      </c>
    </row>
    <row r="889" spans="1:8" ht="85" x14ac:dyDescent="0.2">
      <c r="A889">
        <v>887</v>
      </c>
      <c r="B889" t="s">
        <v>1611</v>
      </c>
      <c r="C889" t="s">
        <v>3051</v>
      </c>
      <c r="D889" t="s">
        <v>3735</v>
      </c>
      <c r="E889" t="s">
        <v>4793</v>
      </c>
      <c r="F889" t="s">
        <v>4794</v>
      </c>
      <c r="G889" t="s">
        <v>4808</v>
      </c>
      <c r="H889" s="6" t="s">
        <v>7564</v>
      </c>
    </row>
    <row r="890" spans="1:8" ht="136" x14ac:dyDescent="0.2">
      <c r="A890">
        <v>888</v>
      </c>
      <c r="B890" t="s">
        <v>1611</v>
      </c>
      <c r="C890" t="s">
        <v>3051</v>
      </c>
      <c r="D890" t="s">
        <v>3735</v>
      </c>
      <c r="E890" t="s">
        <v>4793</v>
      </c>
      <c r="F890" t="s">
        <v>4794</v>
      </c>
      <c r="G890" t="s">
        <v>4809</v>
      </c>
      <c r="H890" s="6" t="s">
        <v>7565</v>
      </c>
    </row>
    <row r="891" spans="1:8" ht="119" x14ac:dyDescent="0.2">
      <c r="A891">
        <v>889</v>
      </c>
      <c r="B891" t="s">
        <v>1611</v>
      </c>
      <c r="C891" t="s">
        <v>3051</v>
      </c>
      <c r="D891" t="s">
        <v>3735</v>
      </c>
      <c r="E891" t="s">
        <v>4793</v>
      </c>
      <c r="F891" t="s">
        <v>4794</v>
      </c>
      <c r="G891" t="s">
        <v>4810</v>
      </c>
      <c r="H891" s="6" t="s">
        <v>7566</v>
      </c>
    </row>
    <row r="892" spans="1:8" ht="85" x14ac:dyDescent="0.2">
      <c r="A892">
        <v>890</v>
      </c>
      <c r="B892" t="s">
        <v>1611</v>
      </c>
      <c r="C892" t="s">
        <v>3051</v>
      </c>
      <c r="D892" t="s">
        <v>3735</v>
      </c>
      <c r="E892" t="s">
        <v>4793</v>
      </c>
      <c r="F892" t="s">
        <v>4794</v>
      </c>
      <c r="G892" t="s">
        <v>4811</v>
      </c>
      <c r="H892" s="6" t="s">
        <v>7567</v>
      </c>
    </row>
    <row r="893" spans="1:8" ht="85" x14ac:dyDescent="0.2">
      <c r="A893">
        <v>891</v>
      </c>
      <c r="B893" t="s">
        <v>1611</v>
      </c>
      <c r="C893" t="s">
        <v>3051</v>
      </c>
      <c r="D893" t="s">
        <v>3735</v>
      </c>
      <c r="E893" t="s">
        <v>4793</v>
      </c>
      <c r="F893" t="s">
        <v>4794</v>
      </c>
      <c r="G893" t="s">
        <v>4812</v>
      </c>
      <c r="H893" s="6" t="s">
        <v>7568</v>
      </c>
    </row>
    <row r="894" spans="1:8" ht="85" x14ac:dyDescent="0.2">
      <c r="A894">
        <v>892</v>
      </c>
      <c r="B894" t="s">
        <v>1611</v>
      </c>
      <c r="C894" t="s">
        <v>3051</v>
      </c>
      <c r="D894" t="s">
        <v>3735</v>
      </c>
      <c r="E894" t="s">
        <v>4793</v>
      </c>
      <c r="F894" t="s">
        <v>4794</v>
      </c>
      <c r="G894" t="s">
        <v>4813</v>
      </c>
      <c r="H894" s="6" t="s">
        <v>7569</v>
      </c>
    </row>
    <row r="895" spans="1:8" ht="119" x14ac:dyDescent="0.2">
      <c r="A895">
        <v>893</v>
      </c>
      <c r="B895" t="s">
        <v>1611</v>
      </c>
      <c r="C895" t="s">
        <v>3051</v>
      </c>
      <c r="D895" t="s">
        <v>3735</v>
      </c>
      <c r="E895" t="s">
        <v>4793</v>
      </c>
      <c r="F895" t="s">
        <v>4794</v>
      </c>
      <c r="G895" t="s">
        <v>4814</v>
      </c>
      <c r="H895" s="6" t="s">
        <v>7570</v>
      </c>
    </row>
    <row r="896" spans="1:8" ht="119" x14ac:dyDescent="0.2">
      <c r="A896">
        <v>894</v>
      </c>
      <c r="B896" t="s">
        <v>1611</v>
      </c>
      <c r="C896" t="s">
        <v>3051</v>
      </c>
      <c r="D896" t="s">
        <v>3735</v>
      </c>
      <c r="E896" t="s">
        <v>4793</v>
      </c>
      <c r="F896" t="s">
        <v>4794</v>
      </c>
      <c r="G896" t="s">
        <v>4815</v>
      </c>
      <c r="H896" s="6" t="s">
        <v>7571</v>
      </c>
    </row>
    <row r="897" spans="1:8" ht="85" x14ac:dyDescent="0.2">
      <c r="A897">
        <v>895</v>
      </c>
      <c r="B897" t="s">
        <v>1611</v>
      </c>
      <c r="C897" t="s">
        <v>3051</v>
      </c>
      <c r="D897" t="s">
        <v>3735</v>
      </c>
      <c r="E897" t="s">
        <v>4793</v>
      </c>
      <c r="F897" t="s">
        <v>4794</v>
      </c>
      <c r="G897" t="s">
        <v>4816</v>
      </c>
      <c r="H897" s="6" t="s">
        <v>7572</v>
      </c>
    </row>
    <row r="898" spans="1:8" ht="136" x14ac:dyDescent="0.2">
      <c r="A898">
        <v>896</v>
      </c>
      <c r="B898" t="s">
        <v>1611</v>
      </c>
      <c r="C898" t="s">
        <v>3051</v>
      </c>
      <c r="D898" t="s">
        <v>3735</v>
      </c>
      <c r="E898" t="s">
        <v>4793</v>
      </c>
      <c r="F898" t="s">
        <v>4794</v>
      </c>
      <c r="G898" t="s">
        <v>4817</v>
      </c>
      <c r="H898" s="6" t="s">
        <v>7573</v>
      </c>
    </row>
    <row r="899" spans="1:8" ht="153" x14ac:dyDescent="0.2">
      <c r="A899">
        <v>897</v>
      </c>
      <c r="B899" t="s">
        <v>1611</v>
      </c>
      <c r="C899" t="s">
        <v>3051</v>
      </c>
      <c r="D899" t="s">
        <v>3735</v>
      </c>
      <c r="E899" t="s">
        <v>4793</v>
      </c>
      <c r="F899" t="s">
        <v>4794</v>
      </c>
      <c r="G899" t="s">
        <v>4818</v>
      </c>
      <c r="H899" s="6" t="s">
        <v>7574</v>
      </c>
    </row>
    <row r="900" spans="1:8" ht="102" x14ac:dyDescent="0.2">
      <c r="A900">
        <v>898</v>
      </c>
      <c r="B900" t="s">
        <v>1611</v>
      </c>
      <c r="C900" t="s">
        <v>3051</v>
      </c>
      <c r="D900" t="s">
        <v>3735</v>
      </c>
      <c r="E900" t="s">
        <v>4793</v>
      </c>
      <c r="F900" t="s">
        <v>4794</v>
      </c>
      <c r="G900" t="s">
        <v>4819</v>
      </c>
      <c r="H900" s="6" t="s">
        <v>7575</v>
      </c>
    </row>
    <row r="901" spans="1:8" ht="204" x14ac:dyDescent="0.2">
      <c r="A901">
        <v>899</v>
      </c>
      <c r="B901" t="s">
        <v>1611</v>
      </c>
      <c r="C901" t="s">
        <v>3051</v>
      </c>
      <c r="D901" t="s">
        <v>3735</v>
      </c>
      <c r="E901" t="s">
        <v>4793</v>
      </c>
      <c r="F901" t="s">
        <v>4794</v>
      </c>
      <c r="G901" t="s">
        <v>4820</v>
      </c>
      <c r="H901" s="6" t="s">
        <v>7576</v>
      </c>
    </row>
    <row r="902" spans="1:8" ht="102" x14ac:dyDescent="0.2">
      <c r="A902">
        <v>900</v>
      </c>
      <c r="B902" t="s">
        <v>1611</v>
      </c>
      <c r="C902" t="s">
        <v>3051</v>
      </c>
      <c r="D902" t="s">
        <v>3735</v>
      </c>
      <c r="E902" t="s">
        <v>4793</v>
      </c>
      <c r="F902" t="s">
        <v>4794</v>
      </c>
      <c r="G902" t="s">
        <v>4821</v>
      </c>
      <c r="H902" s="6" t="s">
        <v>7577</v>
      </c>
    </row>
    <row r="903" spans="1:8" ht="102" x14ac:dyDescent="0.2">
      <c r="A903">
        <v>901</v>
      </c>
      <c r="B903" t="s">
        <v>1611</v>
      </c>
      <c r="C903" t="s">
        <v>3051</v>
      </c>
      <c r="D903" t="s">
        <v>3735</v>
      </c>
      <c r="E903" t="s">
        <v>4793</v>
      </c>
      <c r="F903" t="s">
        <v>4794</v>
      </c>
      <c r="G903" t="s">
        <v>4822</v>
      </c>
      <c r="H903" s="6" t="s">
        <v>7578</v>
      </c>
    </row>
    <row r="904" spans="1:8" ht="102" x14ac:dyDescent="0.2">
      <c r="A904">
        <v>902</v>
      </c>
      <c r="B904" t="s">
        <v>1611</v>
      </c>
      <c r="C904" t="s">
        <v>3051</v>
      </c>
      <c r="D904" t="s">
        <v>3735</v>
      </c>
      <c r="E904" t="s">
        <v>4793</v>
      </c>
      <c r="F904" t="s">
        <v>4794</v>
      </c>
      <c r="G904" t="s">
        <v>4823</v>
      </c>
      <c r="H904" s="6" t="s">
        <v>7579</v>
      </c>
    </row>
    <row r="905" spans="1:8" ht="85" x14ac:dyDescent="0.2">
      <c r="A905">
        <v>903</v>
      </c>
      <c r="B905" t="s">
        <v>1611</v>
      </c>
      <c r="C905" t="s">
        <v>3051</v>
      </c>
      <c r="D905" t="s">
        <v>3735</v>
      </c>
      <c r="E905" t="s">
        <v>4793</v>
      </c>
      <c r="F905" t="s">
        <v>4794</v>
      </c>
      <c r="G905" t="s">
        <v>4824</v>
      </c>
      <c r="H905" s="6" t="s">
        <v>7580</v>
      </c>
    </row>
    <row r="906" spans="1:8" ht="85" x14ac:dyDescent="0.2">
      <c r="A906">
        <v>904</v>
      </c>
      <c r="B906" t="s">
        <v>1611</v>
      </c>
      <c r="C906" t="s">
        <v>3051</v>
      </c>
      <c r="D906" t="s">
        <v>3735</v>
      </c>
      <c r="E906" t="s">
        <v>4793</v>
      </c>
      <c r="F906" t="s">
        <v>4794</v>
      </c>
      <c r="G906" t="s">
        <v>4825</v>
      </c>
      <c r="H906" s="6" t="s">
        <v>7581</v>
      </c>
    </row>
    <row r="907" spans="1:8" ht="102" x14ac:dyDescent="0.2">
      <c r="A907">
        <v>905</v>
      </c>
      <c r="B907" t="s">
        <v>1611</v>
      </c>
      <c r="C907" t="s">
        <v>3051</v>
      </c>
      <c r="D907" t="s">
        <v>3735</v>
      </c>
      <c r="E907" t="s">
        <v>4793</v>
      </c>
      <c r="F907" t="s">
        <v>4794</v>
      </c>
      <c r="G907" t="s">
        <v>4826</v>
      </c>
      <c r="H907" s="6" t="s">
        <v>7582</v>
      </c>
    </row>
    <row r="908" spans="1:8" ht="323" x14ac:dyDescent="0.2">
      <c r="A908">
        <v>906</v>
      </c>
      <c r="B908" t="s">
        <v>1611</v>
      </c>
      <c r="C908" t="s">
        <v>3051</v>
      </c>
      <c r="D908" t="s">
        <v>3735</v>
      </c>
      <c r="E908" t="s">
        <v>4827</v>
      </c>
      <c r="F908" t="s">
        <v>4741</v>
      </c>
      <c r="G908" t="s">
        <v>4828</v>
      </c>
      <c r="H908" s="6" t="s">
        <v>7583</v>
      </c>
    </row>
    <row r="909" spans="1:8" ht="85" x14ac:dyDescent="0.2">
      <c r="A909">
        <v>907</v>
      </c>
      <c r="B909" t="s">
        <v>1611</v>
      </c>
      <c r="C909" t="s">
        <v>3051</v>
      </c>
      <c r="D909" t="s">
        <v>3735</v>
      </c>
      <c r="E909" t="s">
        <v>4827</v>
      </c>
      <c r="F909" t="s">
        <v>4741</v>
      </c>
      <c r="G909" t="s">
        <v>4829</v>
      </c>
      <c r="H909" s="6" t="s">
        <v>7584</v>
      </c>
    </row>
    <row r="910" spans="1:8" ht="85" x14ac:dyDescent="0.2">
      <c r="A910">
        <v>908</v>
      </c>
      <c r="B910" t="s">
        <v>1611</v>
      </c>
      <c r="C910" t="s">
        <v>3051</v>
      </c>
      <c r="D910" t="s">
        <v>3735</v>
      </c>
      <c r="E910" t="s">
        <v>4827</v>
      </c>
      <c r="F910" t="s">
        <v>4741</v>
      </c>
      <c r="G910" t="s">
        <v>4830</v>
      </c>
      <c r="H910" s="6" t="s">
        <v>7585</v>
      </c>
    </row>
    <row r="911" spans="1:8" ht="85" x14ac:dyDescent="0.2">
      <c r="A911">
        <v>909</v>
      </c>
      <c r="B911" t="s">
        <v>1611</v>
      </c>
      <c r="C911" t="s">
        <v>3051</v>
      </c>
      <c r="D911" t="s">
        <v>3735</v>
      </c>
      <c r="E911" t="s">
        <v>4827</v>
      </c>
      <c r="F911" t="s">
        <v>4741</v>
      </c>
      <c r="G911" t="s">
        <v>4831</v>
      </c>
      <c r="H911" s="6" t="s">
        <v>7586</v>
      </c>
    </row>
    <row r="912" spans="1:8" ht="85" x14ac:dyDescent="0.2">
      <c r="A912">
        <v>910</v>
      </c>
      <c r="B912" t="s">
        <v>1611</v>
      </c>
      <c r="C912" t="s">
        <v>3051</v>
      </c>
      <c r="D912" t="s">
        <v>3735</v>
      </c>
      <c r="E912" t="s">
        <v>4827</v>
      </c>
      <c r="F912" t="s">
        <v>4741</v>
      </c>
      <c r="G912" t="s">
        <v>4832</v>
      </c>
      <c r="H912" s="6" t="s">
        <v>7587</v>
      </c>
    </row>
    <row r="913" spans="1:8" ht="85" x14ac:dyDescent="0.2">
      <c r="A913">
        <v>911</v>
      </c>
      <c r="B913" t="s">
        <v>1611</v>
      </c>
      <c r="C913" t="s">
        <v>3051</v>
      </c>
      <c r="D913" t="s">
        <v>3735</v>
      </c>
      <c r="E913" t="s">
        <v>4827</v>
      </c>
      <c r="F913" t="s">
        <v>4741</v>
      </c>
      <c r="G913" t="s">
        <v>4833</v>
      </c>
      <c r="H913" s="6" t="s">
        <v>7588</v>
      </c>
    </row>
    <row r="914" spans="1:8" ht="119" x14ac:dyDescent="0.2">
      <c r="A914">
        <v>912</v>
      </c>
      <c r="B914" t="s">
        <v>1611</v>
      </c>
      <c r="C914" t="s">
        <v>3051</v>
      </c>
      <c r="D914" t="s">
        <v>3735</v>
      </c>
      <c r="E914" t="s">
        <v>4827</v>
      </c>
      <c r="F914" t="s">
        <v>4741</v>
      </c>
      <c r="G914" t="s">
        <v>4834</v>
      </c>
      <c r="H914" s="6" t="s">
        <v>7589</v>
      </c>
    </row>
    <row r="915" spans="1:8" ht="102" x14ac:dyDescent="0.2">
      <c r="A915">
        <v>913</v>
      </c>
      <c r="B915" t="s">
        <v>1611</v>
      </c>
      <c r="C915" t="s">
        <v>3051</v>
      </c>
      <c r="D915" t="s">
        <v>3735</v>
      </c>
      <c r="E915" t="s">
        <v>4827</v>
      </c>
      <c r="F915" t="s">
        <v>4741</v>
      </c>
      <c r="G915" t="s">
        <v>4835</v>
      </c>
      <c r="H915" s="6" t="s">
        <v>7590</v>
      </c>
    </row>
    <row r="916" spans="1:8" ht="102" x14ac:dyDescent="0.2">
      <c r="A916">
        <v>914</v>
      </c>
      <c r="B916" t="s">
        <v>1611</v>
      </c>
      <c r="C916" t="s">
        <v>3051</v>
      </c>
      <c r="D916" t="s">
        <v>3735</v>
      </c>
      <c r="E916" t="s">
        <v>4827</v>
      </c>
      <c r="F916" t="s">
        <v>4741</v>
      </c>
      <c r="G916" t="s">
        <v>4836</v>
      </c>
      <c r="H916" s="6" t="s">
        <v>7591</v>
      </c>
    </row>
    <row r="917" spans="1:8" ht="119" x14ac:dyDescent="0.2">
      <c r="A917">
        <v>915</v>
      </c>
      <c r="B917" t="s">
        <v>1611</v>
      </c>
      <c r="C917" t="s">
        <v>3051</v>
      </c>
      <c r="D917" t="s">
        <v>3735</v>
      </c>
      <c r="E917" t="s">
        <v>4827</v>
      </c>
      <c r="F917" t="s">
        <v>4741</v>
      </c>
      <c r="G917" t="s">
        <v>4837</v>
      </c>
      <c r="H917" s="6" t="s">
        <v>7592</v>
      </c>
    </row>
    <row r="918" spans="1:8" ht="119" x14ac:dyDescent="0.2">
      <c r="A918">
        <v>916</v>
      </c>
      <c r="B918" t="s">
        <v>1611</v>
      </c>
      <c r="C918" t="s">
        <v>3051</v>
      </c>
      <c r="D918" t="s">
        <v>3735</v>
      </c>
      <c r="E918" t="s">
        <v>4827</v>
      </c>
      <c r="F918" t="s">
        <v>4741</v>
      </c>
      <c r="G918" t="s">
        <v>4838</v>
      </c>
      <c r="H918" s="6" t="s">
        <v>7593</v>
      </c>
    </row>
    <row r="919" spans="1:8" ht="187" x14ac:dyDescent="0.2">
      <c r="A919">
        <v>917</v>
      </c>
      <c r="B919" t="s">
        <v>1611</v>
      </c>
      <c r="C919" t="s">
        <v>3051</v>
      </c>
      <c r="D919" t="s">
        <v>3735</v>
      </c>
      <c r="E919" t="s">
        <v>4827</v>
      </c>
      <c r="F919" t="s">
        <v>4741</v>
      </c>
      <c r="G919" t="s">
        <v>4839</v>
      </c>
      <c r="H919" s="6" t="s">
        <v>7594</v>
      </c>
    </row>
    <row r="920" spans="1:8" ht="85" x14ac:dyDescent="0.2">
      <c r="A920">
        <v>918</v>
      </c>
      <c r="B920" t="s">
        <v>1611</v>
      </c>
      <c r="C920" t="s">
        <v>3051</v>
      </c>
      <c r="D920" t="s">
        <v>3735</v>
      </c>
      <c r="E920" t="s">
        <v>4827</v>
      </c>
      <c r="F920" t="s">
        <v>4741</v>
      </c>
      <c r="G920" t="s">
        <v>4840</v>
      </c>
      <c r="H920" s="6" t="s">
        <v>7595</v>
      </c>
    </row>
    <row r="921" spans="1:8" ht="102" x14ac:dyDescent="0.2">
      <c r="A921">
        <v>919</v>
      </c>
      <c r="B921" t="s">
        <v>1611</v>
      </c>
      <c r="C921" t="s">
        <v>3051</v>
      </c>
      <c r="D921" t="s">
        <v>3735</v>
      </c>
      <c r="E921" t="s">
        <v>4827</v>
      </c>
      <c r="F921" t="s">
        <v>4741</v>
      </c>
      <c r="G921" t="s">
        <v>4841</v>
      </c>
      <c r="H921" s="6" t="s">
        <v>7596</v>
      </c>
    </row>
    <row r="922" spans="1:8" ht="170" x14ac:dyDescent="0.2">
      <c r="A922">
        <v>920</v>
      </c>
      <c r="B922" t="s">
        <v>1611</v>
      </c>
      <c r="C922" t="s">
        <v>3051</v>
      </c>
      <c r="D922" t="s">
        <v>3735</v>
      </c>
      <c r="E922" t="s">
        <v>4827</v>
      </c>
      <c r="F922" t="s">
        <v>4741</v>
      </c>
      <c r="G922" t="s">
        <v>4842</v>
      </c>
      <c r="H922" s="6" t="s">
        <v>7597</v>
      </c>
    </row>
    <row r="923" spans="1:8" ht="136" x14ac:dyDescent="0.2">
      <c r="A923">
        <v>921</v>
      </c>
      <c r="B923" t="s">
        <v>1611</v>
      </c>
      <c r="C923" t="s">
        <v>3051</v>
      </c>
      <c r="D923" t="s">
        <v>3735</v>
      </c>
      <c r="E923" t="s">
        <v>4827</v>
      </c>
      <c r="F923" t="s">
        <v>4741</v>
      </c>
      <c r="G923" t="s">
        <v>4843</v>
      </c>
      <c r="H923" s="6" t="s">
        <v>7598</v>
      </c>
    </row>
    <row r="924" spans="1:8" ht="136" x14ac:dyDescent="0.2">
      <c r="A924">
        <v>922</v>
      </c>
      <c r="B924" t="s">
        <v>1611</v>
      </c>
      <c r="C924" t="s">
        <v>3051</v>
      </c>
      <c r="D924" t="s">
        <v>3735</v>
      </c>
      <c r="E924" t="s">
        <v>4827</v>
      </c>
      <c r="F924" t="s">
        <v>4741</v>
      </c>
      <c r="G924" t="s">
        <v>4844</v>
      </c>
      <c r="H924" s="6" t="s">
        <v>7599</v>
      </c>
    </row>
    <row r="925" spans="1:8" ht="85" x14ac:dyDescent="0.2">
      <c r="A925">
        <v>923</v>
      </c>
      <c r="B925" t="s">
        <v>1611</v>
      </c>
      <c r="C925" t="s">
        <v>3051</v>
      </c>
      <c r="D925" t="s">
        <v>3735</v>
      </c>
      <c r="E925" t="s">
        <v>4827</v>
      </c>
      <c r="F925" t="s">
        <v>4741</v>
      </c>
      <c r="G925" t="s">
        <v>4845</v>
      </c>
      <c r="H925" s="6" t="s">
        <v>7600</v>
      </c>
    </row>
    <row r="926" spans="1:8" ht="85" x14ac:dyDescent="0.2">
      <c r="A926">
        <v>924</v>
      </c>
      <c r="B926" t="s">
        <v>1611</v>
      </c>
      <c r="C926" t="s">
        <v>3051</v>
      </c>
      <c r="D926" t="s">
        <v>3735</v>
      </c>
      <c r="E926" t="s">
        <v>4827</v>
      </c>
      <c r="F926" t="s">
        <v>4741</v>
      </c>
      <c r="G926" t="s">
        <v>4846</v>
      </c>
      <c r="H926" s="6" t="s">
        <v>7601</v>
      </c>
    </row>
    <row r="927" spans="1:8" ht="119" x14ac:dyDescent="0.2">
      <c r="A927">
        <v>925</v>
      </c>
      <c r="B927" t="s">
        <v>1611</v>
      </c>
      <c r="C927" t="s">
        <v>3051</v>
      </c>
      <c r="D927" t="s">
        <v>3735</v>
      </c>
      <c r="E927" t="s">
        <v>4827</v>
      </c>
      <c r="F927" t="s">
        <v>4741</v>
      </c>
      <c r="G927" t="s">
        <v>4847</v>
      </c>
      <c r="H927" s="6" t="s">
        <v>7602</v>
      </c>
    </row>
    <row r="928" spans="1:8" ht="204" x14ac:dyDescent="0.2">
      <c r="A928">
        <v>926</v>
      </c>
      <c r="B928" t="s">
        <v>1611</v>
      </c>
      <c r="C928" t="s">
        <v>3051</v>
      </c>
      <c r="D928" t="s">
        <v>3735</v>
      </c>
      <c r="E928" t="s">
        <v>4827</v>
      </c>
      <c r="F928" t="s">
        <v>4741</v>
      </c>
      <c r="G928" t="s">
        <v>4848</v>
      </c>
      <c r="H928" s="6" t="s">
        <v>7603</v>
      </c>
    </row>
    <row r="929" spans="1:8" ht="153" x14ac:dyDescent="0.2">
      <c r="A929">
        <v>927</v>
      </c>
      <c r="B929" t="s">
        <v>1611</v>
      </c>
      <c r="C929" t="s">
        <v>3051</v>
      </c>
      <c r="D929" t="s">
        <v>3735</v>
      </c>
      <c r="E929" t="s">
        <v>4827</v>
      </c>
      <c r="F929" t="s">
        <v>4741</v>
      </c>
      <c r="G929" t="s">
        <v>4849</v>
      </c>
      <c r="H929" s="6" t="s">
        <v>7604</v>
      </c>
    </row>
    <row r="930" spans="1:8" ht="102" x14ac:dyDescent="0.2">
      <c r="A930">
        <v>928</v>
      </c>
      <c r="B930" t="s">
        <v>1611</v>
      </c>
      <c r="C930" t="s">
        <v>3051</v>
      </c>
      <c r="D930" t="s">
        <v>3735</v>
      </c>
      <c r="E930" t="s">
        <v>4827</v>
      </c>
      <c r="F930" t="s">
        <v>4741</v>
      </c>
      <c r="G930" t="s">
        <v>4850</v>
      </c>
      <c r="H930" s="6" t="s">
        <v>7605</v>
      </c>
    </row>
    <row r="931" spans="1:8" ht="85" x14ac:dyDescent="0.2">
      <c r="A931">
        <v>929</v>
      </c>
      <c r="B931" t="s">
        <v>1611</v>
      </c>
      <c r="C931" t="s">
        <v>3051</v>
      </c>
      <c r="D931" t="s">
        <v>3735</v>
      </c>
      <c r="E931" t="s">
        <v>4827</v>
      </c>
      <c r="F931" t="s">
        <v>4741</v>
      </c>
      <c r="G931" t="s">
        <v>4851</v>
      </c>
      <c r="H931" s="6" t="s">
        <v>7606</v>
      </c>
    </row>
    <row r="932" spans="1:8" ht="85" x14ac:dyDescent="0.2">
      <c r="A932">
        <v>930</v>
      </c>
      <c r="B932" t="s">
        <v>1611</v>
      </c>
      <c r="C932" t="s">
        <v>3051</v>
      </c>
      <c r="D932" t="s">
        <v>3735</v>
      </c>
      <c r="E932" t="s">
        <v>4827</v>
      </c>
      <c r="F932" t="s">
        <v>4741</v>
      </c>
      <c r="G932" t="s">
        <v>4852</v>
      </c>
      <c r="H932" s="6" t="s">
        <v>7607</v>
      </c>
    </row>
    <row r="933" spans="1:8" ht="102" x14ac:dyDescent="0.2">
      <c r="A933">
        <v>931</v>
      </c>
      <c r="B933" t="s">
        <v>1611</v>
      </c>
      <c r="C933" t="s">
        <v>3051</v>
      </c>
      <c r="D933" t="s">
        <v>3735</v>
      </c>
      <c r="E933" t="s">
        <v>4827</v>
      </c>
      <c r="F933" t="s">
        <v>4741</v>
      </c>
      <c r="G933" t="s">
        <v>4853</v>
      </c>
      <c r="H933" s="6" t="s">
        <v>7608</v>
      </c>
    </row>
    <row r="934" spans="1:8" ht="102" x14ac:dyDescent="0.2">
      <c r="A934">
        <v>932</v>
      </c>
      <c r="B934" t="s">
        <v>1611</v>
      </c>
      <c r="C934" t="s">
        <v>3051</v>
      </c>
      <c r="D934" t="s">
        <v>3735</v>
      </c>
      <c r="E934" t="s">
        <v>4827</v>
      </c>
      <c r="F934" t="s">
        <v>4741</v>
      </c>
      <c r="G934" t="s">
        <v>4854</v>
      </c>
      <c r="H934" s="6" t="s">
        <v>7609</v>
      </c>
    </row>
    <row r="935" spans="1:8" ht="119" x14ac:dyDescent="0.2">
      <c r="A935">
        <v>933</v>
      </c>
      <c r="B935" t="s">
        <v>1611</v>
      </c>
      <c r="C935" t="s">
        <v>3051</v>
      </c>
      <c r="D935" t="s">
        <v>3735</v>
      </c>
      <c r="E935" t="s">
        <v>4827</v>
      </c>
      <c r="F935" t="s">
        <v>4741</v>
      </c>
      <c r="G935" t="s">
        <v>4855</v>
      </c>
      <c r="H935" s="6" t="s">
        <v>7610</v>
      </c>
    </row>
    <row r="936" spans="1:8" ht="136" x14ac:dyDescent="0.2">
      <c r="A936">
        <v>934</v>
      </c>
      <c r="B936" t="s">
        <v>1611</v>
      </c>
      <c r="C936" t="s">
        <v>3051</v>
      </c>
      <c r="D936" t="s">
        <v>3735</v>
      </c>
      <c r="E936" t="s">
        <v>4827</v>
      </c>
      <c r="F936" t="s">
        <v>4741</v>
      </c>
      <c r="G936" t="s">
        <v>4856</v>
      </c>
      <c r="H936" s="6" t="s">
        <v>7611</v>
      </c>
    </row>
    <row r="937" spans="1:8" ht="102" x14ac:dyDescent="0.2">
      <c r="A937">
        <v>935</v>
      </c>
      <c r="B937" t="s">
        <v>1611</v>
      </c>
      <c r="C937" t="s">
        <v>3051</v>
      </c>
      <c r="D937" t="s">
        <v>3735</v>
      </c>
      <c r="E937" t="s">
        <v>4827</v>
      </c>
      <c r="F937" t="s">
        <v>4741</v>
      </c>
      <c r="G937" t="s">
        <v>4857</v>
      </c>
      <c r="H937" s="6" t="s">
        <v>7612</v>
      </c>
    </row>
    <row r="938" spans="1:8" ht="136" x14ac:dyDescent="0.2">
      <c r="A938">
        <v>936</v>
      </c>
      <c r="B938" t="s">
        <v>1611</v>
      </c>
      <c r="C938" t="s">
        <v>3051</v>
      </c>
      <c r="D938" t="s">
        <v>3735</v>
      </c>
      <c r="E938" t="s">
        <v>4827</v>
      </c>
      <c r="F938" t="s">
        <v>4741</v>
      </c>
      <c r="G938" t="s">
        <v>4858</v>
      </c>
      <c r="H938" s="6" t="s">
        <v>7613</v>
      </c>
    </row>
    <row r="939" spans="1:8" ht="153" x14ac:dyDescent="0.2">
      <c r="A939">
        <v>937</v>
      </c>
      <c r="B939" t="s">
        <v>1611</v>
      </c>
      <c r="C939" t="s">
        <v>3051</v>
      </c>
      <c r="D939" t="s">
        <v>3735</v>
      </c>
      <c r="E939" t="s">
        <v>4827</v>
      </c>
      <c r="F939" t="s">
        <v>4741</v>
      </c>
      <c r="G939" t="s">
        <v>4859</v>
      </c>
      <c r="H939" s="6" t="s">
        <v>7614</v>
      </c>
    </row>
    <row r="940" spans="1:8" ht="102" x14ac:dyDescent="0.2">
      <c r="A940">
        <v>938</v>
      </c>
      <c r="B940" t="s">
        <v>1611</v>
      </c>
      <c r="C940" t="s">
        <v>3051</v>
      </c>
      <c r="D940" t="s">
        <v>3735</v>
      </c>
      <c r="E940" t="s">
        <v>4827</v>
      </c>
      <c r="F940" t="s">
        <v>4741</v>
      </c>
      <c r="G940" t="s">
        <v>4860</v>
      </c>
      <c r="H940" s="6" t="s">
        <v>7615</v>
      </c>
    </row>
    <row r="941" spans="1:8" ht="153" x14ac:dyDescent="0.2">
      <c r="A941">
        <v>939</v>
      </c>
      <c r="B941" t="s">
        <v>1611</v>
      </c>
      <c r="C941" t="s">
        <v>3051</v>
      </c>
      <c r="D941" t="s">
        <v>3735</v>
      </c>
      <c r="E941" t="s">
        <v>4827</v>
      </c>
      <c r="F941" t="s">
        <v>4741</v>
      </c>
      <c r="G941" t="s">
        <v>4861</v>
      </c>
      <c r="H941" s="6" t="s">
        <v>7616</v>
      </c>
    </row>
    <row r="942" spans="1:8" ht="102" x14ac:dyDescent="0.2">
      <c r="A942">
        <v>940</v>
      </c>
      <c r="B942" t="s">
        <v>1611</v>
      </c>
      <c r="C942" t="s">
        <v>3051</v>
      </c>
      <c r="D942" t="s">
        <v>3735</v>
      </c>
      <c r="E942" t="s">
        <v>4827</v>
      </c>
      <c r="F942" t="s">
        <v>4741</v>
      </c>
      <c r="G942" t="s">
        <v>4862</v>
      </c>
      <c r="H942" s="6" t="s">
        <v>7617</v>
      </c>
    </row>
    <row r="943" spans="1:8" ht="153" x14ac:dyDescent="0.2">
      <c r="A943">
        <v>941</v>
      </c>
      <c r="B943" t="s">
        <v>1611</v>
      </c>
      <c r="C943" t="s">
        <v>3051</v>
      </c>
      <c r="D943" t="s">
        <v>3735</v>
      </c>
      <c r="E943" t="s">
        <v>4827</v>
      </c>
      <c r="F943" t="s">
        <v>4741</v>
      </c>
      <c r="G943" t="s">
        <v>4863</v>
      </c>
      <c r="H943" s="6" t="s">
        <v>7618</v>
      </c>
    </row>
    <row r="944" spans="1:8" ht="136" x14ac:dyDescent="0.2">
      <c r="A944">
        <v>942</v>
      </c>
      <c r="B944" t="s">
        <v>1611</v>
      </c>
      <c r="C944" t="s">
        <v>3051</v>
      </c>
      <c r="D944" t="s">
        <v>3735</v>
      </c>
      <c r="E944" t="s">
        <v>4827</v>
      </c>
      <c r="F944" t="s">
        <v>4741</v>
      </c>
      <c r="G944" t="s">
        <v>4864</v>
      </c>
      <c r="H944" s="6" t="s">
        <v>7619</v>
      </c>
    </row>
    <row r="945" spans="1:8" ht="119" x14ac:dyDescent="0.2">
      <c r="A945">
        <v>943</v>
      </c>
      <c r="B945" t="s">
        <v>1611</v>
      </c>
      <c r="C945" t="s">
        <v>3051</v>
      </c>
      <c r="D945" t="s">
        <v>3735</v>
      </c>
      <c r="E945" t="s">
        <v>4827</v>
      </c>
      <c r="F945" t="s">
        <v>4741</v>
      </c>
      <c r="G945" t="s">
        <v>4865</v>
      </c>
      <c r="H945" s="6" t="s">
        <v>7620</v>
      </c>
    </row>
    <row r="946" spans="1:8" ht="170" x14ac:dyDescent="0.2">
      <c r="A946">
        <v>944</v>
      </c>
      <c r="B946" t="s">
        <v>1611</v>
      </c>
      <c r="C946" t="s">
        <v>3051</v>
      </c>
      <c r="D946" t="s">
        <v>3735</v>
      </c>
      <c r="E946" t="s">
        <v>4827</v>
      </c>
      <c r="F946" t="s">
        <v>4741</v>
      </c>
      <c r="G946" t="s">
        <v>4866</v>
      </c>
      <c r="H946" s="6" t="s">
        <v>7621</v>
      </c>
    </row>
    <row r="947" spans="1:8" ht="136" x14ac:dyDescent="0.2">
      <c r="A947">
        <v>945</v>
      </c>
      <c r="B947" t="s">
        <v>1611</v>
      </c>
      <c r="C947" t="s">
        <v>3051</v>
      </c>
      <c r="D947" t="s">
        <v>3735</v>
      </c>
      <c r="E947" t="s">
        <v>4827</v>
      </c>
      <c r="F947" t="s">
        <v>4741</v>
      </c>
      <c r="G947" t="s">
        <v>4867</v>
      </c>
      <c r="H947" s="6" t="s">
        <v>7622</v>
      </c>
    </row>
    <row r="948" spans="1:8" ht="153" x14ac:dyDescent="0.2">
      <c r="A948">
        <v>946</v>
      </c>
      <c r="B948" t="s">
        <v>1611</v>
      </c>
      <c r="C948" t="s">
        <v>3051</v>
      </c>
      <c r="D948" t="s">
        <v>3735</v>
      </c>
      <c r="E948" t="s">
        <v>4827</v>
      </c>
      <c r="F948" t="s">
        <v>4741</v>
      </c>
      <c r="G948" t="s">
        <v>4868</v>
      </c>
      <c r="H948" s="6" t="s">
        <v>7623</v>
      </c>
    </row>
    <row r="949" spans="1:8" ht="119" x14ac:dyDescent="0.2">
      <c r="A949">
        <v>947</v>
      </c>
      <c r="B949" t="s">
        <v>1611</v>
      </c>
      <c r="C949" t="s">
        <v>3051</v>
      </c>
      <c r="D949" t="s">
        <v>3735</v>
      </c>
      <c r="E949" t="s">
        <v>4827</v>
      </c>
      <c r="F949" t="s">
        <v>4741</v>
      </c>
      <c r="G949" t="s">
        <v>4869</v>
      </c>
      <c r="H949" s="6" t="s">
        <v>7624</v>
      </c>
    </row>
    <row r="950" spans="1:8" ht="85" x14ac:dyDescent="0.2">
      <c r="A950">
        <v>948</v>
      </c>
      <c r="B950" t="s">
        <v>1611</v>
      </c>
      <c r="C950" t="s">
        <v>3051</v>
      </c>
      <c r="D950" t="s">
        <v>3735</v>
      </c>
      <c r="E950" t="s">
        <v>4827</v>
      </c>
      <c r="F950" t="s">
        <v>4741</v>
      </c>
      <c r="G950" t="s">
        <v>4870</v>
      </c>
      <c r="H950" s="6" t="s">
        <v>7625</v>
      </c>
    </row>
    <row r="951" spans="1:8" ht="85" x14ac:dyDescent="0.2">
      <c r="A951">
        <v>949</v>
      </c>
      <c r="B951" t="s">
        <v>1611</v>
      </c>
      <c r="C951" t="s">
        <v>3051</v>
      </c>
      <c r="D951" t="s">
        <v>3735</v>
      </c>
      <c r="E951" t="s">
        <v>4827</v>
      </c>
      <c r="F951" t="s">
        <v>4741</v>
      </c>
      <c r="G951" t="s">
        <v>4871</v>
      </c>
      <c r="H951" s="6" t="s">
        <v>7626</v>
      </c>
    </row>
    <row r="952" spans="1:8" ht="136" x14ac:dyDescent="0.2">
      <c r="A952">
        <v>950</v>
      </c>
      <c r="B952" t="s">
        <v>1611</v>
      </c>
      <c r="C952" t="s">
        <v>3051</v>
      </c>
      <c r="D952" t="s">
        <v>3735</v>
      </c>
      <c r="E952" t="s">
        <v>4827</v>
      </c>
      <c r="F952" t="s">
        <v>4741</v>
      </c>
      <c r="G952" t="s">
        <v>4872</v>
      </c>
      <c r="H952" s="6" t="s">
        <v>7627</v>
      </c>
    </row>
    <row r="953" spans="1:8" ht="187" x14ac:dyDescent="0.2">
      <c r="A953">
        <v>951</v>
      </c>
      <c r="B953" t="s">
        <v>1611</v>
      </c>
      <c r="C953" t="s">
        <v>3051</v>
      </c>
      <c r="D953" t="s">
        <v>3735</v>
      </c>
      <c r="E953" t="s">
        <v>4827</v>
      </c>
      <c r="F953" t="s">
        <v>4741</v>
      </c>
      <c r="G953" t="s">
        <v>4873</v>
      </c>
      <c r="H953" s="6" t="s">
        <v>7628</v>
      </c>
    </row>
    <row r="954" spans="1:8" ht="136" x14ac:dyDescent="0.2">
      <c r="A954">
        <v>952</v>
      </c>
      <c r="B954" t="s">
        <v>1611</v>
      </c>
      <c r="C954" t="s">
        <v>3051</v>
      </c>
      <c r="D954" t="s">
        <v>3735</v>
      </c>
      <c r="E954" t="s">
        <v>4827</v>
      </c>
      <c r="F954" t="s">
        <v>4741</v>
      </c>
      <c r="G954" t="s">
        <v>4874</v>
      </c>
      <c r="H954" s="6" t="s">
        <v>7629</v>
      </c>
    </row>
    <row r="955" spans="1:8" ht="85" x14ac:dyDescent="0.2">
      <c r="A955">
        <v>953</v>
      </c>
      <c r="B955" t="s">
        <v>1611</v>
      </c>
      <c r="C955" t="s">
        <v>3051</v>
      </c>
      <c r="D955" t="s">
        <v>3735</v>
      </c>
      <c r="E955" t="s">
        <v>4827</v>
      </c>
      <c r="F955" t="s">
        <v>4741</v>
      </c>
      <c r="G955" t="s">
        <v>4875</v>
      </c>
      <c r="H955" s="6" t="s">
        <v>7630</v>
      </c>
    </row>
    <row r="956" spans="1:8" ht="102" x14ac:dyDescent="0.2">
      <c r="A956">
        <v>954</v>
      </c>
      <c r="B956" t="s">
        <v>1611</v>
      </c>
      <c r="C956" t="s">
        <v>3051</v>
      </c>
      <c r="D956" t="s">
        <v>3735</v>
      </c>
      <c r="E956" t="s">
        <v>4827</v>
      </c>
      <c r="F956" t="s">
        <v>4741</v>
      </c>
      <c r="G956" t="s">
        <v>4876</v>
      </c>
      <c r="H956" s="6" t="s">
        <v>7631</v>
      </c>
    </row>
    <row r="957" spans="1:8" ht="85" x14ac:dyDescent="0.2">
      <c r="A957">
        <v>955</v>
      </c>
      <c r="B957" t="s">
        <v>1611</v>
      </c>
      <c r="C957" t="s">
        <v>3051</v>
      </c>
      <c r="D957" t="s">
        <v>3735</v>
      </c>
      <c r="E957" t="s">
        <v>4827</v>
      </c>
      <c r="F957" t="s">
        <v>4741</v>
      </c>
      <c r="G957" t="s">
        <v>4877</v>
      </c>
      <c r="H957" s="6" t="s">
        <v>7632</v>
      </c>
    </row>
    <row r="958" spans="1:8" ht="136" x14ac:dyDescent="0.2">
      <c r="A958">
        <v>956</v>
      </c>
      <c r="B958" t="s">
        <v>1611</v>
      </c>
      <c r="C958" t="s">
        <v>3051</v>
      </c>
      <c r="D958" t="s">
        <v>3735</v>
      </c>
      <c r="E958" t="s">
        <v>4827</v>
      </c>
      <c r="F958" t="s">
        <v>4741</v>
      </c>
      <c r="G958" t="s">
        <v>4878</v>
      </c>
      <c r="H958" s="6" t="s">
        <v>7633</v>
      </c>
    </row>
    <row r="959" spans="1:8" ht="119" x14ac:dyDescent="0.2">
      <c r="A959">
        <v>957</v>
      </c>
      <c r="B959" t="s">
        <v>1611</v>
      </c>
      <c r="C959" t="s">
        <v>3051</v>
      </c>
      <c r="D959" t="s">
        <v>3735</v>
      </c>
      <c r="E959" t="s">
        <v>4827</v>
      </c>
      <c r="F959" t="s">
        <v>4741</v>
      </c>
      <c r="G959" t="s">
        <v>4879</v>
      </c>
      <c r="H959" s="6" t="s">
        <v>7634</v>
      </c>
    </row>
    <row r="960" spans="1:8" ht="102" x14ac:dyDescent="0.2">
      <c r="A960">
        <v>958</v>
      </c>
      <c r="B960" t="s">
        <v>1611</v>
      </c>
      <c r="C960" t="s">
        <v>3051</v>
      </c>
      <c r="D960" t="s">
        <v>3735</v>
      </c>
      <c r="E960" t="s">
        <v>4827</v>
      </c>
      <c r="F960" t="s">
        <v>4741</v>
      </c>
      <c r="G960" t="s">
        <v>4880</v>
      </c>
      <c r="H960" s="6" t="s">
        <v>7635</v>
      </c>
    </row>
    <row r="961" spans="1:8" ht="102" x14ac:dyDescent="0.2">
      <c r="A961">
        <v>959</v>
      </c>
      <c r="B961" t="s">
        <v>1611</v>
      </c>
      <c r="C961" t="s">
        <v>3051</v>
      </c>
      <c r="D961" t="s">
        <v>3735</v>
      </c>
      <c r="E961" t="s">
        <v>4827</v>
      </c>
      <c r="F961" t="s">
        <v>4741</v>
      </c>
      <c r="G961" t="s">
        <v>4881</v>
      </c>
      <c r="H961" s="6" t="s">
        <v>7636</v>
      </c>
    </row>
    <row r="962" spans="1:8" ht="136" x14ac:dyDescent="0.2">
      <c r="A962">
        <v>960</v>
      </c>
      <c r="B962" t="s">
        <v>1611</v>
      </c>
      <c r="C962" t="s">
        <v>3051</v>
      </c>
      <c r="D962" t="s">
        <v>3735</v>
      </c>
      <c r="E962" t="s">
        <v>4827</v>
      </c>
      <c r="F962" t="s">
        <v>4741</v>
      </c>
      <c r="G962" t="s">
        <v>4882</v>
      </c>
      <c r="H962" s="6" t="s">
        <v>7637</v>
      </c>
    </row>
    <row r="963" spans="1:8" ht="102" x14ac:dyDescent="0.2">
      <c r="A963">
        <v>961</v>
      </c>
      <c r="B963" t="s">
        <v>1611</v>
      </c>
      <c r="C963" t="s">
        <v>3051</v>
      </c>
      <c r="D963" t="s">
        <v>3735</v>
      </c>
      <c r="E963" t="s">
        <v>4827</v>
      </c>
      <c r="F963" t="s">
        <v>4741</v>
      </c>
      <c r="G963" t="s">
        <v>4883</v>
      </c>
      <c r="H963" s="6" t="s">
        <v>7638</v>
      </c>
    </row>
    <row r="964" spans="1:8" ht="153" x14ac:dyDescent="0.2">
      <c r="A964">
        <v>962</v>
      </c>
      <c r="B964" t="s">
        <v>1611</v>
      </c>
      <c r="C964" t="s">
        <v>3051</v>
      </c>
      <c r="D964" t="s">
        <v>3735</v>
      </c>
      <c r="E964" t="s">
        <v>4827</v>
      </c>
      <c r="F964" t="s">
        <v>4741</v>
      </c>
      <c r="G964" t="s">
        <v>4884</v>
      </c>
      <c r="H964" s="6" t="s">
        <v>7639</v>
      </c>
    </row>
    <row r="965" spans="1:8" ht="153" x14ac:dyDescent="0.2">
      <c r="A965">
        <v>963</v>
      </c>
      <c r="B965" t="s">
        <v>1611</v>
      </c>
      <c r="C965" t="s">
        <v>3051</v>
      </c>
      <c r="D965" t="s">
        <v>3735</v>
      </c>
      <c r="E965" t="s">
        <v>4827</v>
      </c>
      <c r="F965" t="s">
        <v>4741</v>
      </c>
      <c r="G965" t="s">
        <v>4885</v>
      </c>
      <c r="H965" s="6" t="s">
        <v>7640</v>
      </c>
    </row>
    <row r="966" spans="1:8" ht="85" x14ac:dyDescent="0.2">
      <c r="A966">
        <v>964</v>
      </c>
      <c r="B966" t="s">
        <v>1611</v>
      </c>
      <c r="C966" t="s">
        <v>3051</v>
      </c>
      <c r="D966" t="s">
        <v>3735</v>
      </c>
      <c r="E966" t="s">
        <v>4827</v>
      </c>
      <c r="F966" t="s">
        <v>4741</v>
      </c>
      <c r="G966" t="s">
        <v>4886</v>
      </c>
      <c r="H966" s="6" t="s">
        <v>7641</v>
      </c>
    </row>
    <row r="967" spans="1:8" ht="170" x14ac:dyDescent="0.2">
      <c r="A967">
        <v>965</v>
      </c>
      <c r="B967" t="s">
        <v>1611</v>
      </c>
      <c r="C967" t="s">
        <v>3051</v>
      </c>
      <c r="D967" t="s">
        <v>3735</v>
      </c>
      <c r="E967" t="s">
        <v>4827</v>
      </c>
      <c r="F967" t="s">
        <v>4741</v>
      </c>
      <c r="G967" t="s">
        <v>4887</v>
      </c>
      <c r="H967" s="6" t="s">
        <v>7642</v>
      </c>
    </row>
    <row r="968" spans="1:8" ht="187" x14ac:dyDescent="0.2">
      <c r="A968">
        <v>966</v>
      </c>
      <c r="B968" t="s">
        <v>1611</v>
      </c>
      <c r="C968" t="s">
        <v>3051</v>
      </c>
      <c r="D968" t="s">
        <v>3735</v>
      </c>
      <c r="E968" t="s">
        <v>4827</v>
      </c>
      <c r="F968" t="s">
        <v>4741</v>
      </c>
      <c r="G968" t="s">
        <v>4888</v>
      </c>
      <c r="H968" s="6" t="s">
        <v>7643</v>
      </c>
    </row>
    <row r="969" spans="1:8" ht="119" x14ac:dyDescent="0.2">
      <c r="A969">
        <v>967</v>
      </c>
      <c r="B969" t="s">
        <v>1611</v>
      </c>
      <c r="C969" t="s">
        <v>3051</v>
      </c>
      <c r="D969" t="s">
        <v>3735</v>
      </c>
      <c r="E969" t="s">
        <v>4827</v>
      </c>
      <c r="F969" t="s">
        <v>4741</v>
      </c>
      <c r="G969" t="s">
        <v>4889</v>
      </c>
      <c r="H969" s="6" t="s">
        <v>7644</v>
      </c>
    </row>
    <row r="970" spans="1:8" ht="136" x14ac:dyDescent="0.2">
      <c r="A970">
        <v>968</v>
      </c>
      <c r="B970" t="s">
        <v>1611</v>
      </c>
      <c r="C970" t="s">
        <v>3051</v>
      </c>
      <c r="D970" t="s">
        <v>3735</v>
      </c>
      <c r="E970" t="s">
        <v>4827</v>
      </c>
      <c r="F970" t="s">
        <v>4741</v>
      </c>
      <c r="G970" t="s">
        <v>4890</v>
      </c>
      <c r="H970" s="6" t="s">
        <v>7645</v>
      </c>
    </row>
    <row r="971" spans="1:8" ht="85" x14ac:dyDescent="0.2">
      <c r="A971">
        <v>969</v>
      </c>
      <c r="B971" t="s">
        <v>1611</v>
      </c>
      <c r="C971" t="s">
        <v>3051</v>
      </c>
      <c r="D971" t="s">
        <v>3735</v>
      </c>
      <c r="E971" t="s">
        <v>4827</v>
      </c>
      <c r="F971" t="s">
        <v>4741</v>
      </c>
      <c r="G971" t="s">
        <v>4891</v>
      </c>
      <c r="H971" s="6" t="s">
        <v>7646</v>
      </c>
    </row>
    <row r="972" spans="1:8" ht="102" x14ac:dyDescent="0.2">
      <c r="A972">
        <v>970</v>
      </c>
      <c r="B972" t="s">
        <v>1611</v>
      </c>
      <c r="C972" t="s">
        <v>3051</v>
      </c>
      <c r="D972" t="s">
        <v>3735</v>
      </c>
      <c r="E972" t="s">
        <v>4827</v>
      </c>
      <c r="F972" t="s">
        <v>4741</v>
      </c>
      <c r="G972" t="s">
        <v>4892</v>
      </c>
      <c r="H972" s="6" t="s">
        <v>7647</v>
      </c>
    </row>
    <row r="973" spans="1:8" ht="119" x14ac:dyDescent="0.2">
      <c r="A973">
        <v>971</v>
      </c>
      <c r="B973" t="s">
        <v>1611</v>
      </c>
      <c r="C973" t="s">
        <v>3051</v>
      </c>
      <c r="D973" t="s">
        <v>3735</v>
      </c>
      <c r="E973" t="s">
        <v>4827</v>
      </c>
      <c r="F973" t="s">
        <v>4741</v>
      </c>
      <c r="G973" t="s">
        <v>4893</v>
      </c>
      <c r="H973" s="6" t="s">
        <v>7648</v>
      </c>
    </row>
    <row r="974" spans="1:8" ht="119" x14ac:dyDescent="0.2">
      <c r="A974">
        <v>972</v>
      </c>
      <c r="B974" t="s">
        <v>1611</v>
      </c>
      <c r="C974" t="s">
        <v>3051</v>
      </c>
      <c r="D974" t="s">
        <v>3735</v>
      </c>
      <c r="E974" t="s">
        <v>4827</v>
      </c>
      <c r="F974" t="s">
        <v>4741</v>
      </c>
      <c r="G974" t="s">
        <v>4894</v>
      </c>
      <c r="H974" s="6" t="s">
        <v>7649</v>
      </c>
    </row>
    <row r="975" spans="1:8" ht="170" x14ac:dyDescent="0.2">
      <c r="A975">
        <v>973</v>
      </c>
      <c r="B975" t="s">
        <v>1611</v>
      </c>
      <c r="C975" t="s">
        <v>3051</v>
      </c>
      <c r="D975" t="s">
        <v>3735</v>
      </c>
      <c r="E975" t="s">
        <v>4827</v>
      </c>
      <c r="F975" t="s">
        <v>4741</v>
      </c>
      <c r="G975" t="s">
        <v>4895</v>
      </c>
      <c r="H975" s="6" t="s">
        <v>7650</v>
      </c>
    </row>
    <row r="976" spans="1:8" ht="102" x14ac:dyDescent="0.2">
      <c r="A976">
        <v>974</v>
      </c>
      <c r="B976" t="s">
        <v>1611</v>
      </c>
      <c r="C976" t="s">
        <v>3051</v>
      </c>
      <c r="D976" t="s">
        <v>3735</v>
      </c>
      <c r="E976" t="s">
        <v>4827</v>
      </c>
      <c r="F976" t="s">
        <v>4741</v>
      </c>
      <c r="G976" t="s">
        <v>4896</v>
      </c>
      <c r="H976" s="6" t="s">
        <v>7651</v>
      </c>
    </row>
    <row r="977" spans="1:8" ht="136" x14ac:dyDescent="0.2">
      <c r="A977">
        <v>975</v>
      </c>
      <c r="B977" t="s">
        <v>1611</v>
      </c>
      <c r="C977" t="s">
        <v>3051</v>
      </c>
      <c r="D977" t="s">
        <v>3735</v>
      </c>
      <c r="E977" t="s">
        <v>4827</v>
      </c>
      <c r="F977" t="s">
        <v>4741</v>
      </c>
      <c r="G977" t="s">
        <v>4897</v>
      </c>
      <c r="H977" s="6" t="s">
        <v>7652</v>
      </c>
    </row>
    <row r="978" spans="1:8" ht="119" x14ac:dyDescent="0.2">
      <c r="A978">
        <v>976</v>
      </c>
      <c r="B978" t="s">
        <v>1611</v>
      </c>
      <c r="C978" t="s">
        <v>3051</v>
      </c>
      <c r="D978" t="s">
        <v>3735</v>
      </c>
      <c r="E978" t="s">
        <v>4827</v>
      </c>
      <c r="F978" t="s">
        <v>4741</v>
      </c>
      <c r="G978" t="s">
        <v>4898</v>
      </c>
      <c r="H978" s="6" t="s">
        <v>7653</v>
      </c>
    </row>
    <row r="979" spans="1:8" ht="85" x14ac:dyDescent="0.2">
      <c r="A979">
        <v>977</v>
      </c>
      <c r="B979" t="s">
        <v>1611</v>
      </c>
      <c r="C979" t="s">
        <v>3051</v>
      </c>
      <c r="D979" t="s">
        <v>3735</v>
      </c>
      <c r="E979" t="s">
        <v>4827</v>
      </c>
      <c r="F979" t="s">
        <v>4741</v>
      </c>
      <c r="G979" t="s">
        <v>4899</v>
      </c>
      <c r="H979" s="6" t="s">
        <v>7654</v>
      </c>
    </row>
    <row r="980" spans="1:8" ht="85" x14ac:dyDescent="0.2">
      <c r="A980">
        <v>978</v>
      </c>
      <c r="B980" t="s">
        <v>1611</v>
      </c>
      <c r="C980" t="s">
        <v>3051</v>
      </c>
      <c r="D980" t="s">
        <v>3735</v>
      </c>
      <c r="E980" t="s">
        <v>4827</v>
      </c>
      <c r="F980" t="s">
        <v>4741</v>
      </c>
      <c r="G980" t="s">
        <v>4900</v>
      </c>
      <c r="H980" s="6" t="s">
        <v>7655</v>
      </c>
    </row>
    <row r="981" spans="1:8" ht="102" x14ac:dyDescent="0.2">
      <c r="A981">
        <v>979</v>
      </c>
      <c r="B981" t="s">
        <v>1611</v>
      </c>
      <c r="C981" t="s">
        <v>3051</v>
      </c>
      <c r="D981" t="s">
        <v>3735</v>
      </c>
      <c r="E981" t="s">
        <v>4827</v>
      </c>
      <c r="F981" t="s">
        <v>4741</v>
      </c>
      <c r="G981" t="s">
        <v>4901</v>
      </c>
      <c r="H981" s="6" t="s">
        <v>7656</v>
      </c>
    </row>
    <row r="982" spans="1:8" ht="153" x14ac:dyDescent="0.2">
      <c r="A982">
        <v>980</v>
      </c>
      <c r="B982" t="s">
        <v>1611</v>
      </c>
      <c r="C982" t="s">
        <v>3051</v>
      </c>
      <c r="D982" t="s">
        <v>3735</v>
      </c>
      <c r="E982" t="s">
        <v>4827</v>
      </c>
      <c r="F982" t="s">
        <v>4741</v>
      </c>
      <c r="G982" t="s">
        <v>4902</v>
      </c>
      <c r="H982" s="6" t="s">
        <v>7657</v>
      </c>
    </row>
    <row r="983" spans="1:8" ht="153" x14ac:dyDescent="0.2">
      <c r="A983">
        <v>981</v>
      </c>
      <c r="B983" t="s">
        <v>1611</v>
      </c>
      <c r="C983" t="s">
        <v>3051</v>
      </c>
      <c r="D983" t="s">
        <v>3735</v>
      </c>
      <c r="E983" t="s">
        <v>4827</v>
      </c>
      <c r="F983" t="s">
        <v>4741</v>
      </c>
      <c r="G983" t="s">
        <v>4903</v>
      </c>
      <c r="H983" s="6" t="s">
        <v>7658</v>
      </c>
    </row>
    <row r="984" spans="1:8" ht="153" x14ac:dyDescent="0.2">
      <c r="A984">
        <v>982</v>
      </c>
      <c r="B984" t="s">
        <v>1611</v>
      </c>
      <c r="C984" t="s">
        <v>3051</v>
      </c>
      <c r="D984" t="s">
        <v>3735</v>
      </c>
      <c r="E984" t="s">
        <v>4827</v>
      </c>
      <c r="F984" t="s">
        <v>4741</v>
      </c>
      <c r="G984" t="s">
        <v>4904</v>
      </c>
      <c r="H984" s="6" t="s">
        <v>7659</v>
      </c>
    </row>
    <row r="985" spans="1:8" ht="119" x14ac:dyDescent="0.2">
      <c r="A985">
        <v>983</v>
      </c>
      <c r="B985" t="s">
        <v>1611</v>
      </c>
      <c r="C985" t="s">
        <v>3051</v>
      </c>
      <c r="D985" t="s">
        <v>3735</v>
      </c>
      <c r="E985" t="s">
        <v>4827</v>
      </c>
      <c r="F985" t="s">
        <v>4741</v>
      </c>
      <c r="G985" t="s">
        <v>4905</v>
      </c>
      <c r="H985" s="6" t="s">
        <v>7660</v>
      </c>
    </row>
    <row r="986" spans="1:8" ht="85" x14ac:dyDescent="0.2">
      <c r="A986">
        <v>984</v>
      </c>
      <c r="B986" t="s">
        <v>1611</v>
      </c>
      <c r="C986" t="s">
        <v>3051</v>
      </c>
      <c r="D986" t="s">
        <v>3735</v>
      </c>
      <c r="E986" t="s">
        <v>4827</v>
      </c>
      <c r="F986" t="s">
        <v>4741</v>
      </c>
      <c r="G986" t="s">
        <v>4906</v>
      </c>
      <c r="H986" s="6" t="s">
        <v>7661</v>
      </c>
    </row>
    <row r="987" spans="1:8" ht="85" x14ac:dyDescent="0.2">
      <c r="A987">
        <v>985</v>
      </c>
      <c r="B987" t="s">
        <v>1611</v>
      </c>
      <c r="C987" t="s">
        <v>3051</v>
      </c>
      <c r="D987" t="s">
        <v>3735</v>
      </c>
      <c r="E987" t="s">
        <v>4827</v>
      </c>
      <c r="F987" t="s">
        <v>4741</v>
      </c>
      <c r="G987" t="s">
        <v>4907</v>
      </c>
      <c r="H987" s="6" t="s">
        <v>7662</v>
      </c>
    </row>
    <row r="988" spans="1:8" ht="119" x14ac:dyDescent="0.2">
      <c r="A988">
        <v>986</v>
      </c>
      <c r="B988" t="s">
        <v>1611</v>
      </c>
      <c r="C988" t="s">
        <v>3051</v>
      </c>
      <c r="D988" t="s">
        <v>3735</v>
      </c>
      <c r="E988" t="s">
        <v>4827</v>
      </c>
      <c r="F988" t="s">
        <v>4741</v>
      </c>
      <c r="G988" t="s">
        <v>4908</v>
      </c>
      <c r="H988" s="6" t="s">
        <v>7663</v>
      </c>
    </row>
    <row r="989" spans="1:8" ht="170" x14ac:dyDescent="0.2">
      <c r="A989">
        <v>987</v>
      </c>
      <c r="B989" t="s">
        <v>1611</v>
      </c>
      <c r="C989" t="s">
        <v>3051</v>
      </c>
      <c r="D989" t="s">
        <v>3735</v>
      </c>
      <c r="E989" t="s">
        <v>4827</v>
      </c>
      <c r="F989" t="s">
        <v>4741</v>
      </c>
      <c r="G989" t="s">
        <v>4909</v>
      </c>
      <c r="H989" s="6" t="s">
        <v>7664</v>
      </c>
    </row>
    <row r="990" spans="1:8" ht="153" x14ac:dyDescent="0.2">
      <c r="A990">
        <v>988</v>
      </c>
      <c r="B990" t="s">
        <v>1611</v>
      </c>
      <c r="C990" t="s">
        <v>3051</v>
      </c>
      <c r="D990" t="s">
        <v>3735</v>
      </c>
      <c r="E990" t="s">
        <v>4827</v>
      </c>
      <c r="F990" t="s">
        <v>4741</v>
      </c>
      <c r="G990" t="s">
        <v>4910</v>
      </c>
      <c r="H990" s="6" t="s">
        <v>7665</v>
      </c>
    </row>
    <row r="991" spans="1:8" ht="204" x14ac:dyDescent="0.2">
      <c r="A991">
        <v>989</v>
      </c>
      <c r="B991" t="s">
        <v>1611</v>
      </c>
      <c r="C991" t="s">
        <v>3051</v>
      </c>
      <c r="D991" t="s">
        <v>3735</v>
      </c>
      <c r="E991" t="s">
        <v>4827</v>
      </c>
      <c r="F991" t="s">
        <v>4741</v>
      </c>
      <c r="G991" t="s">
        <v>4911</v>
      </c>
      <c r="H991" s="6" t="s">
        <v>7666</v>
      </c>
    </row>
    <row r="992" spans="1:8" ht="85" x14ac:dyDescent="0.2">
      <c r="A992">
        <v>990</v>
      </c>
      <c r="B992" t="s">
        <v>1611</v>
      </c>
      <c r="C992" t="s">
        <v>3051</v>
      </c>
      <c r="D992" t="s">
        <v>3735</v>
      </c>
      <c r="E992" t="s">
        <v>4827</v>
      </c>
      <c r="F992" t="s">
        <v>4741</v>
      </c>
      <c r="G992" t="s">
        <v>4912</v>
      </c>
      <c r="H992" s="6" t="s">
        <v>7667</v>
      </c>
    </row>
    <row r="993" spans="1:8" ht="153" x14ac:dyDescent="0.2">
      <c r="A993">
        <v>991</v>
      </c>
      <c r="B993" t="s">
        <v>1611</v>
      </c>
      <c r="C993" t="s">
        <v>3051</v>
      </c>
      <c r="D993" t="s">
        <v>3735</v>
      </c>
      <c r="E993" t="s">
        <v>4827</v>
      </c>
      <c r="F993" t="s">
        <v>4741</v>
      </c>
      <c r="G993" t="s">
        <v>4913</v>
      </c>
      <c r="H993" s="6" t="s">
        <v>7668</v>
      </c>
    </row>
    <row r="994" spans="1:8" ht="85" x14ac:dyDescent="0.2">
      <c r="A994">
        <v>992</v>
      </c>
      <c r="B994" t="s">
        <v>1611</v>
      </c>
      <c r="C994" t="s">
        <v>3051</v>
      </c>
      <c r="D994" t="s">
        <v>3735</v>
      </c>
      <c r="E994" t="s">
        <v>4827</v>
      </c>
      <c r="F994" t="s">
        <v>4741</v>
      </c>
      <c r="G994" t="s">
        <v>4914</v>
      </c>
      <c r="H994" s="6" t="s">
        <v>7669</v>
      </c>
    </row>
    <row r="995" spans="1:8" ht="85" x14ac:dyDescent="0.2">
      <c r="A995">
        <v>993</v>
      </c>
      <c r="B995" t="s">
        <v>1611</v>
      </c>
      <c r="C995" t="s">
        <v>3051</v>
      </c>
      <c r="D995" t="s">
        <v>3735</v>
      </c>
      <c r="E995" t="s">
        <v>4827</v>
      </c>
      <c r="F995" t="s">
        <v>4741</v>
      </c>
      <c r="G995" t="s">
        <v>4915</v>
      </c>
      <c r="H995" s="6" t="s">
        <v>7670</v>
      </c>
    </row>
    <row r="996" spans="1:8" ht="102" x14ac:dyDescent="0.2">
      <c r="A996">
        <v>994</v>
      </c>
      <c r="B996" t="s">
        <v>1611</v>
      </c>
      <c r="C996" t="s">
        <v>3051</v>
      </c>
      <c r="D996" t="s">
        <v>3735</v>
      </c>
      <c r="E996" t="s">
        <v>4827</v>
      </c>
      <c r="F996" t="s">
        <v>4741</v>
      </c>
      <c r="G996" t="s">
        <v>4916</v>
      </c>
      <c r="H996" s="6" t="s">
        <v>7671</v>
      </c>
    </row>
    <row r="997" spans="1:8" ht="119" x14ac:dyDescent="0.2">
      <c r="A997">
        <v>995</v>
      </c>
      <c r="B997" t="s">
        <v>1611</v>
      </c>
      <c r="C997" t="s">
        <v>3051</v>
      </c>
      <c r="D997" t="s">
        <v>3735</v>
      </c>
      <c r="E997" t="s">
        <v>4827</v>
      </c>
      <c r="F997" t="s">
        <v>4741</v>
      </c>
      <c r="G997" t="s">
        <v>4917</v>
      </c>
      <c r="H997" s="6" t="s">
        <v>7672</v>
      </c>
    </row>
    <row r="998" spans="1:8" ht="119" x14ac:dyDescent="0.2">
      <c r="A998">
        <v>996</v>
      </c>
      <c r="B998" t="s">
        <v>1611</v>
      </c>
      <c r="C998" t="s">
        <v>3051</v>
      </c>
      <c r="D998" t="s">
        <v>3735</v>
      </c>
      <c r="E998" t="s">
        <v>4827</v>
      </c>
      <c r="F998" t="s">
        <v>4741</v>
      </c>
      <c r="G998" t="s">
        <v>4918</v>
      </c>
      <c r="H998" s="6" t="s">
        <v>7524</v>
      </c>
    </row>
    <row r="999" spans="1:8" ht="119" x14ac:dyDescent="0.2">
      <c r="A999">
        <v>997</v>
      </c>
      <c r="B999" t="s">
        <v>1611</v>
      </c>
      <c r="C999" t="s">
        <v>3051</v>
      </c>
      <c r="D999" t="s">
        <v>3735</v>
      </c>
      <c r="E999" t="s">
        <v>4827</v>
      </c>
      <c r="F999" t="s">
        <v>4741</v>
      </c>
      <c r="G999" t="s">
        <v>4919</v>
      </c>
      <c r="H999" s="6" t="s">
        <v>7673</v>
      </c>
    </row>
    <row r="1000" spans="1:8" ht="119" x14ac:dyDescent="0.2">
      <c r="A1000">
        <v>998</v>
      </c>
      <c r="B1000" t="s">
        <v>1611</v>
      </c>
      <c r="C1000" t="s">
        <v>3051</v>
      </c>
      <c r="D1000" t="s">
        <v>3735</v>
      </c>
      <c r="E1000" t="s">
        <v>4827</v>
      </c>
      <c r="F1000" t="s">
        <v>4741</v>
      </c>
      <c r="G1000" t="s">
        <v>4920</v>
      </c>
      <c r="H1000" s="6" t="s">
        <v>7674</v>
      </c>
    </row>
    <row r="1001" spans="1:8" ht="272" x14ac:dyDescent="0.2">
      <c r="A1001">
        <v>999</v>
      </c>
      <c r="B1001" t="s">
        <v>1611</v>
      </c>
      <c r="C1001" t="s">
        <v>3051</v>
      </c>
      <c r="D1001" t="s">
        <v>3735</v>
      </c>
      <c r="E1001" t="s">
        <v>4921</v>
      </c>
      <c r="F1001" t="s">
        <v>4367</v>
      </c>
      <c r="G1001" t="s">
        <v>4922</v>
      </c>
      <c r="H1001" s="6" t="s">
        <v>7675</v>
      </c>
    </row>
    <row r="1002" spans="1:8" ht="85" x14ac:dyDescent="0.2">
      <c r="A1002">
        <v>1000</v>
      </c>
      <c r="B1002" t="s">
        <v>1611</v>
      </c>
      <c r="C1002" t="s">
        <v>3051</v>
      </c>
      <c r="D1002" t="s">
        <v>3735</v>
      </c>
      <c r="E1002" t="s">
        <v>4921</v>
      </c>
      <c r="F1002" t="s">
        <v>4367</v>
      </c>
      <c r="G1002" t="s">
        <v>4923</v>
      </c>
      <c r="H1002" s="6" t="s">
        <v>7676</v>
      </c>
    </row>
    <row r="1003" spans="1:8" ht="85" x14ac:dyDescent="0.2">
      <c r="A1003">
        <v>1001</v>
      </c>
      <c r="B1003" t="s">
        <v>1611</v>
      </c>
      <c r="C1003" t="s">
        <v>3051</v>
      </c>
      <c r="D1003" t="s">
        <v>3735</v>
      </c>
      <c r="E1003" t="s">
        <v>4921</v>
      </c>
      <c r="F1003" t="s">
        <v>4367</v>
      </c>
      <c r="G1003" t="s">
        <v>4924</v>
      </c>
      <c r="H1003" s="6" t="s">
        <v>7677</v>
      </c>
    </row>
    <row r="1004" spans="1:8" ht="85" x14ac:dyDescent="0.2">
      <c r="A1004">
        <v>1002</v>
      </c>
      <c r="B1004" t="s">
        <v>1611</v>
      </c>
      <c r="C1004" t="s">
        <v>3051</v>
      </c>
      <c r="D1004" t="s">
        <v>3735</v>
      </c>
      <c r="E1004" t="s">
        <v>4921</v>
      </c>
      <c r="F1004" t="s">
        <v>4367</v>
      </c>
      <c r="G1004" t="s">
        <v>4925</v>
      </c>
      <c r="H1004" s="6" t="s">
        <v>7678</v>
      </c>
    </row>
    <row r="1005" spans="1:8" ht="85" x14ac:dyDescent="0.2">
      <c r="A1005">
        <v>1003</v>
      </c>
      <c r="B1005" t="s">
        <v>1611</v>
      </c>
      <c r="C1005" t="s">
        <v>3051</v>
      </c>
      <c r="D1005" t="s">
        <v>3735</v>
      </c>
      <c r="E1005" t="s">
        <v>4921</v>
      </c>
      <c r="F1005" t="s">
        <v>4367</v>
      </c>
      <c r="G1005" t="s">
        <v>4926</v>
      </c>
      <c r="H1005" s="6" t="s">
        <v>7679</v>
      </c>
    </row>
    <row r="1006" spans="1:8" ht="102" x14ac:dyDescent="0.2">
      <c r="A1006">
        <v>1004</v>
      </c>
      <c r="B1006" t="s">
        <v>1611</v>
      </c>
      <c r="C1006" t="s">
        <v>3051</v>
      </c>
      <c r="D1006" t="s">
        <v>3735</v>
      </c>
      <c r="E1006" t="s">
        <v>4921</v>
      </c>
      <c r="F1006" t="s">
        <v>4367</v>
      </c>
      <c r="G1006" t="s">
        <v>4927</v>
      </c>
      <c r="H1006" s="6" t="s">
        <v>7680</v>
      </c>
    </row>
    <row r="1007" spans="1:8" ht="119" x14ac:dyDescent="0.2">
      <c r="A1007">
        <v>1005</v>
      </c>
      <c r="B1007" t="s">
        <v>1611</v>
      </c>
      <c r="C1007" t="s">
        <v>3051</v>
      </c>
      <c r="D1007" t="s">
        <v>3735</v>
      </c>
      <c r="E1007" t="s">
        <v>4921</v>
      </c>
      <c r="F1007" t="s">
        <v>4367</v>
      </c>
      <c r="G1007" t="s">
        <v>4928</v>
      </c>
      <c r="H1007" s="6" t="s">
        <v>7681</v>
      </c>
    </row>
    <row r="1008" spans="1:8" ht="238" x14ac:dyDescent="0.2">
      <c r="A1008">
        <v>1006</v>
      </c>
      <c r="B1008" t="s">
        <v>1611</v>
      </c>
      <c r="C1008" t="s">
        <v>3051</v>
      </c>
      <c r="D1008" t="s">
        <v>3735</v>
      </c>
      <c r="E1008" t="s">
        <v>4921</v>
      </c>
      <c r="F1008" t="s">
        <v>4367</v>
      </c>
      <c r="G1008" t="s">
        <v>4929</v>
      </c>
      <c r="H1008" s="6" t="s">
        <v>7682</v>
      </c>
    </row>
    <row r="1009" spans="1:8" ht="102" x14ac:dyDescent="0.2">
      <c r="A1009">
        <v>1007</v>
      </c>
      <c r="B1009" t="s">
        <v>1611</v>
      </c>
      <c r="C1009" t="s">
        <v>3051</v>
      </c>
      <c r="D1009" t="s">
        <v>3735</v>
      </c>
      <c r="E1009" t="s">
        <v>4921</v>
      </c>
      <c r="F1009" t="s">
        <v>4367</v>
      </c>
      <c r="G1009" t="s">
        <v>4930</v>
      </c>
      <c r="H1009" s="6" t="s">
        <v>7683</v>
      </c>
    </row>
    <row r="1010" spans="1:8" ht="102" x14ac:dyDescent="0.2">
      <c r="A1010">
        <v>1008</v>
      </c>
      <c r="B1010" t="s">
        <v>1611</v>
      </c>
      <c r="C1010" t="s">
        <v>3051</v>
      </c>
      <c r="D1010" t="s">
        <v>3735</v>
      </c>
      <c r="E1010" t="s">
        <v>4921</v>
      </c>
      <c r="F1010" t="s">
        <v>4367</v>
      </c>
      <c r="G1010" t="s">
        <v>4931</v>
      </c>
      <c r="H1010" s="6" t="s">
        <v>7684</v>
      </c>
    </row>
    <row r="1011" spans="1:8" ht="204" x14ac:dyDescent="0.2">
      <c r="A1011">
        <v>1009</v>
      </c>
      <c r="B1011" t="s">
        <v>1611</v>
      </c>
      <c r="C1011" t="s">
        <v>3051</v>
      </c>
      <c r="D1011" t="s">
        <v>3735</v>
      </c>
      <c r="E1011" t="s">
        <v>4921</v>
      </c>
      <c r="F1011" t="s">
        <v>4367</v>
      </c>
      <c r="G1011" t="s">
        <v>4932</v>
      </c>
      <c r="H1011" s="6" t="s">
        <v>7685</v>
      </c>
    </row>
    <row r="1012" spans="1:8" ht="136" x14ac:dyDescent="0.2">
      <c r="A1012">
        <v>1010</v>
      </c>
      <c r="B1012" t="s">
        <v>1611</v>
      </c>
      <c r="C1012" t="s">
        <v>3051</v>
      </c>
      <c r="D1012" t="s">
        <v>3735</v>
      </c>
      <c r="E1012" t="s">
        <v>4921</v>
      </c>
      <c r="F1012" t="s">
        <v>4367</v>
      </c>
      <c r="G1012" t="s">
        <v>4933</v>
      </c>
      <c r="H1012" s="6" t="s">
        <v>7686</v>
      </c>
    </row>
    <row r="1013" spans="1:8" ht="102" x14ac:dyDescent="0.2">
      <c r="A1013">
        <v>1011</v>
      </c>
      <c r="B1013" t="s">
        <v>1611</v>
      </c>
      <c r="C1013" t="s">
        <v>3051</v>
      </c>
      <c r="D1013" t="s">
        <v>3735</v>
      </c>
      <c r="E1013" t="s">
        <v>4921</v>
      </c>
      <c r="F1013" t="s">
        <v>4367</v>
      </c>
      <c r="G1013" t="s">
        <v>4934</v>
      </c>
      <c r="H1013" s="6" t="s">
        <v>7687</v>
      </c>
    </row>
    <row r="1014" spans="1:8" ht="85" x14ac:dyDescent="0.2">
      <c r="A1014">
        <v>1012</v>
      </c>
      <c r="B1014" t="s">
        <v>1611</v>
      </c>
      <c r="C1014" t="s">
        <v>3051</v>
      </c>
      <c r="D1014" t="s">
        <v>3735</v>
      </c>
      <c r="E1014" t="s">
        <v>4921</v>
      </c>
      <c r="F1014" t="s">
        <v>4367</v>
      </c>
      <c r="G1014" t="s">
        <v>4935</v>
      </c>
      <c r="H1014" s="6" t="s">
        <v>7688</v>
      </c>
    </row>
    <row r="1015" spans="1:8" ht="119" x14ac:dyDescent="0.2">
      <c r="A1015">
        <v>1013</v>
      </c>
      <c r="B1015" t="s">
        <v>1611</v>
      </c>
      <c r="C1015" t="s">
        <v>3051</v>
      </c>
      <c r="D1015" t="s">
        <v>3735</v>
      </c>
      <c r="E1015" t="s">
        <v>4921</v>
      </c>
      <c r="F1015" t="s">
        <v>4367</v>
      </c>
      <c r="G1015" t="s">
        <v>4936</v>
      </c>
      <c r="H1015" s="6" t="s">
        <v>7554</v>
      </c>
    </row>
    <row r="1016" spans="1:8" ht="119" x14ac:dyDescent="0.2">
      <c r="A1016">
        <v>1014</v>
      </c>
      <c r="B1016" t="s">
        <v>1611</v>
      </c>
      <c r="C1016" t="s">
        <v>3051</v>
      </c>
      <c r="D1016" t="s">
        <v>3735</v>
      </c>
      <c r="E1016" t="s">
        <v>4921</v>
      </c>
      <c r="F1016" t="s">
        <v>4367</v>
      </c>
      <c r="G1016" t="s">
        <v>4937</v>
      </c>
      <c r="H1016" s="6" t="s">
        <v>7555</v>
      </c>
    </row>
    <row r="1017" spans="1:8" ht="119" x14ac:dyDescent="0.2">
      <c r="A1017">
        <v>1015</v>
      </c>
      <c r="B1017" t="s">
        <v>1611</v>
      </c>
      <c r="C1017" t="s">
        <v>3051</v>
      </c>
      <c r="D1017" t="s">
        <v>3735</v>
      </c>
      <c r="E1017" t="s">
        <v>4921</v>
      </c>
      <c r="F1017" t="s">
        <v>4367</v>
      </c>
      <c r="G1017" t="s">
        <v>4938</v>
      </c>
      <c r="H1017" s="6" t="s">
        <v>7689</v>
      </c>
    </row>
    <row r="1018" spans="1:8" ht="85" x14ac:dyDescent="0.2">
      <c r="A1018">
        <v>1016</v>
      </c>
      <c r="B1018" t="s">
        <v>1611</v>
      </c>
      <c r="C1018" t="s">
        <v>3051</v>
      </c>
      <c r="D1018" t="s">
        <v>3735</v>
      </c>
      <c r="E1018" t="s">
        <v>4921</v>
      </c>
      <c r="F1018" t="s">
        <v>4367</v>
      </c>
      <c r="G1018" t="s">
        <v>4939</v>
      </c>
      <c r="H1018" s="6" t="s">
        <v>7690</v>
      </c>
    </row>
    <row r="1019" spans="1:8" ht="85" x14ac:dyDescent="0.2">
      <c r="A1019">
        <v>1017</v>
      </c>
      <c r="B1019" t="s">
        <v>1611</v>
      </c>
      <c r="C1019" t="s">
        <v>3051</v>
      </c>
      <c r="D1019" t="s">
        <v>3735</v>
      </c>
      <c r="E1019" t="s">
        <v>4921</v>
      </c>
      <c r="F1019" t="s">
        <v>4367</v>
      </c>
      <c r="G1019" t="s">
        <v>4940</v>
      </c>
      <c r="H1019" s="6" t="s">
        <v>7691</v>
      </c>
    </row>
    <row r="1020" spans="1:8" ht="272" x14ac:dyDescent="0.2">
      <c r="A1020">
        <v>1018</v>
      </c>
      <c r="B1020" t="s">
        <v>1611</v>
      </c>
      <c r="C1020" t="s">
        <v>3051</v>
      </c>
      <c r="D1020" t="s">
        <v>3735</v>
      </c>
      <c r="E1020" t="s">
        <v>4921</v>
      </c>
      <c r="F1020" t="s">
        <v>4367</v>
      </c>
      <c r="G1020" t="s">
        <v>4941</v>
      </c>
      <c r="H1020" s="6" t="s">
        <v>7692</v>
      </c>
    </row>
    <row r="1021" spans="1:8" ht="187" x14ac:dyDescent="0.2">
      <c r="A1021">
        <v>1019</v>
      </c>
      <c r="B1021" t="s">
        <v>1611</v>
      </c>
      <c r="C1021" t="s">
        <v>3051</v>
      </c>
      <c r="D1021" t="s">
        <v>3735</v>
      </c>
      <c r="E1021" t="s">
        <v>4921</v>
      </c>
      <c r="F1021" t="s">
        <v>4367</v>
      </c>
      <c r="G1021" t="s">
        <v>4942</v>
      </c>
      <c r="H1021" s="6" t="s">
        <v>7693</v>
      </c>
    </row>
    <row r="1022" spans="1:8" ht="119" x14ac:dyDescent="0.2">
      <c r="A1022">
        <v>1020</v>
      </c>
      <c r="B1022" t="s">
        <v>1611</v>
      </c>
      <c r="C1022" t="s">
        <v>3051</v>
      </c>
      <c r="D1022" t="s">
        <v>3735</v>
      </c>
      <c r="E1022" t="s">
        <v>4921</v>
      </c>
      <c r="F1022" t="s">
        <v>4367</v>
      </c>
      <c r="G1022" t="s">
        <v>4943</v>
      </c>
      <c r="H1022" s="6" t="s">
        <v>7694</v>
      </c>
    </row>
    <row r="1023" spans="1:8" ht="85" x14ac:dyDescent="0.2">
      <c r="A1023">
        <v>1021</v>
      </c>
      <c r="B1023" t="s">
        <v>1611</v>
      </c>
      <c r="C1023" t="s">
        <v>3051</v>
      </c>
      <c r="D1023" t="s">
        <v>3735</v>
      </c>
      <c r="E1023" t="s">
        <v>4921</v>
      </c>
      <c r="F1023" t="s">
        <v>4367</v>
      </c>
      <c r="G1023" t="s">
        <v>4944</v>
      </c>
      <c r="H1023" s="6" t="s">
        <v>7695</v>
      </c>
    </row>
    <row r="1024" spans="1:8" ht="238" x14ac:dyDescent="0.2">
      <c r="A1024">
        <v>1022</v>
      </c>
      <c r="B1024" t="s">
        <v>1611</v>
      </c>
      <c r="C1024" t="s">
        <v>3051</v>
      </c>
      <c r="D1024" t="s">
        <v>3735</v>
      </c>
      <c r="E1024" t="s">
        <v>4921</v>
      </c>
      <c r="F1024" t="s">
        <v>4367</v>
      </c>
      <c r="G1024" t="s">
        <v>4945</v>
      </c>
      <c r="H1024" s="6" t="s">
        <v>7696</v>
      </c>
    </row>
    <row r="1025" spans="1:8" ht="85" x14ac:dyDescent="0.2">
      <c r="A1025">
        <v>1023</v>
      </c>
      <c r="B1025" t="s">
        <v>1611</v>
      </c>
      <c r="C1025" t="s">
        <v>3051</v>
      </c>
      <c r="D1025" t="s">
        <v>3735</v>
      </c>
      <c r="E1025" t="s">
        <v>4921</v>
      </c>
      <c r="F1025" t="s">
        <v>4367</v>
      </c>
      <c r="G1025" t="s">
        <v>4946</v>
      </c>
      <c r="H1025" s="6" t="s">
        <v>7697</v>
      </c>
    </row>
    <row r="1026" spans="1:8" ht="102" x14ac:dyDescent="0.2">
      <c r="A1026">
        <v>1024</v>
      </c>
      <c r="B1026" t="s">
        <v>1611</v>
      </c>
      <c r="C1026" t="s">
        <v>3051</v>
      </c>
      <c r="D1026" t="s">
        <v>3735</v>
      </c>
      <c r="E1026" t="s">
        <v>4921</v>
      </c>
      <c r="F1026" t="s">
        <v>4367</v>
      </c>
      <c r="G1026" t="s">
        <v>4947</v>
      </c>
      <c r="H1026" s="6" t="s">
        <v>7698</v>
      </c>
    </row>
    <row r="1027" spans="1:8" ht="119" x14ac:dyDescent="0.2">
      <c r="A1027">
        <v>1025</v>
      </c>
      <c r="B1027" t="s">
        <v>1611</v>
      </c>
      <c r="C1027" t="s">
        <v>3051</v>
      </c>
      <c r="D1027" t="s">
        <v>3735</v>
      </c>
      <c r="E1027" t="s">
        <v>4921</v>
      </c>
      <c r="F1027" t="s">
        <v>4367</v>
      </c>
      <c r="G1027" t="s">
        <v>4948</v>
      </c>
      <c r="H1027" s="6" t="s">
        <v>7699</v>
      </c>
    </row>
    <row r="1028" spans="1:8" ht="102" x14ac:dyDescent="0.2">
      <c r="A1028">
        <v>1026</v>
      </c>
      <c r="B1028" t="s">
        <v>1611</v>
      </c>
      <c r="C1028" t="s">
        <v>3051</v>
      </c>
      <c r="D1028" t="s">
        <v>3735</v>
      </c>
      <c r="E1028" t="s">
        <v>4921</v>
      </c>
      <c r="F1028" t="s">
        <v>4367</v>
      </c>
      <c r="G1028" t="s">
        <v>4949</v>
      </c>
      <c r="H1028" s="6" t="s">
        <v>7700</v>
      </c>
    </row>
    <row r="1029" spans="1:8" ht="85" x14ac:dyDescent="0.2">
      <c r="A1029">
        <v>1027</v>
      </c>
      <c r="B1029" t="s">
        <v>1611</v>
      </c>
      <c r="C1029" t="s">
        <v>3051</v>
      </c>
      <c r="D1029" t="s">
        <v>3735</v>
      </c>
      <c r="E1029" t="s">
        <v>4921</v>
      </c>
      <c r="F1029" t="s">
        <v>4367</v>
      </c>
      <c r="G1029" t="s">
        <v>4950</v>
      </c>
      <c r="H1029" s="6" t="s">
        <v>7701</v>
      </c>
    </row>
    <row r="1030" spans="1:8" ht="306" x14ac:dyDescent="0.2">
      <c r="A1030">
        <v>1028</v>
      </c>
      <c r="B1030" t="s">
        <v>1611</v>
      </c>
      <c r="C1030" t="s">
        <v>3051</v>
      </c>
      <c r="D1030" t="s">
        <v>3735</v>
      </c>
      <c r="E1030" t="s">
        <v>4921</v>
      </c>
      <c r="F1030" t="s">
        <v>4367</v>
      </c>
      <c r="G1030" t="s">
        <v>4951</v>
      </c>
      <c r="H1030" s="6" t="s">
        <v>7702</v>
      </c>
    </row>
    <row r="1031" spans="1:8" ht="85" x14ac:dyDescent="0.2">
      <c r="A1031">
        <v>1029</v>
      </c>
      <c r="B1031" t="s">
        <v>1611</v>
      </c>
      <c r="C1031" t="s">
        <v>3051</v>
      </c>
      <c r="D1031" t="s">
        <v>3735</v>
      </c>
      <c r="E1031" t="s">
        <v>4921</v>
      </c>
      <c r="F1031" t="s">
        <v>4367</v>
      </c>
      <c r="G1031" t="s">
        <v>4952</v>
      </c>
      <c r="H1031" s="6" t="s">
        <v>7676</v>
      </c>
    </row>
    <row r="1032" spans="1:8" ht="102" x14ac:dyDescent="0.2">
      <c r="A1032">
        <v>1030</v>
      </c>
      <c r="B1032" t="s">
        <v>1611</v>
      </c>
      <c r="C1032" t="s">
        <v>3051</v>
      </c>
      <c r="D1032" t="s">
        <v>3735</v>
      </c>
      <c r="E1032" t="s">
        <v>4921</v>
      </c>
      <c r="F1032" t="s">
        <v>4367</v>
      </c>
      <c r="G1032" t="s">
        <v>4953</v>
      </c>
      <c r="H1032" s="6" t="s">
        <v>7703</v>
      </c>
    </row>
    <row r="1033" spans="1:8" ht="119" x14ac:dyDescent="0.2">
      <c r="A1033">
        <v>1031</v>
      </c>
      <c r="B1033" t="s">
        <v>1611</v>
      </c>
      <c r="C1033" t="s">
        <v>3051</v>
      </c>
      <c r="D1033" t="s">
        <v>3735</v>
      </c>
      <c r="E1033" t="s">
        <v>4921</v>
      </c>
      <c r="F1033" t="s">
        <v>4367</v>
      </c>
      <c r="G1033" t="s">
        <v>4954</v>
      </c>
      <c r="H1033" s="6" t="s">
        <v>7704</v>
      </c>
    </row>
    <row r="1034" spans="1:8" ht="119" x14ac:dyDescent="0.2">
      <c r="A1034">
        <v>1032</v>
      </c>
      <c r="B1034" t="s">
        <v>1611</v>
      </c>
      <c r="C1034" t="s">
        <v>3051</v>
      </c>
      <c r="D1034" t="s">
        <v>3735</v>
      </c>
      <c r="E1034" t="s">
        <v>4921</v>
      </c>
      <c r="F1034" t="s">
        <v>4367</v>
      </c>
      <c r="G1034" t="s">
        <v>4955</v>
      </c>
      <c r="H1034" s="6" t="s">
        <v>7705</v>
      </c>
    </row>
    <row r="1035" spans="1:8" ht="85" x14ac:dyDescent="0.2">
      <c r="A1035">
        <v>1033</v>
      </c>
      <c r="B1035" t="s">
        <v>1611</v>
      </c>
      <c r="C1035" t="s">
        <v>3051</v>
      </c>
      <c r="D1035" t="s">
        <v>3735</v>
      </c>
      <c r="E1035" t="s">
        <v>4921</v>
      </c>
      <c r="F1035" t="s">
        <v>4367</v>
      </c>
      <c r="G1035" t="s">
        <v>4956</v>
      </c>
      <c r="H1035" s="6" t="s">
        <v>7706</v>
      </c>
    </row>
    <row r="1036" spans="1:8" ht="85" x14ac:dyDescent="0.2">
      <c r="A1036">
        <v>1034</v>
      </c>
      <c r="B1036" t="s">
        <v>1611</v>
      </c>
      <c r="C1036" t="s">
        <v>3051</v>
      </c>
      <c r="D1036" t="s">
        <v>3735</v>
      </c>
      <c r="E1036" t="s">
        <v>4921</v>
      </c>
      <c r="F1036" t="s">
        <v>4367</v>
      </c>
      <c r="G1036" t="s">
        <v>4957</v>
      </c>
      <c r="H1036" s="6" t="s">
        <v>7691</v>
      </c>
    </row>
    <row r="1037" spans="1:8" ht="289" x14ac:dyDescent="0.2">
      <c r="A1037">
        <v>1035</v>
      </c>
      <c r="B1037" t="s">
        <v>1611</v>
      </c>
      <c r="C1037" t="s">
        <v>3051</v>
      </c>
      <c r="D1037" t="s">
        <v>3735</v>
      </c>
      <c r="E1037" t="s">
        <v>4921</v>
      </c>
      <c r="F1037" t="s">
        <v>4367</v>
      </c>
      <c r="G1037" t="s">
        <v>4958</v>
      </c>
      <c r="H1037" s="6" t="s">
        <v>7707</v>
      </c>
    </row>
    <row r="1038" spans="1:8" ht="85" x14ac:dyDescent="0.2">
      <c r="A1038">
        <v>1036</v>
      </c>
      <c r="B1038" t="s">
        <v>1611</v>
      </c>
      <c r="C1038" t="s">
        <v>3051</v>
      </c>
      <c r="D1038" t="s">
        <v>3735</v>
      </c>
      <c r="E1038" t="s">
        <v>4921</v>
      </c>
      <c r="F1038" t="s">
        <v>4367</v>
      </c>
      <c r="G1038" t="s">
        <v>4959</v>
      </c>
      <c r="H1038" s="6" t="s">
        <v>7676</v>
      </c>
    </row>
    <row r="1039" spans="1:8" ht="85" x14ac:dyDescent="0.2">
      <c r="A1039">
        <v>1037</v>
      </c>
      <c r="B1039" t="s">
        <v>1611</v>
      </c>
      <c r="C1039" t="s">
        <v>3051</v>
      </c>
      <c r="D1039" t="s">
        <v>3735</v>
      </c>
      <c r="E1039" t="s">
        <v>4921</v>
      </c>
      <c r="F1039" t="s">
        <v>4367</v>
      </c>
      <c r="G1039" t="s">
        <v>4960</v>
      </c>
      <c r="H1039" s="6" t="s">
        <v>7708</v>
      </c>
    </row>
    <row r="1040" spans="1:8" ht="102" x14ac:dyDescent="0.2">
      <c r="A1040">
        <v>1038</v>
      </c>
      <c r="B1040" t="s">
        <v>1611</v>
      </c>
      <c r="C1040" t="s">
        <v>3051</v>
      </c>
      <c r="D1040" t="s">
        <v>3735</v>
      </c>
      <c r="E1040" t="s">
        <v>4921</v>
      </c>
      <c r="F1040" t="s">
        <v>4367</v>
      </c>
      <c r="G1040" t="s">
        <v>4961</v>
      </c>
      <c r="H1040" s="6" t="s">
        <v>7709</v>
      </c>
    </row>
    <row r="1041" spans="1:8" ht="119" x14ac:dyDescent="0.2">
      <c r="A1041">
        <v>1039</v>
      </c>
      <c r="B1041" t="s">
        <v>1611</v>
      </c>
      <c r="C1041" t="s">
        <v>3051</v>
      </c>
      <c r="D1041" t="s">
        <v>3735</v>
      </c>
      <c r="E1041" t="s">
        <v>4921</v>
      </c>
      <c r="F1041" t="s">
        <v>4367</v>
      </c>
      <c r="G1041" t="s">
        <v>4962</v>
      </c>
      <c r="H1041" s="6" t="s">
        <v>7705</v>
      </c>
    </row>
    <row r="1042" spans="1:8" ht="85" x14ac:dyDescent="0.2">
      <c r="A1042">
        <v>1040</v>
      </c>
      <c r="B1042" t="s">
        <v>1611</v>
      </c>
      <c r="C1042" t="s">
        <v>3051</v>
      </c>
      <c r="D1042" t="s">
        <v>3735</v>
      </c>
      <c r="E1042" t="s">
        <v>4921</v>
      </c>
      <c r="F1042" t="s">
        <v>4367</v>
      </c>
      <c r="G1042" t="s">
        <v>4963</v>
      </c>
      <c r="H1042" s="6" t="s">
        <v>7706</v>
      </c>
    </row>
    <row r="1043" spans="1:8" ht="85" x14ac:dyDescent="0.2">
      <c r="A1043">
        <v>1041</v>
      </c>
      <c r="B1043" t="s">
        <v>1611</v>
      </c>
      <c r="C1043" t="s">
        <v>3051</v>
      </c>
      <c r="D1043" t="s">
        <v>3735</v>
      </c>
      <c r="E1043" t="s">
        <v>4921</v>
      </c>
      <c r="F1043" t="s">
        <v>4367</v>
      </c>
      <c r="G1043" t="s">
        <v>4964</v>
      </c>
      <c r="H1043" s="6" t="s">
        <v>7691</v>
      </c>
    </row>
    <row r="1044" spans="1:8" ht="409.6" x14ac:dyDescent="0.2">
      <c r="A1044">
        <v>1042</v>
      </c>
      <c r="B1044" t="s">
        <v>1611</v>
      </c>
      <c r="C1044" t="s">
        <v>3051</v>
      </c>
      <c r="D1044" t="s">
        <v>3735</v>
      </c>
      <c r="E1044" t="s">
        <v>4921</v>
      </c>
      <c r="F1044" t="s">
        <v>4367</v>
      </c>
      <c r="G1044" t="s">
        <v>4965</v>
      </c>
      <c r="H1044" s="6" t="s">
        <v>7710</v>
      </c>
    </row>
    <row r="1045" spans="1:8" ht="85" x14ac:dyDescent="0.2">
      <c r="A1045">
        <v>1043</v>
      </c>
      <c r="B1045" t="s">
        <v>1611</v>
      </c>
      <c r="C1045" t="s">
        <v>3051</v>
      </c>
      <c r="D1045" t="s">
        <v>3735</v>
      </c>
      <c r="E1045" t="s">
        <v>4921</v>
      </c>
      <c r="F1045" t="s">
        <v>4367</v>
      </c>
      <c r="G1045" t="s">
        <v>4966</v>
      </c>
      <c r="H1045" s="6" t="s">
        <v>7711</v>
      </c>
    </row>
    <row r="1046" spans="1:8" ht="153" x14ac:dyDescent="0.2">
      <c r="A1046">
        <v>1044</v>
      </c>
      <c r="B1046" t="s">
        <v>1611</v>
      </c>
      <c r="C1046" t="s">
        <v>3051</v>
      </c>
      <c r="D1046" t="s">
        <v>3735</v>
      </c>
      <c r="E1046" t="s">
        <v>4921</v>
      </c>
      <c r="F1046" t="s">
        <v>4367</v>
      </c>
      <c r="G1046" t="s">
        <v>4967</v>
      </c>
      <c r="H1046" s="6" t="s">
        <v>7712</v>
      </c>
    </row>
    <row r="1047" spans="1:8" ht="119" x14ac:dyDescent="0.2">
      <c r="A1047">
        <v>1045</v>
      </c>
      <c r="B1047" t="s">
        <v>1611</v>
      </c>
      <c r="C1047" t="s">
        <v>3051</v>
      </c>
      <c r="D1047" t="s">
        <v>3735</v>
      </c>
      <c r="E1047" t="s">
        <v>4921</v>
      </c>
      <c r="F1047" t="s">
        <v>4367</v>
      </c>
      <c r="G1047" t="s">
        <v>4968</v>
      </c>
      <c r="H1047" s="6" t="s">
        <v>7713</v>
      </c>
    </row>
    <row r="1048" spans="1:8" ht="102" x14ac:dyDescent="0.2">
      <c r="A1048">
        <v>1046</v>
      </c>
      <c r="B1048" t="s">
        <v>1611</v>
      </c>
      <c r="C1048" t="s">
        <v>3051</v>
      </c>
      <c r="D1048" t="s">
        <v>3735</v>
      </c>
      <c r="E1048" t="s">
        <v>4921</v>
      </c>
      <c r="F1048" t="s">
        <v>4367</v>
      </c>
      <c r="G1048" t="s">
        <v>4969</v>
      </c>
      <c r="H1048" s="6" t="s">
        <v>7714</v>
      </c>
    </row>
    <row r="1049" spans="1:8" ht="136" x14ac:dyDescent="0.2">
      <c r="A1049">
        <v>1047</v>
      </c>
      <c r="B1049" t="s">
        <v>1611</v>
      </c>
      <c r="C1049" t="s">
        <v>3051</v>
      </c>
      <c r="D1049" t="s">
        <v>3735</v>
      </c>
      <c r="E1049" t="s">
        <v>4921</v>
      </c>
      <c r="F1049" t="s">
        <v>4367</v>
      </c>
      <c r="G1049" t="s">
        <v>4970</v>
      </c>
      <c r="H1049" s="6" t="s">
        <v>7715</v>
      </c>
    </row>
    <row r="1050" spans="1:8" ht="119" x14ac:dyDescent="0.2">
      <c r="A1050">
        <v>1048</v>
      </c>
      <c r="B1050" t="s">
        <v>1611</v>
      </c>
      <c r="C1050" t="s">
        <v>3051</v>
      </c>
      <c r="D1050" t="s">
        <v>3735</v>
      </c>
      <c r="E1050" t="s">
        <v>4921</v>
      </c>
      <c r="F1050" t="s">
        <v>4367</v>
      </c>
      <c r="G1050" t="s">
        <v>4971</v>
      </c>
      <c r="H1050" s="6" t="s">
        <v>7716</v>
      </c>
    </row>
    <row r="1051" spans="1:8" ht="102" x14ac:dyDescent="0.2">
      <c r="A1051">
        <v>1049</v>
      </c>
      <c r="B1051" t="s">
        <v>1611</v>
      </c>
      <c r="C1051" t="s">
        <v>3051</v>
      </c>
      <c r="D1051" t="s">
        <v>3735</v>
      </c>
      <c r="E1051" t="s">
        <v>4921</v>
      </c>
      <c r="F1051" t="s">
        <v>4367</v>
      </c>
      <c r="G1051" t="s">
        <v>4972</v>
      </c>
      <c r="H1051" s="6" t="s">
        <v>7717</v>
      </c>
    </row>
    <row r="1052" spans="1:8" ht="102" x14ac:dyDescent="0.2">
      <c r="A1052">
        <v>1050</v>
      </c>
      <c r="B1052" t="s">
        <v>1611</v>
      </c>
      <c r="C1052" t="s">
        <v>3051</v>
      </c>
      <c r="D1052" t="s">
        <v>3735</v>
      </c>
      <c r="E1052" t="s">
        <v>4921</v>
      </c>
      <c r="F1052" t="s">
        <v>4367</v>
      </c>
      <c r="G1052" t="s">
        <v>4973</v>
      </c>
      <c r="H1052" s="6" t="s">
        <v>7718</v>
      </c>
    </row>
    <row r="1053" spans="1:8" ht="102" x14ac:dyDescent="0.2">
      <c r="A1053">
        <v>1051</v>
      </c>
      <c r="B1053" t="s">
        <v>1611</v>
      </c>
      <c r="C1053" t="s">
        <v>3051</v>
      </c>
      <c r="D1053" t="s">
        <v>3735</v>
      </c>
      <c r="E1053" t="s">
        <v>4921</v>
      </c>
      <c r="F1053" t="s">
        <v>4367</v>
      </c>
      <c r="G1053" t="s">
        <v>4974</v>
      </c>
      <c r="H1053" s="6" t="s">
        <v>7719</v>
      </c>
    </row>
    <row r="1054" spans="1:8" ht="136" x14ac:dyDescent="0.2">
      <c r="A1054">
        <v>1052</v>
      </c>
      <c r="B1054" t="s">
        <v>1611</v>
      </c>
      <c r="C1054" t="s">
        <v>3051</v>
      </c>
      <c r="D1054" t="s">
        <v>3735</v>
      </c>
      <c r="E1054" t="s">
        <v>4921</v>
      </c>
      <c r="F1054" t="s">
        <v>4367</v>
      </c>
      <c r="G1054" t="s">
        <v>4975</v>
      </c>
      <c r="H1054" s="6" t="s">
        <v>7720</v>
      </c>
    </row>
    <row r="1055" spans="1:8" ht="153" x14ac:dyDescent="0.2">
      <c r="A1055">
        <v>1053</v>
      </c>
      <c r="B1055" t="s">
        <v>1611</v>
      </c>
      <c r="C1055" t="s">
        <v>3051</v>
      </c>
      <c r="D1055" t="s">
        <v>3735</v>
      </c>
      <c r="E1055" t="s">
        <v>4921</v>
      </c>
      <c r="F1055" t="s">
        <v>4367</v>
      </c>
      <c r="G1055" t="s">
        <v>4976</v>
      </c>
      <c r="H1055" s="6" t="s">
        <v>7721</v>
      </c>
    </row>
    <row r="1056" spans="1:8" ht="136" x14ac:dyDescent="0.2">
      <c r="A1056">
        <v>1054</v>
      </c>
      <c r="B1056" t="s">
        <v>1611</v>
      </c>
      <c r="C1056" t="s">
        <v>3051</v>
      </c>
      <c r="D1056" t="s">
        <v>3735</v>
      </c>
      <c r="E1056" t="s">
        <v>4921</v>
      </c>
      <c r="F1056" t="s">
        <v>4367</v>
      </c>
      <c r="G1056" t="s">
        <v>4977</v>
      </c>
      <c r="H1056" s="6" t="s">
        <v>7722</v>
      </c>
    </row>
    <row r="1057" spans="1:8" ht="119" x14ac:dyDescent="0.2">
      <c r="A1057">
        <v>1055</v>
      </c>
      <c r="B1057" t="s">
        <v>1611</v>
      </c>
      <c r="C1057" t="s">
        <v>3051</v>
      </c>
      <c r="D1057" t="s">
        <v>3735</v>
      </c>
      <c r="E1057" t="s">
        <v>4921</v>
      </c>
      <c r="F1057" t="s">
        <v>4367</v>
      </c>
      <c r="G1057" t="s">
        <v>4978</v>
      </c>
      <c r="H1057" s="6" t="s">
        <v>7723</v>
      </c>
    </row>
    <row r="1058" spans="1:8" ht="136" x14ac:dyDescent="0.2">
      <c r="A1058">
        <v>1056</v>
      </c>
      <c r="B1058" t="s">
        <v>1611</v>
      </c>
      <c r="C1058" t="s">
        <v>3051</v>
      </c>
      <c r="D1058" t="s">
        <v>3735</v>
      </c>
      <c r="E1058" t="s">
        <v>4921</v>
      </c>
      <c r="F1058" t="s">
        <v>4367</v>
      </c>
      <c r="G1058" t="s">
        <v>4979</v>
      </c>
      <c r="H1058" s="6" t="s">
        <v>7724</v>
      </c>
    </row>
    <row r="1059" spans="1:8" ht="119" x14ac:dyDescent="0.2">
      <c r="A1059">
        <v>1057</v>
      </c>
      <c r="B1059" t="s">
        <v>1611</v>
      </c>
      <c r="C1059" t="s">
        <v>3051</v>
      </c>
      <c r="D1059" t="s">
        <v>3735</v>
      </c>
      <c r="E1059" t="s">
        <v>4921</v>
      </c>
      <c r="F1059" t="s">
        <v>4367</v>
      </c>
      <c r="G1059" t="s">
        <v>4980</v>
      </c>
      <c r="H1059" s="6" t="s">
        <v>7725</v>
      </c>
    </row>
    <row r="1060" spans="1:8" ht="187" x14ac:dyDescent="0.2">
      <c r="A1060">
        <v>1058</v>
      </c>
      <c r="B1060" t="s">
        <v>1611</v>
      </c>
      <c r="C1060" t="s">
        <v>3051</v>
      </c>
      <c r="D1060" t="s">
        <v>3735</v>
      </c>
      <c r="E1060" t="s">
        <v>4921</v>
      </c>
      <c r="F1060" t="s">
        <v>4367</v>
      </c>
      <c r="G1060" t="s">
        <v>4981</v>
      </c>
      <c r="H1060" s="6" t="s">
        <v>7726</v>
      </c>
    </row>
    <row r="1061" spans="1:8" ht="187" x14ac:dyDescent="0.2">
      <c r="A1061">
        <v>1059</v>
      </c>
      <c r="B1061" t="s">
        <v>1611</v>
      </c>
      <c r="C1061" t="s">
        <v>3051</v>
      </c>
      <c r="D1061" t="s">
        <v>3735</v>
      </c>
      <c r="E1061" t="s">
        <v>4921</v>
      </c>
      <c r="F1061" t="s">
        <v>4367</v>
      </c>
      <c r="G1061" t="s">
        <v>4982</v>
      </c>
      <c r="H1061" s="6" t="s">
        <v>7727</v>
      </c>
    </row>
    <row r="1062" spans="1:8" ht="102" x14ac:dyDescent="0.2">
      <c r="A1062">
        <v>1060</v>
      </c>
      <c r="B1062" t="s">
        <v>1611</v>
      </c>
      <c r="C1062" t="s">
        <v>3051</v>
      </c>
      <c r="D1062" t="s">
        <v>3735</v>
      </c>
      <c r="E1062" t="s">
        <v>4921</v>
      </c>
      <c r="F1062" t="s">
        <v>4367</v>
      </c>
      <c r="G1062" t="s">
        <v>4983</v>
      </c>
      <c r="H1062" s="6" t="s">
        <v>7728</v>
      </c>
    </row>
    <row r="1063" spans="1:8" ht="102" x14ac:dyDescent="0.2">
      <c r="A1063">
        <v>1061</v>
      </c>
      <c r="B1063" t="s">
        <v>1611</v>
      </c>
      <c r="C1063" t="s">
        <v>3051</v>
      </c>
      <c r="D1063" t="s">
        <v>3735</v>
      </c>
      <c r="E1063" t="s">
        <v>4921</v>
      </c>
      <c r="F1063" t="s">
        <v>4367</v>
      </c>
      <c r="G1063" t="s">
        <v>4984</v>
      </c>
      <c r="H1063" s="6" t="s">
        <v>7729</v>
      </c>
    </row>
    <row r="1064" spans="1:8" ht="102" x14ac:dyDescent="0.2">
      <c r="A1064">
        <v>1062</v>
      </c>
      <c r="B1064" t="s">
        <v>1611</v>
      </c>
      <c r="C1064" t="s">
        <v>3051</v>
      </c>
      <c r="D1064" t="s">
        <v>3735</v>
      </c>
      <c r="E1064" t="s">
        <v>4921</v>
      </c>
      <c r="F1064" t="s">
        <v>4367</v>
      </c>
      <c r="G1064" t="s">
        <v>4985</v>
      </c>
      <c r="H1064" s="6" t="s">
        <v>7730</v>
      </c>
    </row>
    <row r="1065" spans="1:8" ht="119" x14ac:dyDescent="0.2">
      <c r="A1065">
        <v>1063</v>
      </c>
      <c r="B1065" t="s">
        <v>1611</v>
      </c>
      <c r="C1065" t="s">
        <v>3051</v>
      </c>
      <c r="D1065" t="s">
        <v>3735</v>
      </c>
      <c r="E1065" t="s">
        <v>4921</v>
      </c>
      <c r="F1065" t="s">
        <v>4367</v>
      </c>
      <c r="G1065" t="s">
        <v>4986</v>
      </c>
      <c r="H1065" s="6" t="s">
        <v>7731</v>
      </c>
    </row>
    <row r="1066" spans="1:8" ht="102" x14ac:dyDescent="0.2">
      <c r="A1066">
        <v>1064</v>
      </c>
      <c r="B1066" t="s">
        <v>1611</v>
      </c>
      <c r="C1066" t="s">
        <v>3051</v>
      </c>
      <c r="D1066" t="s">
        <v>3735</v>
      </c>
      <c r="E1066" t="s">
        <v>4921</v>
      </c>
      <c r="F1066" t="s">
        <v>4367</v>
      </c>
      <c r="G1066" t="s">
        <v>4987</v>
      </c>
      <c r="H1066" s="6" t="s">
        <v>7732</v>
      </c>
    </row>
    <row r="1067" spans="1:8" ht="153" x14ac:dyDescent="0.2">
      <c r="A1067">
        <v>1065</v>
      </c>
      <c r="B1067" t="s">
        <v>1611</v>
      </c>
      <c r="C1067" t="s">
        <v>3051</v>
      </c>
      <c r="D1067" t="s">
        <v>3735</v>
      </c>
      <c r="E1067" t="s">
        <v>4921</v>
      </c>
      <c r="F1067" t="s">
        <v>4367</v>
      </c>
      <c r="G1067" t="s">
        <v>4988</v>
      </c>
      <c r="H1067" s="6" t="s">
        <v>7733</v>
      </c>
    </row>
    <row r="1068" spans="1:8" ht="85" x14ac:dyDescent="0.2">
      <c r="A1068">
        <v>1066</v>
      </c>
      <c r="B1068" t="s">
        <v>1611</v>
      </c>
      <c r="C1068" t="s">
        <v>3051</v>
      </c>
      <c r="D1068" t="s">
        <v>3735</v>
      </c>
      <c r="E1068" t="s">
        <v>4921</v>
      </c>
      <c r="F1068" t="s">
        <v>4367</v>
      </c>
      <c r="G1068" t="s">
        <v>4989</v>
      </c>
      <c r="H1068" s="6" t="s">
        <v>7734</v>
      </c>
    </row>
    <row r="1069" spans="1:8" ht="102" x14ac:dyDescent="0.2">
      <c r="A1069">
        <v>1067</v>
      </c>
      <c r="B1069" t="s">
        <v>1611</v>
      </c>
      <c r="C1069" t="s">
        <v>3051</v>
      </c>
      <c r="D1069" t="s">
        <v>3735</v>
      </c>
      <c r="E1069" t="s">
        <v>4921</v>
      </c>
      <c r="F1069" t="s">
        <v>4367</v>
      </c>
      <c r="G1069" t="s">
        <v>4990</v>
      </c>
      <c r="H1069" s="6" t="s">
        <v>7735</v>
      </c>
    </row>
    <row r="1070" spans="1:8" ht="102" x14ac:dyDescent="0.2">
      <c r="A1070">
        <v>1068</v>
      </c>
      <c r="B1070" t="s">
        <v>1611</v>
      </c>
      <c r="C1070" t="s">
        <v>3051</v>
      </c>
      <c r="D1070" t="s">
        <v>3735</v>
      </c>
      <c r="E1070" t="s">
        <v>4921</v>
      </c>
      <c r="F1070" t="s">
        <v>4367</v>
      </c>
      <c r="G1070" t="s">
        <v>4991</v>
      </c>
      <c r="H1070" s="6" t="s">
        <v>7736</v>
      </c>
    </row>
    <row r="1071" spans="1:8" ht="102" x14ac:dyDescent="0.2">
      <c r="A1071">
        <v>1069</v>
      </c>
      <c r="B1071" t="s">
        <v>1611</v>
      </c>
      <c r="C1071" t="s">
        <v>3051</v>
      </c>
      <c r="D1071" t="s">
        <v>3735</v>
      </c>
      <c r="E1071" t="s">
        <v>4921</v>
      </c>
      <c r="F1071" t="s">
        <v>4367</v>
      </c>
      <c r="G1071" t="s">
        <v>4992</v>
      </c>
      <c r="H1071" s="6" t="s">
        <v>7737</v>
      </c>
    </row>
    <row r="1072" spans="1:8" ht="119" x14ac:dyDescent="0.2">
      <c r="A1072">
        <v>1070</v>
      </c>
      <c r="B1072" t="s">
        <v>1611</v>
      </c>
      <c r="C1072" t="s">
        <v>3051</v>
      </c>
      <c r="D1072" t="s">
        <v>3735</v>
      </c>
      <c r="E1072" t="s">
        <v>4921</v>
      </c>
      <c r="F1072" t="s">
        <v>4367</v>
      </c>
      <c r="G1072" t="s">
        <v>4993</v>
      </c>
      <c r="H1072" s="6" t="s">
        <v>7738</v>
      </c>
    </row>
    <row r="1073" spans="1:8" ht="102" x14ac:dyDescent="0.2">
      <c r="A1073">
        <v>1071</v>
      </c>
      <c r="B1073" t="s">
        <v>1611</v>
      </c>
      <c r="C1073" t="s">
        <v>3051</v>
      </c>
      <c r="D1073" t="s">
        <v>3735</v>
      </c>
      <c r="E1073" t="s">
        <v>4921</v>
      </c>
      <c r="F1073" t="s">
        <v>4367</v>
      </c>
      <c r="G1073" t="s">
        <v>4994</v>
      </c>
      <c r="H1073" s="6" t="s">
        <v>7739</v>
      </c>
    </row>
    <row r="1074" spans="1:8" ht="85" x14ac:dyDescent="0.2">
      <c r="A1074">
        <v>1072</v>
      </c>
      <c r="B1074" t="s">
        <v>1611</v>
      </c>
      <c r="C1074" t="s">
        <v>3051</v>
      </c>
      <c r="D1074" t="s">
        <v>3735</v>
      </c>
      <c r="E1074" t="s">
        <v>4921</v>
      </c>
      <c r="F1074" t="s">
        <v>4367</v>
      </c>
      <c r="G1074" t="s">
        <v>4995</v>
      </c>
      <c r="H1074" s="6" t="s">
        <v>7740</v>
      </c>
    </row>
    <row r="1075" spans="1:8" ht="68" x14ac:dyDescent="0.2">
      <c r="A1075">
        <v>1073</v>
      </c>
      <c r="B1075" t="s">
        <v>1611</v>
      </c>
      <c r="C1075" t="s">
        <v>3051</v>
      </c>
      <c r="D1075" t="s">
        <v>3735</v>
      </c>
      <c r="E1075" t="s">
        <v>4921</v>
      </c>
      <c r="F1075" t="s">
        <v>4367</v>
      </c>
      <c r="G1075" t="s">
        <v>4996</v>
      </c>
      <c r="H1075" s="6" t="s">
        <v>7741</v>
      </c>
    </row>
    <row r="1076" spans="1:8" ht="221" x14ac:dyDescent="0.2">
      <c r="A1076">
        <v>1074</v>
      </c>
      <c r="B1076" t="s">
        <v>1611</v>
      </c>
      <c r="C1076" t="s">
        <v>3051</v>
      </c>
      <c r="D1076" t="s">
        <v>3735</v>
      </c>
      <c r="E1076" t="s">
        <v>4997</v>
      </c>
      <c r="F1076" t="s">
        <v>4381</v>
      </c>
      <c r="G1076" t="s">
        <v>4998</v>
      </c>
      <c r="H1076" s="6" t="s">
        <v>7742</v>
      </c>
    </row>
    <row r="1077" spans="1:8" ht="85" x14ac:dyDescent="0.2">
      <c r="A1077">
        <v>1075</v>
      </c>
      <c r="B1077" t="s">
        <v>1611</v>
      </c>
      <c r="C1077" t="s">
        <v>3051</v>
      </c>
      <c r="D1077" t="s">
        <v>3735</v>
      </c>
      <c r="E1077" t="s">
        <v>4997</v>
      </c>
      <c r="F1077" t="s">
        <v>4381</v>
      </c>
      <c r="G1077" t="s">
        <v>4999</v>
      </c>
      <c r="H1077" s="6" t="s">
        <v>7743</v>
      </c>
    </row>
    <row r="1078" spans="1:8" ht="170" x14ac:dyDescent="0.2">
      <c r="A1078">
        <v>1076</v>
      </c>
      <c r="B1078" t="s">
        <v>1611</v>
      </c>
      <c r="C1078" t="s">
        <v>3051</v>
      </c>
      <c r="D1078" t="s">
        <v>3735</v>
      </c>
      <c r="E1078" t="s">
        <v>4997</v>
      </c>
      <c r="F1078" t="s">
        <v>4381</v>
      </c>
      <c r="G1078" t="s">
        <v>5000</v>
      </c>
      <c r="H1078" s="6" t="s">
        <v>7744</v>
      </c>
    </row>
    <row r="1079" spans="1:8" ht="85" x14ac:dyDescent="0.2">
      <c r="A1079">
        <v>1077</v>
      </c>
      <c r="B1079" t="s">
        <v>1611</v>
      </c>
      <c r="C1079" t="s">
        <v>3051</v>
      </c>
      <c r="D1079" t="s">
        <v>3735</v>
      </c>
      <c r="E1079" t="s">
        <v>5001</v>
      </c>
      <c r="F1079" t="s">
        <v>4367</v>
      </c>
      <c r="G1079" t="s">
        <v>5002</v>
      </c>
      <c r="H1079" s="6" t="s">
        <v>7745</v>
      </c>
    </row>
    <row r="1080" spans="1:8" ht="119" x14ac:dyDescent="0.2">
      <c r="A1080">
        <v>1078</v>
      </c>
      <c r="B1080" t="s">
        <v>1611</v>
      </c>
      <c r="C1080" t="s">
        <v>3051</v>
      </c>
      <c r="D1080" t="s">
        <v>3735</v>
      </c>
      <c r="E1080" t="s">
        <v>5003</v>
      </c>
      <c r="F1080" t="s">
        <v>4381</v>
      </c>
      <c r="G1080" t="s">
        <v>5004</v>
      </c>
      <c r="H1080" s="6" t="s">
        <v>7746</v>
      </c>
    </row>
    <row r="1081" spans="1:8" ht="102" x14ac:dyDescent="0.2">
      <c r="A1081">
        <v>1079</v>
      </c>
      <c r="B1081" t="s">
        <v>1611</v>
      </c>
      <c r="C1081" t="s">
        <v>3051</v>
      </c>
      <c r="D1081" t="s">
        <v>3735</v>
      </c>
      <c r="E1081" t="s">
        <v>5003</v>
      </c>
      <c r="F1081" t="s">
        <v>4381</v>
      </c>
      <c r="G1081" t="s">
        <v>5005</v>
      </c>
      <c r="H1081" s="6" t="s">
        <v>7747</v>
      </c>
    </row>
    <row r="1082" spans="1:8" ht="119" x14ac:dyDescent="0.2">
      <c r="A1082">
        <v>1080</v>
      </c>
      <c r="B1082" t="s">
        <v>1611</v>
      </c>
      <c r="C1082" t="s">
        <v>3051</v>
      </c>
      <c r="D1082" t="s">
        <v>3735</v>
      </c>
      <c r="E1082" t="s">
        <v>5003</v>
      </c>
      <c r="F1082" t="s">
        <v>4381</v>
      </c>
      <c r="G1082" t="s">
        <v>5006</v>
      </c>
      <c r="H1082" s="6" t="s">
        <v>7748</v>
      </c>
    </row>
    <row r="1083" spans="1:8" ht="221" x14ac:dyDescent="0.2">
      <c r="A1083">
        <v>1081</v>
      </c>
      <c r="B1083" t="s">
        <v>1611</v>
      </c>
      <c r="C1083" t="s">
        <v>3051</v>
      </c>
      <c r="D1083" t="s">
        <v>3735</v>
      </c>
      <c r="E1083" t="s">
        <v>5003</v>
      </c>
      <c r="F1083" t="s">
        <v>4381</v>
      </c>
      <c r="G1083" t="s">
        <v>5007</v>
      </c>
      <c r="H1083" s="6" t="s">
        <v>7749</v>
      </c>
    </row>
    <row r="1084" spans="1:8" ht="187" x14ac:dyDescent="0.2">
      <c r="A1084">
        <v>1082</v>
      </c>
      <c r="B1084" t="s">
        <v>1611</v>
      </c>
      <c r="C1084" t="s">
        <v>3051</v>
      </c>
      <c r="D1084" t="s">
        <v>3735</v>
      </c>
      <c r="E1084" t="s">
        <v>5003</v>
      </c>
      <c r="F1084" t="s">
        <v>4381</v>
      </c>
      <c r="G1084" t="s">
        <v>5008</v>
      </c>
      <c r="H1084" s="6" t="s">
        <v>7750</v>
      </c>
    </row>
    <row r="1085" spans="1:8" ht="204" x14ac:dyDescent="0.2">
      <c r="A1085">
        <v>1083</v>
      </c>
      <c r="B1085" t="s">
        <v>1611</v>
      </c>
      <c r="C1085" t="s">
        <v>3051</v>
      </c>
      <c r="D1085" t="s">
        <v>3735</v>
      </c>
      <c r="E1085" t="s">
        <v>5009</v>
      </c>
      <c r="F1085" t="s">
        <v>5010</v>
      </c>
      <c r="G1085" t="s">
        <v>5011</v>
      </c>
      <c r="H1085" s="6" t="s">
        <v>7751</v>
      </c>
    </row>
    <row r="1086" spans="1:8" ht="153" x14ac:dyDescent="0.2">
      <c r="A1086">
        <v>1084</v>
      </c>
      <c r="B1086" t="s">
        <v>1611</v>
      </c>
      <c r="C1086" t="s">
        <v>3051</v>
      </c>
      <c r="D1086" t="s">
        <v>3735</v>
      </c>
      <c r="E1086" t="s">
        <v>5009</v>
      </c>
      <c r="F1086" t="s">
        <v>5010</v>
      </c>
      <c r="G1086" t="s">
        <v>5012</v>
      </c>
      <c r="H1086" s="6" t="s">
        <v>7752</v>
      </c>
    </row>
    <row r="1087" spans="1:8" ht="238" x14ac:dyDescent="0.2">
      <c r="A1087">
        <v>1085</v>
      </c>
      <c r="B1087" t="s">
        <v>1611</v>
      </c>
      <c r="C1087" t="s">
        <v>3051</v>
      </c>
      <c r="D1087" t="s">
        <v>3735</v>
      </c>
      <c r="E1087" t="s">
        <v>5009</v>
      </c>
      <c r="F1087" t="s">
        <v>5010</v>
      </c>
      <c r="G1087" t="s">
        <v>5013</v>
      </c>
      <c r="H1087" s="6" t="s">
        <v>7753</v>
      </c>
    </row>
    <row r="1088" spans="1:8" ht="85" x14ac:dyDescent="0.2">
      <c r="A1088">
        <v>1086</v>
      </c>
      <c r="B1088" t="s">
        <v>1611</v>
      </c>
      <c r="C1088" t="s">
        <v>3051</v>
      </c>
      <c r="D1088" t="s">
        <v>3735</v>
      </c>
      <c r="E1088" t="s">
        <v>5009</v>
      </c>
      <c r="F1088" t="s">
        <v>5010</v>
      </c>
      <c r="G1088" t="s">
        <v>5014</v>
      </c>
      <c r="H1088" s="6" t="s">
        <v>7754</v>
      </c>
    </row>
    <row r="1089" spans="1:8" ht="85" x14ac:dyDescent="0.2">
      <c r="A1089">
        <v>1087</v>
      </c>
      <c r="B1089" t="s">
        <v>1611</v>
      </c>
      <c r="C1089" t="s">
        <v>3051</v>
      </c>
      <c r="D1089" t="s">
        <v>3735</v>
      </c>
      <c r="E1089" t="s">
        <v>5009</v>
      </c>
      <c r="F1089" t="s">
        <v>5010</v>
      </c>
      <c r="G1089" t="s">
        <v>5015</v>
      </c>
      <c r="H1089" s="6" t="s">
        <v>7755</v>
      </c>
    </row>
    <row r="1090" spans="1:8" ht="85" x14ac:dyDescent="0.2">
      <c r="A1090">
        <v>1088</v>
      </c>
      <c r="B1090" t="s">
        <v>1611</v>
      </c>
      <c r="C1090" t="s">
        <v>3051</v>
      </c>
      <c r="D1090" t="s">
        <v>3735</v>
      </c>
      <c r="E1090" t="s">
        <v>5009</v>
      </c>
      <c r="F1090" t="s">
        <v>5010</v>
      </c>
      <c r="G1090" t="s">
        <v>5016</v>
      </c>
      <c r="H1090" s="6" t="s">
        <v>7756</v>
      </c>
    </row>
    <row r="1091" spans="1:8" ht="136" x14ac:dyDescent="0.2">
      <c r="A1091">
        <v>1089</v>
      </c>
      <c r="B1091" t="s">
        <v>1611</v>
      </c>
      <c r="C1091" t="s">
        <v>3051</v>
      </c>
      <c r="D1091" t="s">
        <v>3735</v>
      </c>
      <c r="E1091" t="s">
        <v>5009</v>
      </c>
      <c r="F1091" t="s">
        <v>5010</v>
      </c>
      <c r="G1091" t="s">
        <v>5017</v>
      </c>
      <c r="H1091" s="6" t="s">
        <v>7757</v>
      </c>
    </row>
    <row r="1092" spans="1:8" ht="136" x14ac:dyDescent="0.2">
      <c r="A1092">
        <v>1090</v>
      </c>
      <c r="B1092" t="s">
        <v>1611</v>
      </c>
      <c r="C1092" t="s">
        <v>3051</v>
      </c>
      <c r="D1092" t="s">
        <v>3735</v>
      </c>
      <c r="E1092" t="s">
        <v>5009</v>
      </c>
      <c r="F1092" t="s">
        <v>5010</v>
      </c>
      <c r="G1092" t="s">
        <v>5018</v>
      </c>
      <c r="H1092" s="6" t="s">
        <v>7758</v>
      </c>
    </row>
    <row r="1093" spans="1:8" ht="119" x14ac:dyDescent="0.2">
      <c r="A1093">
        <v>1091</v>
      </c>
      <c r="B1093" t="s">
        <v>1611</v>
      </c>
      <c r="C1093" t="s">
        <v>3051</v>
      </c>
      <c r="D1093" t="s">
        <v>3735</v>
      </c>
      <c r="E1093" t="s">
        <v>5009</v>
      </c>
      <c r="F1093" t="s">
        <v>5010</v>
      </c>
      <c r="G1093" t="s">
        <v>5019</v>
      </c>
      <c r="H1093" s="6" t="s">
        <v>7759</v>
      </c>
    </row>
    <row r="1094" spans="1:8" ht="289" x14ac:dyDescent="0.2">
      <c r="A1094">
        <v>1092</v>
      </c>
      <c r="B1094" t="s">
        <v>1611</v>
      </c>
      <c r="C1094" t="s">
        <v>3051</v>
      </c>
      <c r="D1094" t="s">
        <v>3735</v>
      </c>
      <c r="E1094" t="s">
        <v>5020</v>
      </c>
      <c r="F1094" t="s">
        <v>5021</v>
      </c>
      <c r="G1094" t="s">
        <v>5022</v>
      </c>
      <c r="H1094" s="6" t="s">
        <v>7760</v>
      </c>
    </row>
    <row r="1095" spans="1:8" ht="221" x14ac:dyDescent="0.2">
      <c r="A1095">
        <v>1093</v>
      </c>
      <c r="B1095" t="s">
        <v>1611</v>
      </c>
      <c r="C1095" t="s">
        <v>3051</v>
      </c>
      <c r="D1095" t="s">
        <v>3735</v>
      </c>
      <c r="E1095" t="s">
        <v>5023</v>
      </c>
      <c r="F1095" t="s">
        <v>5024</v>
      </c>
      <c r="G1095" t="s">
        <v>5025</v>
      </c>
      <c r="H1095" s="6" t="s">
        <v>7761</v>
      </c>
    </row>
    <row r="1096" spans="1:8" ht="136" x14ac:dyDescent="0.2">
      <c r="A1096">
        <v>1094</v>
      </c>
      <c r="B1096" t="s">
        <v>1611</v>
      </c>
      <c r="C1096" t="s">
        <v>3051</v>
      </c>
      <c r="D1096" t="s">
        <v>3735</v>
      </c>
      <c r="E1096" t="s">
        <v>5023</v>
      </c>
      <c r="F1096" t="s">
        <v>5024</v>
      </c>
      <c r="G1096" t="s">
        <v>5026</v>
      </c>
      <c r="H1096" s="6" t="s">
        <v>7762</v>
      </c>
    </row>
    <row r="1097" spans="1:8" ht="85" x14ac:dyDescent="0.2">
      <c r="A1097">
        <v>1095</v>
      </c>
      <c r="B1097" t="s">
        <v>1611</v>
      </c>
      <c r="C1097" t="s">
        <v>3051</v>
      </c>
      <c r="D1097" t="s">
        <v>3735</v>
      </c>
      <c r="E1097" t="s">
        <v>5023</v>
      </c>
      <c r="F1097" t="s">
        <v>5024</v>
      </c>
      <c r="G1097" t="s">
        <v>5027</v>
      </c>
      <c r="H1097" s="6" t="s">
        <v>7763</v>
      </c>
    </row>
    <row r="1098" spans="1:8" ht="102" x14ac:dyDescent="0.2">
      <c r="A1098">
        <v>1096</v>
      </c>
      <c r="B1098" t="s">
        <v>1611</v>
      </c>
      <c r="C1098" t="s">
        <v>3051</v>
      </c>
      <c r="D1098" t="s">
        <v>3735</v>
      </c>
      <c r="E1098" t="s">
        <v>5028</v>
      </c>
      <c r="F1098" t="s">
        <v>5029</v>
      </c>
      <c r="G1098" t="s">
        <v>5030</v>
      </c>
      <c r="H1098" s="6" t="s">
        <v>7764</v>
      </c>
    </row>
    <row r="1099" spans="1:8" ht="102" x14ac:dyDescent="0.2">
      <c r="A1099">
        <v>1097</v>
      </c>
      <c r="B1099" t="s">
        <v>1611</v>
      </c>
      <c r="C1099" t="s">
        <v>3051</v>
      </c>
      <c r="D1099" t="s">
        <v>3735</v>
      </c>
      <c r="E1099" t="s">
        <v>5028</v>
      </c>
      <c r="F1099" t="s">
        <v>5029</v>
      </c>
      <c r="G1099" t="s">
        <v>5031</v>
      </c>
      <c r="H1099" s="6" t="s">
        <v>7765</v>
      </c>
    </row>
    <row r="1100" spans="1:8" ht="85" x14ac:dyDescent="0.2">
      <c r="A1100">
        <v>1098</v>
      </c>
      <c r="B1100" t="s">
        <v>1611</v>
      </c>
      <c r="C1100" t="s">
        <v>3051</v>
      </c>
      <c r="D1100" t="s">
        <v>3735</v>
      </c>
      <c r="E1100" t="s">
        <v>5028</v>
      </c>
      <c r="F1100" t="s">
        <v>5029</v>
      </c>
      <c r="G1100" t="s">
        <v>5032</v>
      </c>
      <c r="H1100" s="6" t="s">
        <v>7766</v>
      </c>
    </row>
    <row r="1101" spans="1:8" ht="85" x14ac:dyDescent="0.2">
      <c r="A1101">
        <v>1099</v>
      </c>
      <c r="B1101" t="s">
        <v>1611</v>
      </c>
      <c r="C1101" t="s">
        <v>3051</v>
      </c>
      <c r="D1101" t="s">
        <v>3735</v>
      </c>
      <c r="E1101" t="s">
        <v>5028</v>
      </c>
      <c r="F1101" t="s">
        <v>5029</v>
      </c>
      <c r="G1101" t="s">
        <v>5033</v>
      </c>
      <c r="H1101" s="6" t="s">
        <v>7767</v>
      </c>
    </row>
    <row r="1102" spans="1:8" ht="255" x14ac:dyDescent="0.2">
      <c r="A1102">
        <v>1100</v>
      </c>
      <c r="B1102" t="s">
        <v>1611</v>
      </c>
      <c r="C1102" t="s">
        <v>3051</v>
      </c>
      <c r="D1102" t="s">
        <v>3735</v>
      </c>
      <c r="E1102" t="s">
        <v>5028</v>
      </c>
      <c r="F1102" t="s">
        <v>5029</v>
      </c>
      <c r="G1102" t="s">
        <v>5034</v>
      </c>
      <c r="H1102" s="6" t="s">
        <v>7768</v>
      </c>
    </row>
    <row r="1103" spans="1:8" ht="102" x14ac:dyDescent="0.2">
      <c r="A1103">
        <v>1101</v>
      </c>
      <c r="B1103" t="s">
        <v>1611</v>
      </c>
      <c r="C1103" t="s">
        <v>3051</v>
      </c>
      <c r="D1103" t="s">
        <v>3735</v>
      </c>
      <c r="E1103" t="s">
        <v>5028</v>
      </c>
      <c r="F1103" t="s">
        <v>5029</v>
      </c>
      <c r="G1103" t="s">
        <v>5035</v>
      </c>
      <c r="H1103" s="6" t="s">
        <v>7769</v>
      </c>
    </row>
    <row r="1104" spans="1:8" ht="102" x14ac:dyDescent="0.2">
      <c r="A1104">
        <v>1102</v>
      </c>
      <c r="B1104" t="s">
        <v>1611</v>
      </c>
      <c r="C1104" t="s">
        <v>3051</v>
      </c>
      <c r="D1104" t="s">
        <v>3735</v>
      </c>
      <c r="E1104" t="s">
        <v>5028</v>
      </c>
      <c r="F1104" t="s">
        <v>5029</v>
      </c>
      <c r="G1104" t="s">
        <v>5036</v>
      </c>
      <c r="H1104" s="6" t="s">
        <v>7770</v>
      </c>
    </row>
    <row r="1105" spans="1:8" ht="85" x14ac:dyDescent="0.2">
      <c r="A1105">
        <v>1103</v>
      </c>
      <c r="B1105" t="s">
        <v>1611</v>
      </c>
      <c r="C1105" t="s">
        <v>3051</v>
      </c>
      <c r="D1105" t="s">
        <v>3735</v>
      </c>
      <c r="E1105" t="s">
        <v>5028</v>
      </c>
      <c r="F1105" t="s">
        <v>5029</v>
      </c>
      <c r="G1105" t="s">
        <v>5037</v>
      </c>
      <c r="H1105" s="6" t="s">
        <v>7771</v>
      </c>
    </row>
    <row r="1106" spans="1:8" ht="85" x14ac:dyDescent="0.2">
      <c r="A1106">
        <v>1104</v>
      </c>
      <c r="B1106" t="s">
        <v>1611</v>
      </c>
      <c r="C1106" t="s">
        <v>3051</v>
      </c>
      <c r="D1106" t="s">
        <v>3735</v>
      </c>
      <c r="E1106" t="s">
        <v>5028</v>
      </c>
      <c r="F1106" t="s">
        <v>5029</v>
      </c>
      <c r="G1106" t="s">
        <v>5038</v>
      </c>
      <c r="H1106" s="6" t="s">
        <v>7772</v>
      </c>
    </row>
    <row r="1107" spans="1:8" ht="255" x14ac:dyDescent="0.2">
      <c r="A1107">
        <v>1105</v>
      </c>
      <c r="B1107" t="s">
        <v>1611</v>
      </c>
      <c r="C1107" t="s">
        <v>3051</v>
      </c>
      <c r="D1107" t="s">
        <v>3735</v>
      </c>
      <c r="E1107" t="s">
        <v>5028</v>
      </c>
      <c r="F1107" t="s">
        <v>5029</v>
      </c>
      <c r="G1107" t="s">
        <v>5039</v>
      </c>
      <c r="H1107" s="6" t="s">
        <v>7773</v>
      </c>
    </row>
    <row r="1108" spans="1:8" ht="102" x14ac:dyDescent="0.2">
      <c r="A1108">
        <v>1106</v>
      </c>
      <c r="B1108" t="s">
        <v>1611</v>
      </c>
      <c r="C1108" t="s">
        <v>3051</v>
      </c>
      <c r="D1108" t="s">
        <v>3735</v>
      </c>
      <c r="E1108" t="s">
        <v>5028</v>
      </c>
      <c r="F1108" t="s">
        <v>5029</v>
      </c>
      <c r="G1108" t="s">
        <v>5040</v>
      </c>
      <c r="H1108" s="6" t="s">
        <v>7774</v>
      </c>
    </row>
    <row r="1109" spans="1:8" ht="102" x14ac:dyDescent="0.2">
      <c r="A1109">
        <v>1107</v>
      </c>
      <c r="B1109" t="s">
        <v>1611</v>
      </c>
      <c r="C1109" t="s">
        <v>3051</v>
      </c>
      <c r="D1109" t="s">
        <v>3735</v>
      </c>
      <c r="E1109" t="s">
        <v>5028</v>
      </c>
      <c r="F1109" t="s">
        <v>5029</v>
      </c>
      <c r="G1109" t="s">
        <v>5041</v>
      </c>
      <c r="H1109" s="6" t="s">
        <v>7775</v>
      </c>
    </row>
    <row r="1110" spans="1:8" ht="85" x14ac:dyDescent="0.2">
      <c r="A1110">
        <v>1108</v>
      </c>
      <c r="B1110" t="s">
        <v>1611</v>
      </c>
      <c r="C1110" t="s">
        <v>3051</v>
      </c>
      <c r="D1110" t="s">
        <v>3735</v>
      </c>
      <c r="E1110" t="s">
        <v>5028</v>
      </c>
      <c r="F1110" t="s">
        <v>5029</v>
      </c>
      <c r="G1110" t="s">
        <v>5042</v>
      </c>
      <c r="H1110" s="6" t="s">
        <v>7776</v>
      </c>
    </row>
    <row r="1111" spans="1:8" ht="85" x14ac:dyDescent="0.2">
      <c r="A1111">
        <v>1109</v>
      </c>
      <c r="B1111" t="s">
        <v>1611</v>
      </c>
      <c r="C1111" t="s">
        <v>3051</v>
      </c>
      <c r="D1111" t="s">
        <v>3735</v>
      </c>
      <c r="E1111" t="s">
        <v>5028</v>
      </c>
      <c r="F1111" t="s">
        <v>5029</v>
      </c>
      <c r="G1111" t="s">
        <v>5043</v>
      </c>
      <c r="H1111" s="6" t="s">
        <v>7777</v>
      </c>
    </row>
    <row r="1112" spans="1:8" ht="255" x14ac:dyDescent="0.2">
      <c r="A1112">
        <v>1110</v>
      </c>
      <c r="B1112" t="s">
        <v>1611</v>
      </c>
      <c r="C1112" t="s">
        <v>3051</v>
      </c>
      <c r="D1112" t="s">
        <v>3735</v>
      </c>
      <c r="E1112" t="s">
        <v>5028</v>
      </c>
      <c r="F1112" t="s">
        <v>5029</v>
      </c>
      <c r="G1112" t="s">
        <v>5044</v>
      </c>
      <c r="H1112" s="6" t="s">
        <v>7778</v>
      </c>
    </row>
    <row r="1113" spans="1:8" ht="85" x14ac:dyDescent="0.2">
      <c r="A1113">
        <v>1111</v>
      </c>
      <c r="B1113" t="s">
        <v>1611</v>
      </c>
      <c r="C1113" t="s">
        <v>3051</v>
      </c>
      <c r="D1113" t="s">
        <v>3735</v>
      </c>
      <c r="E1113" t="s">
        <v>5028</v>
      </c>
      <c r="F1113" t="s">
        <v>5029</v>
      </c>
      <c r="G1113" t="s">
        <v>5045</v>
      </c>
      <c r="H1113" s="6" t="s">
        <v>7779</v>
      </c>
    </row>
    <row r="1114" spans="1:8" ht="85" x14ac:dyDescent="0.2">
      <c r="A1114">
        <v>1112</v>
      </c>
      <c r="B1114" t="s">
        <v>1611</v>
      </c>
      <c r="C1114" t="s">
        <v>3051</v>
      </c>
      <c r="D1114" t="s">
        <v>3735</v>
      </c>
      <c r="E1114" t="s">
        <v>5028</v>
      </c>
      <c r="F1114" t="s">
        <v>5029</v>
      </c>
      <c r="G1114" t="s">
        <v>5046</v>
      </c>
      <c r="H1114" s="6" t="s">
        <v>7780</v>
      </c>
    </row>
    <row r="1115" spans="1:8" ht="102" x14ac:dyDescent="0.2">
      <c r="A1115">
        <v>1113</v>
      </c>
      <c r="B1115" t="s">
        <v>1611</v>
      </c>
      <c r="C1115" t="s">
        <v>3051</v>
      </c>
      <c r="D1115" t="s">
        <v>3735</v>
      </c>
      <c r="E1115" t="s">
        <v>5028</v>
      </c>
      <c r="F1115" t="s">
        <v>5029</v>
      </c>
      <c r="G1115" t="s">
        <v>5047</v>
      </c>
      <c r="H1115" s="6" t="s">
        <v>7781</v>
      </c>
    </row>
    <row r="1116" spans="1:8" ht="153" x14ac:dyDescent="0.2">
      <c r="A1116">
        <v>1114</v>
      </c>
      <c r="B1116" t="s">
        <v>1611</v>
      </c>
      <c r="C1116" t="s">
        <v>3051</v>
      </c>
      <c r="D1116" t="s">
        <v>3735</v>
      </c>
      <c r="E1116" t="s">
        <v>5028</v>
      </c>
      <c r="F1116" t="s">
        <v>5029</v>
      </c>
      <c r="G1116" t="s">
        <v>5048</v>
      </c>
      <c r="H1116" s="6" t="s">
        <v>7782</v>
      </c>
    </row>
    <row r="1117" spans="1:8" ht="85" x14ac:dyDescent="0.2">
      <c r="A1117">
        <v>1115</v>
      </c>
      <c r="B1117" t="s">
        <v>1611</v>
      </c>
      <c r="C1117" t="s">
        <v>3051</v>
      </c>
      <c r="D1117" t="s">
        <v>3735</v>
      </c>
      <c r="E1117" t="s">
        <v>5028</v>
      </c>
      <c r="F1117" t="s">
        <v>5029</v>
      </c>
      <c r="G1117" t="s">
        <v>5049</v>
      </c>
      <c r="H1117" s="6" t="s">
        <v>7783</v>
      </c>
    </row>
    <row r="1118" spans="1:8" ht="119" x14ac:dyDescent="0.2">
      <c r="A1118">
        <v>1116</v>
      </c>
      <c r="B1118" t="s">
        <v>1611</v>
      </c>
      <c r="C1118" t="s">
        <v>3051</v>
      </c>
      <c r="D1118" t="s">
        <v>3735</v>
      </c>
      <c r="E1118" t="s">
        <v>5028</v>
      </c>
      <c r="F1118" t="s">
        <v>5029</v>
      </c>
      <c r="G1118" t="s">
        <v>5050</v>
      </c>
      <c r="H1118" s="6" t="s">
        <v>7784</v>
      </c>
    </row>
    <row r="1119" spans="1:8" ht="85" x14ac:dyDescent="0.2">
      <c r="A1119">
        <v>1117</v>
      </c>
      <c r="B1119" t="s">
        <v>1611</v>
      </c>
      <c r="C1119" t="s">
        <v>3051</v>
      </c>
      <c r="D1119" t="s">
        <v>3735</v>
      </c>
      <c r="E1119" t="s">
        <v>5028</v>
      </c>
      <c r="F1119" t="s">
        <v>5029</v>
      </c>
      <c r="G1119" t="s">
        <v>5051</v>
      </c>
      <c r="H1119" s="6" t="s">
        <v>7785</v>
      </c>
    </row>
    <row r="1120" spans="1:8" ht="306" x14ac:dyDescent="0.2">
      <c r="A1120">
        <v>1118</v>
      </c>
      <c r="B1120" t="s">
        <v>1611</v>
      </c>
      <c r="C1120" t="s">
        <v>3051</v>
      </c>
      <c r="D1120" t="s">
        <v>3735</v>
      </c>
      <c r="E1120" t="s">
        <v>5028</v>
      </c>
      <c r="F1120" t="s">
        <v>5029</v>
      </c>
      <c r="G1120" t="s">
        <v>5052</v>
      </c>
      <c r="H1120" s="6" t="s">
        <v>7786</v>
      </c>
    </row>
    <row r="1121" spans="1:8" ht="153" x14ac:dyDescent="0.2">
      <c r="A1121">
        <v>1119</v>
      </c>
      <c r="B1121" t="s">
        <v>1611</v>
      </c>
      <c r="C1121" t="s">
        <v>3051</v>
      </c>
      <c r="D1121" t="s">
        <v>3735</v>
      </c>
      <c r="E1121" t="s">
        <v>5028</v>
      </c>
      <c r="F1121" t="s">
        <v>5029</v>
      </c>
      <c r="G1121" t="s">
        <v>5053</v>
      </c>
      <c r="H1121" s="6" t="s">
        <v>7787</v>
      </c>
    </row>
    <row r="1122" spans="1:8" ht="85" x14ac:dyDescent="0.2">
      <c r="A1122">
        <v>1120</v>
      </c>
      <c r="B1122" t="s">
        <v>1611</v>
      </c>
      <c r="C1122" t="s">
        <v>3051</v>
      </c>
      <c r="D1122" t="s">
        <v>3735</v>
      </c>
      <c r="E1122" t="s">
        <v>5028</v>
      </c>
      <c r="F1122" t="s">
        <v>5029</v>
      </c>
      <c r="G1122" t="s">
        <v>5054</v>
      </c>
      <c r="H1122" s="6" t="s">
        <v>7788</v>
      </c>
    </row>
    <row r="1123" spans="1:8" ht="170" x14ac:dyDescent="0.2">
      <c r="A1123">
        <v>1121</v>
      </c>
      <c r="B1123" t="s">
        <v>1611</v>
      </c>
      <c r="C1123" t="s">
        <v>3051</v>
      </c>
      <c r="D1123" t="s">
        <v>3735</v>
      </c>
      <c r="E1123" t="s">
        <v>5055</v>
      </c>
      <c r="F1123" t="s">
        <v>5056</v>
      </c>
      <c r="G1123" t="s">
        <v>5057</v>
      </c>
      <c r="H1123" s="6" t="s">
        <v>7789</v>
      </c>
    </row>
    <row r="1124" spans="1:8" ht="409.6" x14ac:dyDescent="0.2">
      <c r="A1124">
        <v>1122</v>
      </c>
      <c r="B1124" t="s">
        <v>1611</v>
      </c>
      <c r="C1124" t="s">
        <v>3051</v>
      </c>
      <c r="D1124" t="s">
        <v>3735</v>
      </c>
      <c r="E1124" t="s">
        <v>5058</v>
      </c>
      <c r="F1124" t="s">
        <v>5059</v>
      </c>
      <c r="G1124" t="s">
        <v>5060</v>
      </c>
      <c r="H1124" s="6" t="s">
        <v>7790</v>
      </c>
    </row>
    <row r="1125" spans="1:8" ht="85" x14ac:dyDescent="0.2">
      <c r="A1125">
        <v>1123</v>
      </c>
      <c r="B1125" t="s">
        <v>1611</v>
      </c>
      <c r="C1125" t="s">
        <v>3051</v>
      </c>
      <c r="D1125" t="s">
        <v>3735</v>
      </c>
      <c r="E1125" t="s">
        <v>5058</v>
      </c>
      <c r="F1125" t="s">
        <v>5059</v>
      </c>
      <c r="G1125" t="s">
        <v>5061</v>
      </c>
      <c r="H1125" s="6" t="s">
        <v>7791</v>
      </c>
    </row>
    <row r="1126" spans="1:8" ht="85" x14ac:dyDescent="0.2">
      <c r="A1126">
        <v>1124</v>
      </c>
      <c r="B1126" t="s">
        <v>1611</v>
      </c>
      <c r="C1126" t="s">
        <v>3051</v>
      </c>
      <c r="D1126" t="s">
        <v>3735</v>
      </c>
      <c r="E1126" t="s">
        <v>5058</v>
      </c>
      <c r="F1126" t="s">
        <v>5059</v>
      </c>
      <c r="G1126" t="s">
        <v>5062</v>
      </c>
      <c r="H1126" s="6" t="s">
        <v>7792</v>
      </c>
    </row>
    <row r="1127" spans="1:8" ht="102" x14ac:dyDescent="0.2">
      <c r="A1127">
        <v>1125</v>
      </c>
      <c r="B1127" t="s">
        <v>1611</v>
      </c>
      <c r="C1127" t="s">
        <v>3051</v>
      </c>
      <c r="D1127" t="s">
        <v>3735</v>
      </c>
      <c r="E1127" t="s">
        <v>5058</v>
      </c>
      <c r="F1127" t="s">
        <v>5059</v>
      </c>
      <c r="G1127" t="s">
        <v>5063</v>
      </c>
      <c r="H1127" s="6" t="s">
        <v>7793</v>
      </c>
    </row>
    <row r="1128" spans="1:8" ht="85" x14ac:dyDescent="0.2">
      <c r="A1128">
        <v>1126</v>
      </c>
      <c r="B1128" t="s">
        <v>1611</v>
      </c>
      <c r="C1128" t="s">
        <v>3051</v>
      </c>
      <c r="D1128" t="s">
        <v>3735</v>
      </c>
      <c r="E1128" t="s">
        <v>5058</v>
      </c>
      <c r="F1128" t="s">
        <v>5059</v>
      </c>
      <c r="G1128" t="s">
        <v>5064</v>
      </c>
      <c r="H1128" s="6" t="s">
        <v>7794</v>
      </c>
    </row>
    <row r="1129" spans="1:8" ht="102" x14ac:dyDescent="0.2">
      <c r="A1129">
        <v>1127</v>
      </c>
      <c r="B1129" t="s">
        <v>1611</v>
      </c>
      <c r="C1129" t="s">
        <v>3051</v>
      </c>
      <c r="D1129" t="s">
        <v>3735</v>
      </c>
      <c r="E1129" t="s">
        <v>5058</v>
      </c>
      <c r="F1129" t="s">
        <v>5059</v>
      </c>
      <c r="G1129" t="s">
        <v>5065</v>
      </c>
      <c r="H1129" s="6" t="s">
        <v>7795</v>
      </c>
    </row>
    <row r="1130" spans="1:8" ht="68" x14ac:dyDescent="0.2">
      <c r="A1130">
        <v>1128</v>
      </c>
      <c r="B1130" t="s">
        <v>1611</v>
      </c>
      <c r="C1130" t="s">
        <v>3051</v>
      </c>
      <c r="D1130" t="s">
        <v>3735</v>
      </c>
      <c r="E1130" t="s">
        <v>5058</v>
      </c>
      <c r="F1130" t="s">
        <v>5059</v>
      </c>
      <c r="G1130" t="s">
        <v>5066</v>
      </c>
      <c r="H1130" s="6" t="s">
        <v>7796</v>
      </c>
    </row>
    <row r="1131" spans="1:8" ht="136" x14ac:dyDescent="0.2">
      <c r="A1131">
        <v>1129</v>
      </c>
      <c r="B1131" t="s">
        <v>1611</v>
      </c>
      <c r="C1131" t="s">
        <v>3051</v>
      </c>
      <c r="D1131" t="s">
        <v>3735</v>
      </c>
      <c r="E1131" t="s">
        <v>5067</v>
      </c>
      <c r="F1131" t="s">
        <v>5068</v>
      </c>
      <c r="G1131" t="s">
        <v>5069</v>
      </c>
      <c r="H1131" s="6" t="s">
        <v>7797</v>
      </c>
    </row>
    <row r="1132" spans="1:8" ht="221" x14ac:dyDescent="0.2">
      <c r="A1132">
        <v>1130</v>
      </c>
      <c r="B1132" t="s">
        <v>1611</v>
      </c>
      <c r="C1132" t="s">
        <v>3051</v>
      </c>
      <c r="D1132" t="s">
        <v>3735</v>
      </c>
      <c r="E1132" t="s">
        <v>5067</v>
      </c>
      <c r="F1132" t="s">
        <v>5068</v>
      </c>
      <c r="G1132" t="s">
        <v>5070</v>
      </c>
      <c r="H1132" s="6" t="s">
        <v>7798</v>
      </c>
    </row>
    <row r="1133" spans="1:8" ht="238" x14ac:dyDescent="0.2">
      <c r="A1133">
        <v>1131</v>
      </c>
      <c r="B1133" t="s">
        <v>1611</v>
      </c>
      <c r="C1133" t="s">
        <v>3051</v>
      </c>
      <c r="D1133" t="s">
        <v>3735</v>
      </c>
      <c r="E1133" t="s">
        <v>5067</v>
      </c>
      <c r="F1133" t="s">
        <v>5068</v>
      </c>
      <c r="G1133" t="s">
        <v>5071</v>
      </c>
      <c r="H1133" s="6" t="s">
        <v>7799</v>
      </c>
    </row>
    <row r="1134" spans="1:8" ht="204" x14ac:dyDescent="0.2">
      <c r="A1134">
        <v>1132</v>
      </c>
      <c r="B1134" t="s">
        <v>1611</v>
      </c>
      <c r="C1134" t="s">
        <v>3051</v>
      </c>
      <c r="D1134" t="s">
        <v>3735</v>
      </c>
      <c r="E1134" t="s">
        <v>5067</v>
      </c>
      <c r="F1134" t="s">
        <v>5068</v>
      </c>
      <c r="G1134" t="s">
        <v>5072</v>
      </c>
      <c r="H1134" s="6" t="s">
        <v>7800</v>
      </c>
    </row>
    <row r="1135" spans="1:8" ht="170" x14ac:dyDescent="0.2">
      <c r="A1135">
        <v>1133</v>
      </c>
      <c r="B1135" t="s">
        <v>1611</v>
      </c>
      <c r="C1135" t="s">
        <v>3051</v>
      </c>
      <c r="D1135" t="s">
        <v>3735</v>
      </c>
      <c r="E1135" t="s">
        <v>5067</v>
      </c>
      <c r="F1135" t="s">
        <v>5068</v>
      </c>
      <c r="G1135" t="s">
        <v>5073</v>
      </c>
      <c r="H1135" s="6" t="s">
        <v>7801</v>
      </c>
    </row>
    <row r="1136" spans="1:8" ht="102" x14ac:dyDescent="0.2">
      <c r="A1136">
        <v>1134</v>
      </c>
      <c r="B1136" t="s">
        <v>1611</v>
      </c>
      <c r="C1136" t="s">
        <v>3051</v>
      </c>
      <c r="D1136" t="s">
        <v>3735</v>
      </c>
      <c r="E1136" t="s">
        <v>5067</v>
      </c>
      <c r="F1136" t="s">
        <v>5068</v>
      </c>
      <c r="G1136" t="s">
        <v>5074</v>
      </c>
      <c r="H1136" s="6" t="s">
        <v>7802</v>
      </c>
    </row>
    <row r="1137" spans="1:8" ht="119" x14ac:dyDescent="0.2">
      <c r="A1137">
        <v>1135</v>
      </c>
      <c r="B1137" t="s">
        <v>1611</v>
      </c>
      <c r="C1137" t="s">
        <v>3051</v>
      </c>
      <c r="D1137" t="s">
        <v>3735</v>
      </c>
      <c r="E1137" t="s">
        <v>5067</v>
      </c>
      <c r="F1137" t="s">
        <v>5068</v>
      </c>
      <c r="G1137" t="s">
        <v>5075</v>
      </c>
      <c r="H1137" s="6" t="s">
        <v>7803</v>
      </c>
    </row>
    <row r="1138" spans="1:8" ht="170" x14ac:dyDescent="0.2">
      <c r="A1138">
        <v>1136</v>
      </c>
      <c r="B1138" t="s">
        <v>1611</v>
      </c>
      <c r="C1138" t="s">
        <v>3051</v>
      </c>
      <c r="D1138" t="s">
        <v>3735</v>
      </c>
      <c r="E1138" t="s">
        <v>5076</v>
      </c>
      <c r="F1138" t="s">
        <v>5077</v>
      </c>
      <c r="G1138" t="s">
        <v>5078</v>
      </c>
      <c r="H1138" s="6" t="s">
        <v>7804</v>
      </c>
    </row>
    <row r="1139" spans="1:8" ht="85" x14ac:dyDescent="0.2">
      <c r="A1139">
        <v>1137</v>
      </c>
      <c r="B1139" t="s">
        <v>1611</v>
      </c>
      <c r="C1139" t="s">
        <v>3051</v>
      </c>
      <c r="D1139" t="s">
        <v>3735</v>
      </c>
      <c r="E1139" t="s">
        <v>5076</v>
      </c>
      <c r="F1139" t="s">
        <v>5077</v>
      </c>
      <c r="G1139" t="s">
        <v>5079</v>
      </c>
      <c r="H1139" s="6" t="s">
        <v>7805</v>
      </c>
    </row>
    <row r="1140" spans="1:8" ht="153" x14ac:dyDescent="0.2">
      <c r="A1140">
        <v>1138</v>
      </c>
      <c r="B1140" t="s">
        <v>1611</v>
      </c>
      <c r="C1140" t="s">
        <v>3051</v>
      </c>
      <c r="D1140" t="s">
        <v>3735</v>
      </c>
      <c r="E1140" t="s">
        <v>5076</v>
      </c>
      <c r="F1140" t="s">
        <v>5077</v>
      </c>
      <c r="G1140" t="s">
        <v>5080</v>
      </c>
      <c r="H1140" s="6" t="s">
        <v>7806</v>
      </c>
    </row>
    <row r="1141" spans="1:8" ht="170" x14ac:dyDescent="0.2">
      <c r="A1141">
        <v>1139</v>
      </c>
      <c r="B1141" t="s">
        <v>1611</v>
      </c>
      <c r="C1141" t="s">
        <v>3051</v>
      </c>
      <c r="D1141" t="s">
        <v>3735</v>
      </c>
      <c r="E1141" t="s">
        <v>5076</v>
      </c>
      <c r="F1141" t="s">
        <v>5077</v>
      </c>
      <c r="G1141" t="s">
        <v>5081</v>
      </c>
      <c r="H1141" s="6" t="s">
        <v>7807</v>
      </c>
    </row>
    <row r="1142" spans="1:8" ht="153" x14ac:dyDescent="0.2">
      <c r="A1142">
        <v>1140</v>
      </c>
      <c r="B1142" t="s">
        <v>1611</v>
      </c>
      <c r="C1142" t="s">
        <v>3051</v>
      </c>
      <c r="D1142" t="s">
        <v>3735</v>
      </c>
      <c r="E1142" t="s">
        <v>5082</v>
      </c>
      <c r="F1142" t="s">
        <v>5083</v>
      </c>
      <c r="G1142" t="s">
        <v>5084</v>
      </c>
      <c r="H1142" s="6" t="s">
        <v>7808</v>
      </c>
    </row>
    <row r="1143" spans="1:8" ht="153" x14ac:dyDescent="0.2">
      <c r="A1143">
        <v>1141</v>
      </c>
      <c r="B1143" t="s">
        <v>1611</v>
      </c>
      <c r="C1143" t="s">
        <v>3051</v>
      </c>
      <c r="D1143" t="s">
        <v>3735</v>
      </c>
      <c r="E1143" t="s">
        <v>5082</v>
      </c>
      <c r="F1143" t="s">
        <v>5083</v>
      </c>
      <c r="G1143" t="s">
        <v>5085</v>
      </c>
      <c r="H1143" s="6" t="s">
        <v>7809</v>
      </c>
    </row>
    <row r="1144" spans="1:8" ht="119" x14ac:dyDescent="0.2">
      <c r="A1144">
        <v>1142</v>
      </c>
      <c r="B1144" t="s">
        <v>1611</v>
      </c>
      <c r="C1144" t="s">
        <v>3051</v>
      </c>
      <c r="D1144" t="s">
        <v>3735</v>
      </c>
      <c r="E1144" t="s">
        <v>5082</v>
      </c>
      <c r="F1144" t="s">
        <v>5083</v>
      </c>
      <c r="G1144" t="s">
        <v>5086</v>
      </c>
      <c r="H1144" s="6" t="s">
        <v>7810</v>
      </c>
    </row>
    <row r="1145" spans="1:8" ht="409.6" x14ac:dyDescent="0.2">
      <c r="A1145">
        <v>1143</v>
      </c>
      <c r="B1145" t="s">
        <v>1611</v>
      </c>
      <c r="C1145" t="s">
        <v>3051</v>
      </c>
      <c r="D1145" t="s">
        <v>3735</v>
      </c>
      <c r="E1145" t="s">
        <v>5082</v>
      </c>
      <c r="F1145" t="s">
        <v>5083</v>
      </c>
      <c r="G1145" t="s">
        <v>5087</v>
      </c>
      <c r="H1145" s="6" t="s">
        <v>7811</v>
      </c>
    </row>
    <row r="1146" spans="1:8" ht="102" x14ac:dyDescent="0.2">
      <c r="A1146">
        <v>1144</v>
      </c>
      <c r="B1146" t="s">
        <v>1611</v>
      </c>
      <c r="C1146" t="s">
        <v>3051</v>
      </c>
      <c r="D1146" t="s">
        <v>3735</v>
      </c>
      <c r="E1146" t="s">
        <v>5082</v>
      </c>
      <c r="F1146" t="s">
        <v>5083</v>
      </c>
      <c r="G1146" t="s">
        <v>5088</v>
      </c>
      <c r="H1146" s="6" t="s">
        <v>7812</v>
      </c>
    </row>
    <row r="1147" spans="1:8" ht="85" x14ac:dyDescent="0.2">
      <c r="A1147">
        <v>1145</v>
      </c>
      <c r="B1147" t="s">
        <v>1611</v>
      </c>
      <c r="C1147" t="s">
        <v>3051</v>
      </c>
      <c r="D1147" t="s">
        <v>3735</v>
      </c>
      <c r="E1147" t="s">
        <v>5082</v>
      </c>
      <c r="F1147" t="s">
        <v>5083</v>
      </c>
      <c r="G1147" t="s">
        <v>5089</v>
      </c>
      <c r="H1147" s="6" t="s">
        <v>7813</v>
      </c>
    </row>
    <row r="1148" spans="1:8" ht="85" x14ac:dyDescent="0.2">
      <c r="A1148">
        <v>1146</v>
      </c>
      <c r="B1148" t="s">
        <v>1611</v>
      </c>
      <c r="C1148" t="s">
        <v>3051</v>
      </c>
      <c r="D1148" t="s">
        <v>3735</v>
      </c>
      <c r="E1148" t="s">
        <v>5082</v>
      </c>
      <c r="F1148" t="s">
        <v>5083</v>
      </c>
      <c r="G1148" t="s">
        <v>5090</v>
      </c>
      <c r="H1148" s="6" t="s">
        <v>7814</v>
      </c>
    </row>
    <row r="1149" spans="1:8" ht="85" x14ac:dyDescent="0.2">
      <c r="A1149">
        <v>1147</v>
      </c>
      <c r="B1149" t="s">
        <v>1611</v>
      </c>
      <c r="C1149" t="s">
        <v>3051</v>
      </c>
      <c r="D1149" t="s">
        <v>3735</v>
      </c>
      <c r="E1149" t="s">
        <v>5082</v>
      </c>
      <c r="F1149" t="s">
        <v>5083</v>
      </c>
      <c r="G1149" t="s">
        <v>5091</v>
      </c>
      <c r="H1149" s="6" t="s">
        <v>7815</v>
      </c>
    </row>
    <row r="1150" spans="1:8" ht="85" x14ac:dyDescent="0.2">
      <c r="A1150">
        <v>1148</v>
      </c>
      <c r="B1150" t="s">
        <v>1611</v>
      </c>
      <c r="C1150" t="s">
        <v>3051</v>
      </c>
      <c r="D1150" t="s">
        <v>3735</v>
      </c>
      <c r="E1150" t="s">
        <v>5082</v>
      </c>
      <c r="F1150" t="s">
        <v>5083</v>
      </c>
      <c r="G1150" t="s">
        <v>5092</v>
      </c>
      <c r="H1150" s="6" t="s">
        <v>7816</v>
      </c>
    </row>
    <row r="1151" spans="1:8" ht="85" x14ac:dyDescent="0.2">
      <c r="A1151">
        <v>1149</v>
      </c>
      <c r="B1151" t="s">
        <v>1611</v>
      </c>
      <c r="C1151" t="s">
        <v>3051</v>
      </c>
      <c r="D1151" t="s">
        <v>3735</v>
      </c>
      <c r="E1151" t="s">
        <v>5082</v>
      </c>
      <c r="F1151" t="s">
        <v>5083</v>
      </c>
      <c r="G1151" t="s">
        <v>5093</v>
      </c>
      <c r="H1151" s="6" t="s">
        <v>7817</v>
      </c>
    </row>
    <row r="1152" spans="1:8" ht="85" x14ac:dyDescent="0.2">
      <c r="A1152">
        <v>1150</v>
      </c>
      <c r="B1152" t="s">
        <v>1611</v>
      </c>
      <c r="C1152" t="s">
        <v>3051</v>
      </c>
      <c r="D1152" t="s">
        <v>3735</v>
      </c>
      <c r="E1152" t="s">
        <v>5082</v>
      </c>
      <c r="F1152" t="s">
        <v>5083</v>
      </c>
      <c r="G1152" t="s">
        <v>5094</v>
      </c>
      <c r="H1152" s="6" t="s">
        <v>7818</v>
      </c>
    </row>
    <row r="1153" spans="1:8" ht="85" x14ac:dyDescent="0.2">
      <c r="A1153">
        <v>1151</v>
      </c>
      <c r="B1153" t="s">
        <v>1611</v>
      </c>
      <c r="C1153" t="s">
        <v>3051</v>
      </c>
      <c r="D1153" t="s">
        <v>3735</v>
      </c>
      <c r="E1153" t="s">
        <v>5082</v>
      </c>
      <c r="F1153" t="s">
        <v>5083</v>
      </c>
      <c r="G1153" t="s">
        <v>5095</v>
      </c>
      <c r="H1153" s="6" t="s">
        <v>7819</v>
      </c>
    </row>
    <row r="1154" spans="1:8" ht="85" x14ac:dyDescent="0.2">
      <c r="A1154">
        <v>1152</v>
      </c>
      <c r="B1154" t="s">
        <v>1611</v>
      </c>
      <c r="C1154" t="s">
        <v>3051</v>
      </c>
      <c r="D1154" t="s">
        <v>3735</v>
      </c>
      <c r="E1154" t="s">
        <v>5082</v>
      </c>
      <c r="F1154" t="s">
        <v>5083</v>
      </c>
      <c r="G1154" t="s">
        <v>5096</v>
      </c>
      <c r="H1154" s="6" t="s">
        <v>7820</v>
      </c>
    </row>
    <row r="1155" spans="1:8" ht="85" x14ac:dyDescent="0.2">
      <c r="A1155">
        <v>1153</v>
      </c>
      <c r="B1155" t="s">
        <v>1611</v>
      </c>
      <c r="C1155" t="s">
        <v>3051</v>
      </c>
      <c r="D1155" t="s">
        <v>3735</v>
      </c>
      <c r="E1155" t="s">
        <v>5082</v>
      </c>
      <c r="F1155" t="s">
        <v>5083</v>
      </c>
      <c r="G1155" t="s">
        <v>5097</v>
      </c>
      <c r="H1155" s="6" t="s">
        <v>7821</v>
      </c>
    </row>
    <row r="1156" spans="1:8" ht="102" x14ac:dyDescent="0.2">
      <c r="A1156">
        <v>1154</v>
      </c>
      <c r="B1156" t="s">
        <v>1611</v>
      </c>
      <c r="C1156" t="s">
        <v>3051</v>
      </c>
      <c r="D1156" t="s">
        <v>3735</v>
      </c>
      <c r="E1156" t="s">
        <v>5082</v>
      </c>
      <c r="F1156" t="s">
        <v>5083</v>
      </c>
      <c r="G1156" t="s">
        <v>5098</v>
      </c>
      <c r="H1156" s="6" t="s">
        <v>7822</v>
      </c>
    </row>
    <row r="1157" spans="1:8" ht="85" x14ac:dyDescent="0.2">
      <c r="A1157">
        <v>1155</v>
      </c>
      <c r="B1157" t="s">
        <v>1611</v>
      </c>
      <c r="C1157" t="s">
        <v>3051</v>
      </c>
      <c r="D1157" t="s">
        <v>3735</v>
      </c>
      <c r="E1157" t="s">
        <v>5082</v>
      </c>
      <c r="F1157" t="s">
        <v>5083</v>
      </c>
      <c r="G1157" t="s">
        <v>5099</v>
      </c>
      <c r="H1157" s="6" t="s">
        <v>7823</v>
      </c>
    </row>
    <row r="1158" spans="1:8" ht="85" x14ac:dyDescent="0.2">
      <c r="A1158">
        <v>1156</v>
      </c>
      <c r="B1158" t="s">
        <v>1611</v>
      </c>
      <c r="C1158" t="s">
        <v>3051</v>
      </c>
      <c r="D1158" t="s">
        <v>3735</v>
      </c>
      <c r="E1158" t="s">
        <v>5082</v>
      </c>
      <c r="F1158" t="s">
        <v>5083</v>
      </c>
      <c r="G1158" t="s">
        <v>5100</v>
      </c>
      <c r="H1158" s="6" t="s">
        <v>7824</v>
      </c>
    </row>
    <row r="1159" spans="1:8" ht="85" x14ac:dyDescent="0.2">
      <c r="A1159">
        <v>1157</v>
      </c>
      <c r="B1159" t="s">
        <v>1611</v>
      </c>
      <c r="C1159" t="s">
        <v>3051</v>
      </c>
      <c r="D1159" t="s">
        <v>3735</v>
      </c>
      <c r="E1159" t="s">
        <v>5082</v>
      </c>
      <c r="F1159" t="s">
        <v>5083</v>
      </c>
      <c r="G1159" t="s">
        <v>5101</v>
      </c>
      <c r="H1159" s="6" t="s">
        <v>7825</v>
      </c>
    </row>
    <row r="1160" spans="1:8" ht="85" x14ac:dyDescent="0.2">
      <c r="A1160">
        <v>1158</v>
      </c>
      <c r="B1160" t="s">
        <v>1611</v>
      </c>
      <c r="C1160" t="s">
        <v>3051</v>
      </c>
      <c r="D1160" t="s">
        <v>3735</v>
      </c>
      <c r="E1160" t="s">
        <v>5082</v>
      </c>
      <c r="F1160" t="s">
        <v>5083</v>
      </c>
      <c r="G1160" t="s">
        <v>5102</v>
      </c>
      <c r="H1160" s="6" t="s">
        <v>7826</v>
      </c>
    </row>
    <row r="1161" spans="1:8" ht="136" x14ac:dyDescent="0.2">
      <c r="A1161">
        <v>1159</v>
      </c>
      <c r="B1161" t="s">
        <v>1611</v>
      </c>
      <c r="C1161" t="s">
        <v>3051</v>
      </c>
      <c r="D1161" t="s">
        <v>3735</v>
      </c>
      <c r="E1161" t="s">
        <v>5082</v>
      </c>
      <c r="F1161" t="s">
        <v>5083</v>
      </c>
      <c r="G1161" t="s">
        <v>5103</v>
      </c>
      <c r="H1161" s="6" t="s">
        <v>7827</v>
      </c>
    </row>
    <row r="1162" spans="1:8" ht="102" x14ac:dyDescent="0.2">
      <c r="A1162">
        <v>1160</v>
      </c>
      <c r="B1162" t="s">
        <v>1611</v>
      </c>
      <c r="C1162" t="s">
        <v>3051</v>
      </c>
      <c r="D1162" t="s">
        <v>3735</v>
      </c>
      <c r="E1162" t="s">
        <v>5082</v>
      </c>
      <c r="F1162" t="s">
        <v>5083</v>
      </c>
      <c r="G1162" t="s">
        <v>5104</v>
      </c>
      <c r="H1162" s="6" t="s">
        <v>7828</v>
      </c>
    </row>
    <row r="1163" spans="1:8" ht="85" x14ac:dyDescent="0.2">
      <c r="A1163">
        <v>1161</v>
      </c>
      <c r="B1163" t="s">
        <v>1611</v>
      </c>
      <c r="C1163" t="s">
        <v>3051</v>
      </c>
      <c r="D1163" t="s">
        <v>3735</v>
      </c>
      <c r="E1163" t="s">
        <v>5082</v>
      </c>
      <c r="F1163" t="s">
        <v>5083</v>
      </c>
      <c r="G1163" t="s">
        <v>5105</v>
      </c>
      <c r="H1163" s="6" t="s">
        <v>7829</v>
      </c>
    </row>
    <row r="1164" spans="1:8" ht="153" x14ac:dyDescent="0.2">
      <c r="A1164">
        <v>1162</v>
      </c>
      <c r="B1164" t="s">
        <v>1611</v>
      </c>
      <c r="C1164" t="s">
        <v>3051</v>
      </c>
      <c r="D1164" t="s">
        <v>3735</v>
      </c>
      <c r="E1164" t="s">
        <v>5082</v>
      </c>
      <c r="F1164" t="s">
        <v>5083</v>
      </c>
      <c r="G1164" t="s">
        <v>5106</v>
      </c>
      <c r="H1164" s="6" t="s">
        <v>7830</v>
      </c>
    </row>
    <row r="1165" spans="1:8" ht="187" x14ac:dyDescent="0.2">
      <c r="A1165">
        <v>1163</v>
      </c>
      <c r="B1165" t="s">
        <v>1611</v>
      </c>
      <c r="C1165" t="s">
        <v>3051</v>
      </c>
      <c r="D1165" t="s">
        <v>3735</v>
      </c>
      <c r="E1165" t="s">
        <v>5082</v>
      </c>
      <c r="F1165" t="s">
        <v>5083</v>
      </c>
      <c r="G1165" t="s">
        <v>5107</v>
      </c>
      <c r="H1165" s="6" t="s">
        <v>7831</v>
      </c>
    </row>
    <row r="1166" spans="1:8" ht="272" x14ac:dyDescent="0.2">
      <c r="A1166">
        <v>1164</v>
      </c>
      <c r="B1166" t="s">
        <v>1611</v>
      </c>
      <c r="C1166" t="s">
        <v>3051</v>
      </c>
      <c r="D1166" t="s">
        <v>3735</v>
      </c>
      <c r="E1166" t="s">
        <v>5082</v>
      </c>
      <c r="F1166" t="s">
        <v>5083</v>
      </c>
      <c r="G1166" t="s">
        <v>5108</v>
      </c>
      <c r="H1166" s="6" t="s">
        <v>7832</v>
      </c>
    </row>
    <row r="1167" spans="1:8" ht="102" x14ac:dyDescent="0.2">
      <c r="A1167">
        <v>1165</v>
      </c>
      <c r="B1167" t="s">
        <v>1611</v>
      </c>
      <c r="C1167" t="s">
        <v>3051</v>
      </c>
      <c r="D1167" t="s">
        <v>3735</v>
      </c>
      <c r="E1167" t="s">
        <v>5082</v>
      </c>
      <c r="F1167" t="s">
        <v>5083</v>
      </c>
      <c r="G1167" t="s">
        <v>5109</v>
      </c>
      <c r="H1167" s="6" t="s">
        <v>7833</v>
      </c>
    </row>
    <row r="1168" spans="1:8" ht="102" x14ac:dyDescent="0.2">
      <c r="A1168">
        <v>1166</v>
      </c>
      <c r="B1168" t="s">
        <v>1611</v>
      </c>
      <c r="C1168" t="s">
        <v>3051</v>
      </c>
      <c r="D1168" t="s">
        <v>3735</v>
      </c>
      <c r="E1168" t="s">
        <v>5082</v>
      </c>
      <c r="F1168" t="s">
        <v>5083</v>
      </c>
      <c r="G1168" t="s">
        <v>5110</v>
      </c>
      <c r="H1168" s="6" t="s">
        <v>7834</v>
      </c>
    </row>
    <row r="1169" spans="1:8" ht="102" x14ac:dyDescent="0.2">
      <c r="A1169">
        <v>1167</v>
      </c>
      <c r="B1169" t="s">
        <v>1611</v>
      </c>
      <c r="C1169" t="s">
        <v>3051</v>
      </c>
      <c r="D1169" t="s">
        <v>3735</v>
      </c>
      <c r="E1169" t="s">
        <v>5082</v>
      </c>
      <c r="F1169" t="s">
        <v>5083</v>
      </c>
      <c r="G1169" t="s">
        <v>5111</v>
      </c>
      <c r="H1169" s="6" t="s">
        <v>7835</v>
      </c>
    </row>
    <row r="1170" spans="1:8" ht="255" x14ac:dyDescent="0.2">
      <c r="A1170">
        <v>1168</v>
      </c>
      <c r="B1170" t="s">
        <v>1611</v>
      </c>
      <c r="C1170" t="s">
        <v>3051</v>
      </c>
      <c r="D1170" t="s">
        <v>3735</v>
      </c>
      <c r="E1170" t="s">
        <v>5082</v>
      </c>
      <c r="F1170" t="s">
        <v>5083</v>
      </c>
      <c r="G1170" t="s">
        <v>5112</v>
      </c>
      <c r="H1170" s="6" t="s">
        <v>7836</v>
      </c>
    </row>
    <row r="1171" spans="1:8" ht="323" x14ac:dyDescent="0.2">
      <c r="A1171">
        <v>1169</v>
      </c>
      <c r="B1171" t="s">
        <v>1611</v>
      </c>
      <c r="C1171" t="s">
        <v>3051</v>
      </c>
      <c r="D1171" t="s">
        <v>3735</v>
      </c>
      <c r="E1171" t="s">
        <v>5082</v>
      </c>
      <c r="F1171" t="s">
        <v>5083</v>
      </c>
      <c r="G1171" t="s">
        <v>5113</v>
      </c>
      <c r="H1171" s="6" t="s">
        <v>7837</v>
      </c>
    </row>
    <row r="1172" spans="1:8" ht="102" x14ac:dyDescent="0.2">
      <c r="A1172">
        <v>1170</v>
      </c>
      <c r="B1172" t="s">
        <v>1611</v>
      </c>
      <c r="C1172" t="s">
        <v>3051</v>
      </c>
      <c r="D1172" t="s">
        <v>3735</v>
      </c>
      <c r="E1172" t="s">
        <v>5082</v>
      </c>
      <c r="F1172" t="s">
        <v>5083</v>
      </c>
      <c r="G1172" t="s">
        <v>5114</v>
      </c>
      <c r="H1172" s="6" t="s">
        <v>7838</v>
      </c>
    </row>
    <row r="1173" spans="1:8" ht="102" x14ac:dyDescent="0.2">
      <c r="A1173">
        <v>1171</v>
      </c>
      <c r="B1173" t="s">
        <v>1611</v>
      </c>
      <c r="C1173" t="s">
        <v>3051</v>
      </c>
      <c r="D1173" t="s">
        <v>3735</v>
      </c>
      <c r="E1173" t="s">
        <v>5082</v>
      </c>
      <c r="F1173" t="s">
        <v>5083</v>
      </c>
      <c r="G1173" t="s">
        <v>5115</v>
      </c>
      <c r="H1173" s="6" t="s">
        <v>7839</v>
      </c>
    </row>
    <row r="1174" spans="1:8" ht="136" x14ac:dyDescent="0.2">
      <c r="A1174">
        <v>1172</v>
      </c>
      <c r="B1174" t="s">
        <v>1611</v>
      </c>
      <c r="C1174" t="s">
        <v>3051</v>
      </c>
      <c r="D1174" t="s">
        <v>3735</v>
      </c>
      <c r="E1174" t="s">
        <v>5082</v>
      </c>
      <c r="F1174" t="s">
        <v>5083</v>
      </c>
      <c r="G1174" t="s">
        <v>5116</v>
      </c>
      <c r="H1174" s="6" t="s">
        <v>7840</v>
      </c>
    </row>
    <row r="1175" spans="1:8" ht="102" x14ac:dyDescent="0.2">
      <c r="A1175">
        <v>1173</v>
      </c>
      <c r="B1175" t="s">
        <v>1611</v>
      </c>
      <c r="C1175" t="s">
        <v>3051</v>
      </c>
      <c r="D1175" t="s">
        <v>3735</v>
      </c>
      <c r="E1175" t="s">
        <v>5082</v>
      </c>
      <c r="F1175" t="s">
        <v>5083</v>
      </c>
      <c r="G1175" t="s">
        <v>5117</v>
      </c>
      <c r="H1175" s="6" t="s">
        <v>7841</v>
      </c>
    </row>
    <row r="1176" spans="1:8" ht="221" x14ac:dyDescent="0.2">
      <c r="A1176">
        <v>1174</v>
      </c>
      <c r="B1176" t="s">
        <v>1611</v>
      </c>
      <c r="C1176" t="s">
        <v>3051</v>
      </c>
      <c r="D1176" t="s">
        <v>3735</v>
      </c>
      <c r="E1176" t="s">
        <v>5082</v>
      </c>
      <c r="F1176" t="s">
        <v>5083</v>
      </c>
      <c r="G1176" t="s">
        <v>5118</v>
      </c>
      <c r="H1176" s="6" t="s">
        <v>7842</v>
      </c>
    </row>
    <row r="1177" spans="1:8" ht="102" x14ac:dyDescent="0.2">
      <c r="A1177">
        <v>1175</v>
      </c>
      <c r="B1177" t="s">
        <v>1611</v>
      </c>
      <c r="C1177" t="s">
        <v>3051</v>
      </c>
      <c r="D1177" t="s">
        <v>3735</v>
      </c>
      <c r="E1177" t="s">
        <v>5082</v>
      </c>
      <c r="F1177" t="s">
        <v>5083</v>
      </c>
      <c r="G1177" t="s">
        <v>5119</v>
      </c>
      <c r="H1177" s="6" t="s">
        <v>7843</v>
      </c>
    </row>
    <row r="1178" spans="1:8" ht="102" x14ac:dyDescent="0.2">
      <c r="A1178">
        <v>1176</v>
      </c>
      <c r="B1178" t="s">
        <v>1611</v>
      </c>
      <c r="C1178" t="s">
        <v>3051</v>
      </c>
      <c r="D1178" t="s">
        <v>3735</v>
      </c>
      <c r="E1178" t="s">
        <v>5082</v>
      </c>
      <c r="F1178" t="s">
        <v>5083</v>
      </c>
      <c r="G1178" t="s">
        <v>5120</v>
      </c>
      <c r="H1178" s="6" t="s">
        <v>7844</v>
      </c>
    </row>
    <row r="1179" spans="1:8" ht="85" x14ac:dyDescent="0.2">
      <c r="A1179">
        <v>1177</v>
      </c>
      <c r="B1179" t="s">
        <v>1611</v>
      </c>
      <c r="C1179" t="s">
        <v>3051</v>
      </c>
      <c r="D1179" t="s">
        <v>3735</v>
      </c>
      <c r="E1179" t="s">
        <v>5082</v>
      </c>
      <c r="F1179" t="s">
        <v>5083</v>
      </c>
      <c r="G1179" t="s">
        <v>5121</v>
      </c>
      <c r="H1179" s="6" t="s">
        <v>7845</v>
      </c>
    </row>
    <row r="1180" spans="1:8" ht="85" x14ac:dyDescent="0.2">
      <c r="A1180">
        <v>1178</v>
      </c>
      <c r="B1180" t="s">
        <v>1611</v>
      </c>
      <c r="C1180" t="s">
        <v>3051</v>
      </c>
      <c r="D1180" t="s">
        <v>3735</v>
      </c>
      <c r="E1180" t="s">
        <v>5082</v>
      </c>
      <c r="F1180" t="s">
        <v>5083</v>
      </c>
      <c r="G1180" t="s">
        <v>5122</v>
      </c>
      <c r="H1180" s="6" t="s">
        <v>7846</v>
      </c>
    </row>
    <row r="1181" spans="1:8" ht="85" x14ac:dyDescent="0.2">
      <c r="A1181">
        <v>1179</v>
      </c>
      <c r="B1181" t="s">
        <v>1611</v>
      </c>
      <c r="C1181" t="s">
        <v>3051</v>
      </c>
      <c r="D1181" t="s">
        <v>3735</v>
      </c>
      <c r="E1181" t="s">
        <v>5082</v>
      </c>
      <c r="F1181" t="s">
        <v>5083</v>
      </c>
      <c r="G1181" t="s">
        <v>5123</v>
      </c>
      <c r="H1181" s="6" t="s">
        <v>7847</v>
      </c>
    </row>
    <row r="1182" spans="1:8" ht="404" x14ac:dyDescent="0.2">
      <c r="A1182">
        <v>1180</v>
      </c>
      <c r="B1182" t="s">
        <v>1611</v>
      </c>
      <c r="C1182" t="s">
        <v>3051</v>
      </c>
      <c r="D1182" t="s">
        <v>3735</v>
      </c>
      <c r="E1182" t="s">
        <v>5082</v>
      </c>
      <c r="F1182" t="s">
        <v>5083</v>
      </c>
      <c r="G1182" t="s">
        <v>5124</v>
      </c>
      <c r="H1182" s="6" t="s">
        <v>7848</v>
      </c>
    </row>
    <row r="1183" spans="1:8" ht="340" x14ac:dyDescent="0.2">
      <c r="A1183">
        <v>1181</v>
      </c>
      <c r="B1183" t="s">
        <v>1611</v>
      </c>
      <c r="C1183" t="s">
        <v>3051</v>
      </c>
      <c r="D1183" t="s">
        <v>3735</v>
      </c>
      <c r="E1183" t="s">
        <v>5125</v>
      </c>
      <c r="F1183" t="s">
        <v>5126</v>
      </c>
      <c r="G1183" t="s">
        <v>5127</v>
      </c>
      <c r="H1183" s="6" t="s">
        <v>7849</v>
      </c>
    </row>
    <row r="1184" spans="1:8" ht="102" x14ac:dyDescent="0.2">
      <c r="A1184">
        <v>1182</v>
      </c>
      <c r="B1184" t="s">
        <v>1611</v>
      </c>
      <c r="C1184" t="s">
        <v>3051</v>
      </c>
      <c r="D1184" t="s">
        <v>3735</v>
      </c>
      <c r="E1184" t="s">
        <v>5125</v>
      </c>
      <c r="F1184" t="s">
        <v>5126</v>
      </c>
      <c r="G1184" t="s">
        <v>5128</v>
      </c>
      <c r="H1184" s="6" t="s">
        <v>7850</v>
      </c>
    </row>
    <row r="1185" spans="1:8" ht="102" x14ac:dyDescent="0.2">
      <c r="A1185">
        <v>1183</v>
      </c>
      <c r="B1185" t="s">
        <v>1611</v>
      </c>
      <c r="C1185" t="s">
        <v>3051</v>
      </c>
      <c r="D1185" t="s">
        <v>3735</v>
      </c>
      <c r="E1185" t="s">
        <v>5125</v>
      </c>
      <c r="F1185" t="s">
        <v>5126</v>
      </c>
      <c r="G1185" t="s">
        <v>5129</v>
      </c>
      <c r="H1185" s="6" t="s">
        <v>7851</v>
      </c>
    </row>
    <row r="1186" spans="1:8" ht="102" x14ac:dyDescent="0.2">
      <c r="A1186">
        <v>1184</v>
      </c>
      <c r="B1186" t="s">
        <v>1611</v>
      </c>
      <c r="C1186" t="s">
        <v>3051</v>
      </c>
      <c r="D1186" t="s">
        <v>3735</v>
      </c>
      <c r="E1186" t="s">
        <v>5125</v>
      </c>
      <c r="F1186" t="s">
        <v>5126</v>
      </c>
      <c r="G1186" t="s">
        <v>5130</v>
      </c>
      <c r="H1186" s="6" t="s">
        <v>7852</v>
      </c>
    </row>
    <row r="1187" spans="1:8" ht="102" x14ac:dyDescent="0.2">
      <c r="A1187">
        <v>1185</v>
      </c>
      <c r="B1187" t="s">
        <v>1611</v>
      </c>
      <c r="C1187" t="s">
        <v>3051</v>
      </c>
      <c r="D1187" t="s">
        <v>3735</v>
      </c>
      <c r="E1187" t="s">
        <v>5125</v>
      </c>
      <c r="F1187" t="s">
        <v>5126</v>
      </c>
      <c r="G1187" t="s">
        <v>5131</v>
      </c>
      <c r="H1187" s="6" t="s">
        <v>7853</v>
      </c>
    </row>
    <row r="1188" spans="1:8" ht="85" x14ac:dyDescent="0.2">
      <c r="A1188">
        <v>1186</v>
      </c>
      <c r="B1188" t="s">
        <v>1611</v>
      </c>
      <c r="C1188" t="s">
        <v>3051</v>
      </c>
      <c r="D1188" t="s">
        <v>3735</v>
      </c>
      <c r="E1188" t="s">
        <v>5125</v>
      </c>
      <c r="F1188" t="s">
        <v>5126</v>
      </c>
      <c r="G1188" t="s">
        <v>5132</v>
      </c>
      <c r="H1188" s="6" t="s">
        <v>7854</v>
      </c>
    </row>
    <row r="1189" spans="1:8" ht="85" x14ac:dyDescent="0.2">
      <c r="A1189">
        <v>1187</v>
      </c>
      <c r="B1189" t="s">
        <v>1611</v>
      </c>
      <c r="C1189" t="s">
        <v>3051</v>
      </c>
      <c r="D1189" t="s">
        <v>3735</v>
      </c>
      <c r="E1189" t="s">
        <v>5125</v>
      </c>
      <c r="F1189" t="s">
        <v>5126</v>
      </c>
      <c r="G1189" t="s">
        <v>5133</v>
      </c>
      <c r="H1189" s="6" t="s">
        <v>7855</v>
      </c>
    </row>
    <row r="1190" spans="1:8" ht="85" x14ac:dyDescent="0.2">
      <c r="A1190">
        <v>1188</v>
      </c>
      <c r="B1190" t="s">
        <v>1611</v>
      </c>
      <c r="C1190" t="s">
        <v>3051</v>
      </c>
      <c r="D1190" t="s">
        <v>3735</v>
      </c>
      <c r="E1190" t="s">
        <v>5125</v>
      </c>
      <c r="F1190" t="s">
        <v>5126</v>
      </c>
      <c r="G1190" t="s">
        <v>5134</v>
      </c>
      <c r="H1190" s="6" t="s">
        <v>7856</v>
      </c>
    </row>
    <row r="1191" spans="1:8" ht="85" x14ac:dyDescent="0.2">
      <c r="A1191">
        <v>1189</v>
      </c>
      <c r="B1191" t="s">
        <v>1611</v>
      </c>
      <c r="C1191" t="s">
        <v>3051</v>
      </c>
      <c r="D1191" t="s">
        <v>3735</v>
      </c>
      <c r="E1191" t="s">
        <v>5125</v>
      </c>
      <c r="F1191" t="s">
        <v>5126</v>
      </c>
      <c r="G1191" t="s">
        <v>5135</v>
      </c>
      <c r="H1191" s="6" t="s">
        <v>7854</v>
      </c>
    </row>
    <row r="1192" spans="1:8" ht="85" x14ac:dyDescent="0.2">
      <c r="A1192">
        <v>1190</v>
      </c>
      <c r="B1192" t="s">
        <v>1611</v>
      </c>
      <c r="C1192" t="s">
        <v>3051</v>
      </c>
      <c r="D1192" t="s">
        <v>3735</v>
      </c>
      <c r="E1192" t="s">
        <v>5125</v>
      </c>
      <c r="F1192" t="s">
        <v>5126</v>
      </c>
      <c r="G1192" t="s">
        <v>5136</v>
      </c>
      <c r="H1192" s="6" t="s">
        <v>7857</v>
      </c>
    </row>
    <row r="1193" spans="1:8" ht="85" x14ac:dyDescent="0.2">
      <c r="A1193">
        <v>1191</v>
      </c>
      <c r="B1193" t="s">
        <v>1611</v>
      </c>
      <c r="C1193" t="s">
        <v>3051</v>
      </c>
      <c r="D1193" t="s">
        <v>3735</v>
      </c>
      <c r="E1193" t="s">
        <v>5125</v>
      </c>
      <c r="F1193" t="s">
        <v>5126</v>
      </c>
      <c r="G1193" t="s">
        <v>5137</v>
      </c>
      <c r="H1193" s="6" t="s">
        <v>7858</v>
      </c>
    </row>
    <row r="1194" spans="1:8" ht="85" x14ac:dyDescent="0.2">
      <c r="A1194">
        <v>1192</v>
      </c>
      <c r="B1194" t="s">
        <v>1611</v>
      </c>
      <c r="C1194" t="s">
        <v>3051</v>
      </c>
      <c r="D1194" t="s">
        <v>3735</v>
      </c>
      <c r="E1194" t="s">
        <v>5125</v>
      </c>
      <c r="F1194" t="s">
        <v>5126</v>
      </c>
      <c r="G1194" t="s">
        <v>5138</v>
      </c>
      <c r="H1194" s="6" t="s">
        <v>7854</v>
      </c>
    </row>
    <row r="1195" spans="1:8" ht="102" x14ac:dyDescent="0.2">
      <c r="A1195">
        <v>1193</v>
      </c>
      <c r="B1195" t="s">
        <v>1611</v>
      </c>
      <c r="C1195" t="s">
        <v>3051</v>
      </c>
      <c r="D1195" t="s">
        <v>3735</v>
      </c>
      <c r="E1195" t="s">
        <v>5125</v>
      </c>
      <c r="F1195" t="s">
        <v>5126</v>
      </c>
      <c r="G1195" t="s">
        <v>5139</v>
      </c>
      <c r="H1195" s="6" t="s">
        <v>7859</v>
      </c>
    </row>
    <row r="1196" spans="1:8" ht="119" x14ac:dyDescent="0.2">
      <c r="A1196">
        <v>1194</v>
      </c>
      <c r="B1196" t="s">
        <v>1611</v>
      </c>
      <c r="C1196" t="s">
        <v>3051</v>
      </c>
      <c r="D1196" t="s">
        <v>3735</v>
      </c>
      <c r="E1196" t="s">
        <v>5125</v>
      </c>
      <c r="F1196" t="s">
        <v>5126</v>
      </c>
      <c r="G1196" t="s">
        <v>5140</v>
      </c>
      <c r="H1196" s="6" t="s">
        <v>7860</v>
      </c>
    </row>
    <row r="1197" spans="1:8" ht="153" x14ac:dyDescent="0.2">
      <c r="A1197">
        <v>1195</v>
      </c>
      <c r="B1197" t="s">
        <v>1611</v>
      </c>
      <c r="C1197" t="s">
        <v>3051</v>
      </c>
      <c r="D1197" t="s">
        <v>3735</v>
      </c>
      <c r="E1197" t="s">
        <v>5141</v>
      </c>
      <c r="F1197" t="s">
        <v>5142</v>
      </c>
      <c r="G1197" t="s">
        <v>5143</v>
      </c>
      <c r="H1197" s="6" t="s">
        <v>7861</v>
      </c>
    </row>
    <row r="1198" spans="1:8" ht="85" x14ac:dyDescent="0.2">
      <c r="A1198">
        <v>1196</v>
      </c>
      <c r="B1198" t="s">
        <v>1611</v>
      </c>
      <c r="C1198" t="s">
        <v>3051</v>
      </c>
      <c r="D1198" t="s">
        <v>3735</v>
      </c>
      <c r="E1198" t="s">
        <v>5141</v>
      </c>
      <c r="F1198" t="s">
        <v>5142</v>
      </c>
      <c r="G1198" t="s">
        <v>5144</v>
      </c>
      <c r="H1198" s="6" t="s">
        <v>7862</v>
      </c>
    </row>
    <row r="1199" spans="1:8" ht="102" x14ac:dyDescent="0.2">
      <c r="A1199">
        <v>1197</v>
      </c>
      <c r="B1199" t="s">
        <v>1611</v>
      </c>
      <c r="C1199" t="s">
        <v>3051</v>
      </c>
      <c r="D1199" t="s">
        <v>3735</v>
      </c>
      <c r="E1199" t="s">
        <v>5141</v>
      </c>
      <c r="F1199" t="s">
        <v>5142</v>
      </c>
      <c r="G1199" t="s">
        <v>5145</v>
      </c>
      <c r="H1199" s="6" t="s">
        <v>7863</v>
      </c>
    </row>
    <row r="1200" spans="1:8" ht="85" x14ac:dyDescent="0.2">
      <c r="A1200">
        <v>1198</v>
      </c>
      <c r="B1200" t="s">
        <v>1611</v>
      </c>
      <c r="C1200" t="s">
        <v>3051</v>
      </c>
      <c r="D1200" t="s">
        <v>3735</v>
      </c>
      <c r="E1200" t="s">
        <v>5141</v>
      </c>
      <c r="F1200" t="s">
        <v>5142</v>
      </c>
      <c r="G1200" t="s">
        <v>5146</v>
      </c>
      <c r="H1200" s="6" t="s">
        <v>7864</v>
      </c>
    </row>
    <row r="1201" spans="1:8" ht="85" x14ac:dyDescent="0.2">
      <c r="A1201">
        <v>1199</v>
      </c>
      <c r="B1201" t="s">
        <v>1611</v>
      </c>
      <c r="C1201" t="s">
        <v>3051</v>
      </c>
      <c r="D1201" t="s">
        <v>3735</v>
      </c>
      <c r="E1201" t="s">
        <v>5141</v>
      </c>
      <c r="F1201" t="s">
        <v>5142</v>
      </c>
      <c r="G1201" t="s">
        <v>5147</v>
      </c>
      <c r="H1201" s="6" t="s">
        <v>7865</v>
      </c>
    </row>
    <row r="1202" spans="1:8" ht="85" x14ac:dyDescent="0.2">
      <c r="A1202">
        <v>1200</v>
      </c>
      <c r="B1202" t="s">
        <v>1611</v>
      </c>
      <c r="C1202" t="s">
        <v>3051</v>
      </c>
      <c r="D1202" t="s">
        <v>3735</v>
      </c>
      <c r="E1202" t="s">
        <v>5141</v>
      </c>
      <c r="F1202" t="s">
        <v>5142</v>
      </c>
      <c r="G1202" t="s">
        <v>5148</v>
      </c>
      <c r="H1202" s="6" t="s">
        <v>7866</v>
      </c>
    </row>
    <row r="1203" spans="1:8" ht="85" x14ac:dyDescent="0.2">
      <c r="A1203">
        <v>1201</v>
      </c>
      <c r="B1203" t="s">
        <v>1611</v>
      </c>
      <c r="C1203" t="s">
        <v>3051</v>
      </c>
      <c r="D1203" t="s">
        <v>3735</v>
      </c>
      <c r="E1203" t="s">
        <v>5141</v>
      </c>
      <c r="F1203" t="s">
        <v>5142</v>
      </c>
      <c r="G1203" t="s">
        <v>5149</v>
      </c>
      <c r="H1203" s="6" t="s">
        <v>7867</v>
      </c>
    </row>
    <row r="1204" spans="1:8" ht="238" x14ac:dyDescent="0.2">
      <c r="A1204">
        <v>1202</v>
      </c>
      <c r="B1204" t="s">
        <v>1611</v>
      </c>
      <c r="C1204" t="s">
        <v>3051</v>
      </c>
      <c r="D1204" t="s">
        <v>3735</v>
      </c>
      <c r="E1204" t="s">
        <v>5141</v>
      </c>
      <c r="F1204" t="s">
        <v>5142</v>
      </c>
      <c r="G1204" t="s">
        <v>5150</v>
      </c>
      <c r="H1204" s="6" t="s">
        <v>7868</v>
      </c>
    </row>
    <row r="1205" spans="1:8" ht="153" x14ac:dyDescent="0.2">
      <c r="A1205">
        <v>1203</v>
      </c>
      <c r="B1205" t="s">
        <v>1611</v>
      </c>
      <c r="C1205" t="s">
        <v>3051</v>
      </c>
      <c r="D1205" t="s">
        <v>3735</v>
      </c>
      <c r="E1205" t="s">
        <v>5141</v>
      </c>
      <c r="F1205" t="s">
        <v>5142</v>
      </c>
      <c r="G1205" t="s">
        <v>5151</v>
      </c>
      <c r="H1205" s="6" t="s">
        <v>7869</v>
      </c>
    </row>
    <row r="1206" spans="1:8" ht="85" x14ac:dyDescent="0.2">
      <c r="A1206">
        <v>1204</v>
      </c>
      <c r="B1206" t="s">
        <v>1611</v>
      </c>
      <c r="C1206" t="s">
        <v>3051</v>
      </c>
      <c r="D1206" t="s">
        <v>3735</v>
      </c>
      <c r="E1206" t="s">
        <v>5141</v>
      </c>
      <c r="F1206" t="s">
        <v>5142</v>
      </c>
      <c r="G1206" t="s">
        <v>5152</v>
      </c>
      <c r="H1206" s="6" t="s">
        <v>7870</v>
      </c>
    </row>
    <row r="1207" spans="1:8" ht="85" x14ac:dyDescent="0.2">
      <c r="A1207">
        <v>1205</v>
      </c>
      <c r="B1207" t="s">
        <v>1611</v>
      </c>
      <c r="C1207" t="s">
        <v>3051</v>
      </c>
      <c r="D1207" t="s">
        <v>3735</v>
      </c>
      <c r="E1207" t="s">
        <v>5141</v>
      </c>
      <c r="F1207" t="s">
        <v>5142</v>
      </c>
      <c r="G1207" t="s">
        <v>5153</v>
      </c>
      <c r="H1207" s="6" t="s">
        <v>7871</v>
      </c>
    </row>
    <row r="1208" spans="1:8" ht="85" x14ac:dyDescent="0.2">
      <c r="A1208">
        <v>1206</v>
      </c>
      <c r="B1208" t="s">
        <v>1611</v>
      </c>
      <c r="C1208" t="s">
        <v>3051</v>
      </c>
      <c r="D1208" t="s">
        <v>3735</v>
      </c>
      <c r="E1208" t="s">
        <v>5141</v>
      </c>
      <c r="F1208" t="s">
        <v>5142</v>
      </c>
      <c r="G1208" t="s">
        <v>5154</v>
      </c>
      <c r="H1208" s="6" t="s">
        <v>7872</v>
      </c>
    </row>
    <row r="1209" spans="1:8" ht="187" x14ac:dyDescent="0.2">
      <c r="A1209">
        <v>1207</v>
      </c>
      <c r="B1209" t="s">
        <v>1611</v>
      </c>
      <c r="C1209" t="s">
        <v>3051</v>
      </c>
      <c r="D1209" t="s">
        <v>3735</v>
      </c>
      <c r="E1209" t="s">
        <v>5155</v>
      </c>
      <c r="F1209" t="s">
        <v>5156</v>
      </c>
      <c r="G1209" t="s">
        <v>5157</v>
      </c>
      <c r="H1209" s="6" t="s">
        <v>7873</v>
      </c>
    </row>
    <row r="1210" spans="1:8" ht="289" x14ac:dyDescent="0.2">
      <c r="A1210">
        <v>1208</v>
      </c>
      <c r="B1210" t="s">
        <v>1611</v>
      </c>
      <c r="C1210" t="s">
        <v>3051</v>
      </c>
      <c r="D1210" t="s">
        <v>3735</v>
      </c>
      <c r="E1210" t="s">
        <v>5155</v>
      </c>
      <c r="F1210" t="s">
        <v>5156</v>
      </c>
      <c r="G1210" t="s">
        <v>5158</v>
      </c>
      <c r="H1210" s="6" t="s">
        <v>7874</v>
      </c>
    </row>
    <row r="1211" spans="1:8" ht="85" x14ac:dyDescent="0.2">
      <c r="A1211">
        <v>1209</v>
      </c>
      <c r="B1211" t="s">
        <v>1611</v>
      </c>
      <c r="C1211" t="s">
        <v>3051</v>
      </c>
      <c r="D1211" t="s">
        <v>3735</v>
      </c>
      <c r="E1211" t="s">
        <v>5155</v>
      </c>
      <c r="F1211" t="s">
        <v>5156</v>
      </c>
      <c r="G1211" t="s">
        <v>5159</v>
      </c>
      <c r="H1211" s="6" t="s">
        <v>7875</v>
      </c>
    </row>
    <row r="1212" spans="1:8" ht="119" x14ac:dyDescent="0.2">
      <c r="A1212">
        <v>1210</v>
      </c>
      <c r="B1212" t="s">
        <v>1611</v>
      </c>
      <c r="C1212" t="s">
        <v>3051</v>
      </c>
      <c r="D1212" t="s">
        <v>3735</v>
      </c>
      <c r="E1212" t="s">
        <v>5155</v>
      </c>
      <c r="F1212" t="s">
        <v>5156</v>
      </c>
      <c r="G1212" t="s">
        <v>5160</v>
      </c>
      <c r="H1212" s="6" t="s">
        <v>7876</v>
      </c>
    </row>
    <row r="1213" spans="1:8" ht="102" x14ac:dyDescent="0.2">
      <c r="A1213">
        <v>1211</v>
      </c>
      <c r="B1213" t="s">
        <v>1611</v>
      </c>
      <c r="C1213" t="s">
        <v>3051</v>
      </c>
      <c r="D1213" t="s">
        <v>3735</v>
      </c>
      <c r="E1213" t="s">
        <v>5155</v>
      </c>
      <c r="F1213" t="s">
        <v>5156</v>
      </c>
      <c r="G1213" t="s">
        <v>5161</v>
      </c>
      <c r="H1213" s="6" t="s">
        <v>7877</v>
      </c>
    </row>
    <row r="1214" spans="1:8" ht="85" x14ac:dyDescent="0.2">
      <c r="A1214">
        <v>1212</v>
      </c>
      <c r="B1214" t="s">
        <v>1611</v>
      </c>
      <c r="C1214" t="s">
        <v>3051</v>
      </c>
      <c r="D1214" t="s">
        <v>3735</v>
      </c>
      <c r="E1214" t="s">
        <v>5155</v>
      </c>
      <c r="F1214" t="s">
        <v>5156</v>
      </c>
      <c r="G1214" t="s">
        <v>5162</v>
      </c>
      <c r="H1214" s="6" t="s">
        <v>7878</v>
      </c>
    </row>
    <row r="1215" spans="1:8" ht="85" x14ac:dyDescent="0.2">
      <c r="A1215">
        <v>1213</v>
      </c>
      <c r="B1215" t="s">
        <v>1611</v>
      </c>
      <c r="C1215" t="s">
        <v>3051</v>
      </c>
      <c r="D1215" t="s">
        <v>3735</v>
      </c>
      <c r="E1215" t="s">
        <v>5155</v>
      </c>
      <c r="F1215" t="s">
        <v>5156</v>
      </c>
      <c r="G1215" t="s">
        <v>5163</v>
      </c>
      <c r="H1215" s="6" t="s">
        <v>7879</v>
      </c>
    </row>
    <row r="1216" spans="1:8" ht="204" x14ac:dyDescent="0.2">
      <c r="A1216">
        <v>1214</v>
      </c>
      <c r="B1216" t="s">
        <v>1611</v>
      </c>
      <c r="C1216" t="s">
        <v>3051</v>
      </c>
      <c r="D1216" t="s">
        <v>3735</v>
      </c>
      <c r="E1216" t="s">
        <v>5164</v>
      </c>
      <c r="F1216" t="s">
        <v>5165</v>
      </c>
      <c r="G1216" t="s">
        <v>5166</v>
      </c>
      <c r="H1216" s="6" t="s">
        <v>7880</v>
      </c>
    </row>
    <row r="1217" spans="1:8" ht="102" x14ac:dyDescent="0.2">
      <c r="A1217">
        <v>1215</v>
      </c>
      <c r="B1217" t="s">
        <v>1611</v>
      </c>
      <c r="C1217" t="s">
        <v>3051</v>
      </c>
      <c r="D1217" t="s">
        <v>3735</v>
      </c>
      <c r="E1217" t="s">
        <v>5164</v>
      </c>
      <c r="F1217" t="s">
        <v>5165</v>
      </c>
      <c r="G1217" t="s">
        <v>5167</v>
      </c>
      <c r="H1217" s="6" t="s">
        <v>7881</v>
      </c>
    </row>
    <row r="1218" spans="1:8" ht="102" x14ac:dyDescent="0.2">
      <c r="A1218">
        <v>1216</v>
      </c>
      <c r="B1218" t="s">
        <v>1611</v>
      </c>
      <c r="C1218" t="s">
        <v>3051</v>
      </c>
      <c r="D1218" t="s">
        <v>3735</v>
      </c>
      <c r="E1218" t="s">
        <v>5164</v>
      </c>
      <c r="F1218" t="s">
        <v>5165</v>
      </c>
      <c r="G1218" t="s">
        <v>5168</v>
      </c>
      <c r="H1218" s="6" t="s">
        <v>7882</v>
      </c>
    </row>
    <row r="1219" spans="1:8" ht="119" x14ac:dyDescent="0.2">
      <c r="A1219">
        <v>1217</v>
      </c>
      <c r="B1219" t="s">
        <v>1611</v>
      </c>
      <c r="C1219" t="s">
        <v>3051</v>
      </c>
      <c r="D1219" t="s">
        <v>3735</v>
      </c>
      <c r="E1219" t="s">
        <v>5164</v>
      </c>
      <c r="F1219" t="s">
        <v>5165</v>
      </c>
      <c r="G1219" t="s">
        <v>5169</v>
      </c>
      <c r="H1219" s="6" t="s">
        <v>7883</v>
      </c>
    </row>
    <row r="1220" spans="1:8" ht="102" x14ac:dyDescent="0.2">
      <c r="A1220">
        <v>1218</v>
      </c>
      <c r="B1220" t="s">
        <v>1611</v>
      </c>
      <c r="C1220" t="s">
        <v>3051</v>
      </c>
      <c r="D1220" t="s">
        <v>3735</v>
      </c>
      <c r="E1220" t="s">
        <v>5164</v>
      </c>
      <c r="F1220" t="s">
        <v>5165</v>
      </c>
      <c r="G1220" t="s">
        <v>5170</v>
      </c>
      <c r="H1220" s="6" t="s">
        <v>7884</v>
      </c>
    </row>
    <row r="1221" spans="1:8" ht="204" x14ac:dyDescent="0.2">
      <c r="A1221">
        <v>1219</v>
      </c>
      <c r="B1221" t="s">
        <v>1611</v>
      </c>
      <c r="C1221" t="s">
        <v>3051</v>
      </c>
      <c r="D1221" t="s">
        <v>3735</v>
      </c>
      <c r="E1221" t="s">
        <v>5164</v>
      </c>
      <c r="F1221" t="s">
        <v>5165</v>
      </c>
      <c r="G1221" t="s">
        <v>5171</v>
      </c>
      <c r="H1221" s="6" t="s">
        <v>7885</v>
      </c>
    </row>
    <row r="1222" spans="1:8" ht="102" x14ac:dyDescent="0.2">
      <c r="A1222">
        <v>1220</v>
      </c>
      <c r="B1222" t="s">
        <v>1611</v>
      </c>
      <c r="C1222" t="s">
        <v>3051</v>
      </c>
      <c r="D1222" t="s">
        <v>3735</v>
      </c>
      <c r="E1222" t="s">
        <v>5164</v>
      </c>
      <c r="F1222" t="s">
        <v>5165</v>
      </c>
      <c r="G1222" t="s">
        <v>5172</v>
      </c>
      <c r="H1222" s="6" t="s">
        <v>7881</v>
      </c>
    </row>
    <row r="1223" spans="1:8" ht="102" x14ac:dyDescent="0.2">
      <c r="A1223">
        <v>1221</v>
      </c>
      <c r="B1223" t="s">
        <v>1611</v>
      </c>
      <c r="C1223" t="s">
        <v>3051</v>
      </c>
      <c r="D1223" t="s">
        <v>3735</v>
      </c>
      <c r="E1223" t="s">
        <v>5164</v>
      </c>
      <c r="F1223" t="s">
        <v>5165</v>
      </c>
      <c r="G1223" t="s">
        <v>5173</v>
      </c>
      <c r="H1223" s="6" t="s">
        <v>7882</v>
      </c>
    </row>
    <row r="1224" spans="1:8" ht="136" x14ac:dyDescent="0.2">
      <c r="A1224">
        <v>1222</v>
      </c>
      <c r="B1224" t="s">
        <v>1611</v>
      </c>
      <c r="C1224" t="s">
        <v>3051</v>
      </c>
      <c r="D1224" t="s">
        <v>3735</v>
      </c>
      <c r="E1224" t="s">
        <v>5164</v>
      </c>
      <c r="F1224" t="s">
        <v>5165</v>
      </c>
      <c r="G1224" t="s">
        <v>5174</v>
      </c>
      <c r="H1224" s="6" t="s">
        <v>7886</v>
      </c>
    </row>
    <row r="1225" spans="1:8" ht="119" x14ac:dyDescent="0.2">
      <c r="A1225">
        <v>1223</v>
      </c>
      <c r="B1225" t="s">
        <v>1611</v>
      </c>
      <c r="C1225" t="s">
        <v>3051</v>
      </c>
      <c r="D1225" t="s">
        <v>3735</v>
      </c>
      <c r="E1225" t="s">
        <v>5164</v>
      </c>
      <c r="F1225" t="s">
        <v>5165</v>
      </c>
      <c r="G1225" t="s">
        <v>5175</v>
      </c>
      <c r="H1225" s="6" t="s">
        <v>7887</v>
      </c>
    </row>
    <row r="1226" spans="1:8" ht="221" x14ac:dyDescent="0.2">
      <c r="A1226">
        <v>1224</v>
      </c>
      <c r="B1226" t="s">
        <v>1611</v>
      </c>
      <c r="C1226" t="s">
        <v>3051</v>
      </c>
      <c r="D1226" t="s">
        <v>3735</v>
      </c>
      <c r="E1226" t="s">
        <v>5164</v>
      </c>
      <c r="F1226" t="s">
        <v>5165</v>
      </c>
      <c r="G1226" t="s">
        <v>5176</v>
      </c>
      <c r="H1226" s="6" t="s">
        <v>7888</v>
      </c>
    </row>
    <row r="1227" spans="1:8" ht="102" x14ac:dyDescent="0.2">
      <c r="A1227">
        <v>1225</v>
      </c>
      <c r="B1227" t="s">
        <v>1611</v>
      </c>
      <c r="C1227" t="s">
        <v>3051</v>
      </c>
      <c r="D1227" t="s">
        <v>3735</v>
      </c>
      <c r="E1227" t="s">
        <v>5164</v>
      </c>
      <c r="F1227" t="s">
        <v>5165</v>
      </c>
      <c r="G1227" t="s">
        <v>5177</v>
      </c>
      <c r="H1227" s="6" t="s">
        <v>7881</v>
      </c>
    </row>
    <row r="1228" spans="1:8" ht="102" x14ac:dyDescent="0.2">
      <c r="A1228">
        <v>1226</v>
      </c>
      <c r="B1228" t="s">
        <v>1611</v>
      </c>
      <c r="C1228" t="s">
        <v>3051</v>
      </c>
      <c r="D1228" t="s">
        <v>3735</v>
      </c>
      <c r="E1228" t="s">
        <v>5164</v>
      </c>
      <c r="F1228" t="s">
        <v>5165</v>
      </c>
      <c r="G1228" t="s">
        <v>5178</v>
      </c>
      <c r="H1228" s="6" t="s">
        <v>7882</v>
      </c>
    </row>
    <row r="1229" spans="1:8" ht="119" x14ac:dyDescent="0.2">
      <c r="A1229">
        <v>1227</v>
      </c>
      <c r="B1229" t="s">
        <v>1611</v>
      </c>
      <c r="C1229" t="s">
        <v>3051</v>
      </c>
      <c r="D1229" t="s">
        <v>3735</v>
      </c>
      <c r="E1229" t="s">
        <v>5164</v>
      </c>
      <c r="F1229" t="s">
        <v>5165</v>
      </c>
      <c r="G1229" t="s">
        <v>5179</v>
      </c>
      <c r="H1229" s="6" t="s">
        <v>7889</v>
      </c>
    </row>
    <row r="1230" spans="1:8" ht="136" x14ac:dyDescent="0.2">
      <c r="A1230">
        <v>1228</v>
      </c>
      <c r="B1230" t="s">
        <v>1611</v>
      </c>
      <c r="C1230" t="s">
        <v>3051</v>
      </c>
      <c r="D1230" t="s">
        <v>3735</v>
      </c>
      <c r="E1230" t="s">
        <v>5164</v>
      </c>
      <c r="F1230" t="s">
        <v>5165</v>
      </c>
      <c r="G1230" t="s">
        <v>5180</v>
      </c>
      <c r="H1230" s="6" t="s">
        <v>7890</v>
      </c>
    </row>
    <row r="1231" spans="1:8" ht="119" x14ac:dyDescent="0.2">
      <c r="A1231">
        <v>1229</v>
      </c>
      <c r="B1231" t="s">
        <v>1611</v>
      </c>
      <c r="C1231" t="s">
        <v>3051</v>
      </c>
      <c r="D1231" t="s">
        <v>3735</v>
      </c>
      <c r="E1231" t="s">
        <v>5164</v>
      </c>
      <c r="F1231" t="s">
        <v>5165</v>
      </c>
      <c r="G1231" t="s">
        <v>5181</v>
      </c>
      <c r="H1231" s="6" t="s">
        <v>7891</v>
      </c>
    </row>
    <row r="1232" spans="1:8" ht="238" x14ac:dyDescent="0.2">
      <c r="A1232">
        <v>1230</v>
      </c>
      <c r="B1232" t="s">
        <v>1611</v>
      </c>
      <c r="C1232" t="s">
        <v>3051</v>
      </c>
      <c r="D1232" t="s">
        <v>3735</v>
      </c>
      <c r="E1232" t="s">
        <v>5182</v>
      </c>
      <c r="F1232" t="s">
        <v>4394</v>
      </c>
      <c r="G1232" t="s">
        <v>5183</v>
      </c>
      <c r="H1232" s="6" t="s">
        <v>7892</v>
      </c>
    </row>
    <row r="1233" spans="1:8" ht="102" x14ac:dyDescent="0.2">
      <c r="A1233">
        <v>1231</v>
      </c>
      <c r="B1233" t="s">
        <v>1611</v>
      </c>
      <c r="C1233" t="s">
        <v>3051</v>
      </c>
      <c r="D1233" t="s">
        <v>3735</v>
      </c>
      <c r="E1233" t="s">
        <v>5182</v>
      </c>
      <c r="F1233" t="s">
        <v>4394</v>
      </c>
      <c r="G1233" t="s">
        <v>5184</v>
      </c>
      <c r="H1233" s="6" t="s">
        <v>7893</v>
      </c>
    </row>
    <row r="1234" spans="1:8" ht="102" x14ac:dyDescent="0.2">
      <c r="A1234">
        <v>1232</v>
      </c>
      <c r="B1234" t="s">
        <v>1611</v>
      </c>
      <c r="C1234" t="s">
        <v>3051</v>
      </c>
      <c r="D1234" t="s">
        <v>3735</v>
      </c>
      <c r="E1234" t="s">
        <v>5182</v>
      </c>
      <c r="F1234" t="s">
        <v>4394</v>
      </c>
      <c r="G1234" t="s">
        <v>5185</v>
      </c>
      <c r="H1234" s="6" t="s">
        <v>7894</v>
      </c>
    </row>
    <row r="1235" spans="1:8" ht="119" x14ac:dyDescent="0.2">
      <c r="A1235">
        <v>1233</v>
      </c>
      <c r="B1235" t="s">
        <v>1611</v>
      </c>
      <c r="C1235" t="s">
        <v>3051</v>
      </c>
      <c r="D1235" t="s">
        <v>3735</v>
      </c>
      <c r="E1235" t="s">
        <v>5182</v>
      </c>
      <c r="F1235" t="s">
        <v>4394</v>
      </c>
      <c r="G1235" t="s">
        <v>5186</v>
      </c>
      <c r="H1235" s="6" t="s">
        <v>7895</v>
      </c>
    </row>
    <row r="1236" spans="1:8" ht="153" x14ac:dyDescent="0.2">
      <c r="A1236">
        <v>1234</v>
      </c>
      <c r="B1236" t="s">
        <v>1611</v>
      </c>
      <c r="C1236" t="s">
        <v>3051</v>
      </c>
      <c r="D1236" t="s">
        <v>3735</v>
      </c>
      <c r="E1236" t="s">
        <v>5182</v>
      </c>
      <c r="F1236" t="s">
        <v>4394</v>
      </c>
      <c r="G1236" t="s">
        <v>5187</v>
      </c>
      <c r="H1236" s="6" t="s">
        <v>7896</v>
      </c>
    </row>
    <row r="1237" spans="1:8" ht="136" x14ac:dyDescent="0.2">
      <c r="A1237">
        <v>1235</v>
      </c>
      <c r="B1237" t="s">
        <v>1611</v>
      </c>
      <c r="C1237" t="s">
        <v>3051</v>
      </c>
      <c r="D1237" t="s">
        <v>3735</v>
      </c>
      <c r="E1237" t="s">
        <v>5182</v>
      </c>
      <c r="F1237" t="s">
        <v>4394</v>
      </c>
      <c r="G1237" t="s">
        <v>5188</v>
      </c>
      <c r="H1237" s="6" t="s">
        <v>7897</v>
      </c>
    </row>
    <row r="1238" spans="1:8" ht="119" x14ac:dyDescent="0.2">
      <c r="A1238">
        <v>1236</v>
      </c>
      <c r="B1238" t="s">
        <v>1611</v>
      </c>
      <c r="C1238" t="s">
        <v>3051</v>
      </c>
      <c r="D1238" t="s">
        <v>3735</v>
      </c>
      <c r="E1238" t="s">
        <v>5182</v>
      </c>
      <c r="F1238" t="s">
        <v>4394</v>
      </c>
      <c r="G1238" t="s">
        <v>5189</v>
      </c>
      <c r="H1238" s="6" t="s">
        <v>7898</v>
      </c>
    </row>
    <row r="1239" spans="1:8" ht="102" x14ac:dyDescent="0.2">
      <c r="A1239">
        <v>1237</v>
      </c>
      <c r="B1239" t="s">
        <v>1611</v>
      </c>
      <c r="C1239" t="s">
        <v>3051</v>
      </c>
      <c r="D1239" t="s">
        <v>3735</v>
      </c>
      <c r="E1239" t="s">
        <v>5182</v>
      </c>
      <c r="F1239" t="s">
        <v>4394</v>
      </c>
      <c r="G1239" t="s">
        <v>5190</v>
      </c>
      <c r="H1239" s="6" t="s">
        <v>7899</v>
      </c>
    </row>
    <row r="1240" spans="1:8" ht="119" x14ac:dyDescent="0.2">
      <c r="A1240">
        <v>1238</v>
      </c>
      <c r="B1240" t="s">
        <v>1611</v>
      </c>
      <c r="C1240" t="s">
        <v>3051</v>
      </c>
      <c r="D1240" t="s">
        <v>3735</v>
      </c>
      <c r="E1240" t="s">
        <v>5182</v>
      </c>
      <c r="F1240" t="s">
        <v>4394</v>
      </c>
      <c r="G1240" t="s">
        <v>5191</v>
      </c>
      <c r="H1240" s="6" t="s">
        <v>7900</v>
      </c>
    </row>
    <row r="1241" spans="1:8" ht="170" x14ac:dyDescent="0.2">
      <c r="A1241">
        <v>1239</v>
      </c>
      <c r="B1241" t="s">
        <v>1611</v>
      </c>
      <c r="C1241" t="s">
        <v>3051</v>
      </c>
      <c r="D1241" t="s">
        <v>3735</v>
      </c>
      <c r="E1241" t="s">
        <v>5192</v>
      </c>
      <c r="F1241" t="s">
        <v>4676</v>
      </c>
      <c r="G1241" t="s">
        <v>5193</v>
      </c>
      <c r="H1241" s="6" t="s">
        <v>7901</v>
      </c>
    </row>
    <row r="1242" spans="1:8" ht="85" x14ac:dyDescent="0.2">
      <c r="A1242">
        <v>1240</v>
      </c>
      <c r="B1242" t="s">
        <v>1611</v>
      </c>
      <c r="C1242" t="s">
        <v>3051</v>
      </c>
      <c r="D1242" t="s">
        <v>3735</v>
      </c>
      <c r="E1242" t="s">
        <v>5192</v>
      </c>
      <c r="F1242" t="s">
        <v>4676</v>
      </c>
      <c r="G1242" t="s">
        <v>5194</v>
      </c>
      <c r="H1242" s="6" t="s">
        <v>7902</v>
      </c>
    </row>
    <row r="1243" spans="1:8" ht="102" x14ac:dyDescent="0.2">
      <c r="A1243">
        <v>1241</v>
      </c>
      <c r="B1243" t="s">
        <v>1611</v>
      </c>
      <c r="C1243" t="s">
        <v>3051</v>
      </c>
      <c r="D1243" t="s">
        <v>3735</v>
      </c>
      <c r="E1243" t="s">
        <v>5192</v>
      </c>
      <c r="F1243" t="s">
        <v>4676</v>
      </c>
      <c r="G1243" t="s">
        <v>5195</v>
      </c>
      <c r="H1243" s="6" t="s">
        <v>7903</v>
      </c>
    </row>
    <row r="1244" spans="1:8" ht="119" x14ac:dyDescent="0.2">
      <c r="A1244">
        <v>1242</v>
      </c>
      <c r="B1244" t="s">
        <v>1611</v>
      </c>
      <c r="C1244" t="s">
        <v>3051</v>
      </c>
      <c r="D1244" t="s">
        <v>3735</v>
      </c>
      <c r="E1244" t="s">
        <v>5192</v>
      </c>
      <c r="F1244" t="s">
        <v>4676</v>
      </c>
      <c r="G1244" t="s">
        <v>5196</v>
      </c>
      <c r="H1244" s="6" t="s">
        <v>7904</v>
      </c>
    </row>
    <row r="1245" spans="1:8" ht="136" x14ac:dyDescent="0.2">
      <c r="A1245">
        <v>1243</v>
      </c>
      <c r="B1245" t="s">
        <v>1611</v>
      </c>
      <c r="C1245" t="s">
        <v>3051</v>
      </c>
      <c r="D1245" t="s">
        <v>3735</v>
      </c>
      <c r="E1245" t="s">
        <v>5192</v>
      </c>
      <c r="F1245" t="s">
        <v>4676</v>
      </c>
      <c r="G1245" t="s">
        <v>5197</v>
      </c>
      <c r="H1245" s="6" t="s">
        <v>7905</v>
      </c>
    </row>
    <row r="1246" spans="1:8" ht="85" x14ac:dyDescent="0.2">
      <c r="A1246">
        <v>1244</v>
      </c>
      <c r="B1246" t="s">
        <v>1611</v>
      </c>
      <c r="C1246" t="s">
        <v>3051</v>
      </c>
      <c r="D1246" t="s">
        <v>3735</v>
      </c>
      <c r="E1246" t="s">
        <v>5198</v>
      </c>
      <c r="F1246" t="s">
        <v>5199</v>
      </c>
      <c r="G1246" t="s">
        <v>5200</v>
      </c>
      <c r="H1246" s="6" t="s">
        <v>7906</v>
      </c>
    </row>
    <row r="1247" spans="1:8" ht="85" x14ac:dyDescent="0.2">
      <c r="A1247">
        <v>1245</v>
      </c>
      <c r="B1247" t="s">
        <v>1611</v>
      </c>
      <c r="C1247" t="s">
        <v>3051</v>
      </c>
      <c r="D1247" t="s">
        <v>3735</v>
      </c>
      <c r="E1247" t="s">
        <v>5201</v>
      </c>
      <c r="F1247" t="s">
        <v>5202</v>
      </c>
      <c r="G1247" t="s">
        <v>5203</v>
      </c>
      <c r="H1247" s="6" t="s">
        <v>7907</v>
      </c>
    </row>
    <row r="1248" spans="1:8" ht="187" x14ac:dyDescent="0.2">
      <c r="A1248">
        <v>1246</v>
      </c>
      <c r="B1248" t="s">
        <v>1611</v>
      </c>
      <c r="C1248" t="s">
        <v>3051</v>
      </c>
      <c r="D1248" t="s">
        <v>3735</v>
      </c>
      <c r="E1248" t="s">
        <v>5204</v>
      </c>
      <c r="F1248" t="s">
        <v>5205</v>
      </c>
      <c r="G1248" t="s">
        <v>5206</v>
      </c>
      <c r="H1248" s="6" t="s">
        <v>7908</v>
      </c>
    </row>
    <row r="1249" spans="1:8" ht="238" x14ac:dyDescent="0.2">
      <c r="A1249">
        <v>1247</v>
      </c>
      <c r="B1249" t="s">
        <v>1611</v>
      </c>
      <c r="C1249" t="s">
        <v>3051</v>
      </c>
      <c r="D1249" t="s">
        <v>3735</v>
      </c>
      <c r="E1249" t="s">
        <v>5204</v>
      </c>
      <c r="F1249" t="s">
        <v>5205</v>
      </c>
      <c r="G1249" t="s">
        <v>5207</v>
      </c>
      <c r="H1249" s="6" t="s">
        <v>7909</v>
      </c>
    </row>
    <row r="1250" spans="1:8" ht="204" x14ac:dyDescent="0.2">
      <c r="A1250">
        <v>1248</v>
      </c>
      <c r="B1250" t="s">
        <v>1611</v>
      </c>
      <c r="C1250" t="s">
        <v>3051</v>
      </c>
      <c r="D1250" t="s">
        <v>3735</v>
      </c>
      <c r="E1250" t="s">
        <v>5204</v>
      </c>
      <c r="F1250" t="s">
        <v>5205</v>
      </c>
      <c r="G1250" t="s">
        <v>5208</v>
      </c>
      <c r="H1250" s="6" t="s">
        <v>7910</v>
      </c>
    </row>
    <row r="1251" spans="1:8" ht="85" x14ac:dyDescent="0.2">
      <c r="A1251">
        <v>1249</v>
      </c>
      <c r="B1251" t="s">
        <v>1611</v>
      </c>
      <c r="C1251" t="s">
        <v>3051</v>
      </c>
      <c r="D1251" t="s">
        <v>3735</v>
      </c>
      <c r="E1251" t="s">
        <v>5204</v>
      </c>
      <c r="F1251" t="s">
        <v>5205</v>
      </c>
      <c r="G1251" t="s">
        <v>5209</v>
      </c>
      <c r="H1251" s="6" t="s">
        <v>7911</v>
      </c>
    </row>
    <row r="1252" spans="1:8" ht="85" x14ac:dyDescent="0.2">
      <c r="A1252">
        <v>1250</v>
      </c>
      <c r="B1252" t="s">
        <v>1611</v>
      </c>
      <c r="C1252" t="s">
        <v>3051</v>
      </c>
      <c r="D1252" t="s">
        <v>3735</v>
      </c>
      <c r="E1252" t="s">
        <v>5204</v>
      </c>
      <c r="F1252" t="s">
        <v>5205</v>
      </c>
      <c r="G1252" t="s">
        <v>5210</v>
      </c>
      <c r="H1252" s="6" t="s">
        <v>7912</v>
      </c>
    </row>
    <row r="1253" spans="1:8" ht="119" x14ac:dyDescent="0.2">
      <c r="A1253">
        <v>1251</v>
      </c>
      <c r="B1253" t="s">
        <v>1611</v>
      </c>
      <c r="C1253" t="s">
        <v>3051</v>
      </c>
      <c r="D1253" t="s">
        <v>3735</v>
      </c>
      <c r="E1253" t="s">
        <v>5204</v>
      </c>
      <c r="F1253" t="s">
        <v>5205</v>
      </c>
      <c r="G1253" t="s">
        <v>5211</v>
      </c>
      <c r="H1253" s="6" t="s">
        <v>7913</v>
      </c>
    </row>
    <row r="1254" spans="1:8" ht="85" x14ac:dyDescent="0.2">
      <c r="A1254">
        <v>1252</v>
      </c>
      <c r="B1254" t="s">
        <v>1611</v>
      </c>
      <c r="C1254" t="s">
        <v>3051</v>
      </c>
      <c r="D1254" t="s">
        <v>3735</v>
      </c>
      <c r="E1254" t="s">
        <v>5204</v>
      </c>
      <c r="F1254" t="s">
        <v>5205</v>
      </c>
      <c r="G1254" t="s">
        <v>5212</v>
      </c>
      <c r="H1254" s="6" t="s">
        <v>7914</v>
      </c>
    </row>
    <row r="1255" spans="1:8" ht="102" x14ac:dyDescent="0.2">
      <c r="A1255">
        <v>1253</v>
      </c>
      <c r="B1255" t="s">
        <v>1611</v>
      </c>
      <c r="C1255" t="s">
        <v>3051</v>
      </c>
      <c r="D1255" t="s">
        <v>3735</v>
      </c>
      <c r="E1255" t="s">
        <v>5204</v>
      </c>
      <c r="F1255" t="s">
        <v>5205</v>
      </c>
      <c r="G1255" t="s">
        <v>5213</v>
      </c>
      <c r="H1255" s="6" t="s">
        <v>7915</v>
      </c>
    </row>
    <row r="1256" spans="1:8" ht="119" x14ac:dyDescent="0.2">
      <c r="A1256">
        <v>1254</v>
      </c>
      <c r="B1256" t="s">
        <v>1611</v>
      </c>
      <c r="C1256" t="s">
        <v>3051</v>
      </c>
      <c r="D1256" t="s">
        <v>3735</v>
      </c>
      <c r="E1256" t="s">
        <v>5204</v>
      </c>
      <c r="F1256" t="s">
        <v>5205</v>
      </c>
      <c r="G1256" t="s">
        <v>5214</v>
      </c>
      <c r="H1256" s="6" t="s">
        <v>7916</v>
      </c>
    </row>
    <row r="1257" spans="1:8" ht="85" x14ac:dyDescent="0.2">
      <c r="A1257">
        <v>1255</v>
      </c>
      <c r="B1257" t="s">
        <v>1611</v>
      </c>
      <c r="C1257" t="s">
        <v>3051</v>
      </c>
      <c r="D1257" t="s">
        <v>3735</v>
      </c>
      <c r="E1257" t="s">
        <v>5204</v>
      </c>
      <c r="F1257" t="s">
        <v>5205</v>
      </c>
      <c r="G1257" t="s">
        <v>5215</v>
      </c>
      <c r="H1257" s="6" t="s">
        <v>7917</v>
      </c>
    </row>
    <row r="1258" spans="1:8" ht="85" x14ac:dyDescent="0.2">
      <c r="A1258">
        <v>1256</v>
      </c>
      <c r="B1258" t="s">
        <v>1611</v>
      </c>
      <c r="C1258" t="s">
        <v>3051</v>
      </c>
      <c r="D1258" t="s">
        <v>3735</v>
      </c>
      <c r="E1258" t="s">
        <v>5204</v>
      </c>
      <c r="F1258" t="s">
        <v>5205</v>
      </c>
      <c r="G1258" t="s">
        <v>5216</v>
      </c>
      <c r="H1258" s="6" t="s">
        <v>7918</v>
      </c>
    </row>
    <row r="1259" spans="1:8" ht="255" x14ac:dyDescent="0.2">
      <c r="A1259">
        <v>1257</v>
      </c>
      <c r="B1259" t="s">
        <v>1611</v>
      </c>
      <c r="C1259" t="s">
        <v>3051</v>
      </c>
      <c r="D1259" t="s">
        <v>3735</v>
      </c>
      <c r="E1259" t="s">
        <v>5217</v>
      </c>
      <c r="F1259" t="s">
        <v>5218</v>
      </c>
      <c r="G1259" t="s">
        <v>5219</v>
      </c>
      <c r="H1259" s="6" t="s">
        <v>7919</v>
      </c>
    </row>
    <row r="1260" spans="1:8" ht="187" x14ac:dyDescent="0.2">
      <c r="A1260">
        <v>1258</v>
      </c>
      <c r="B1260" t="s">
        <v>1611</v>
      </c>
      <c r="C1260" t="s">
        <v>3051</v>
      </c>
      <c r="D1260" t="s">
        <v>3735</v>
      </c>
      <c r="E1260" t="s">
        <v>5217</v>
      </c>
      <c r="F1260" t="s">
        <v>5218</v>
      </c>
      <c r="G1260" t="s">
        <v>5220</v>
      </c>
      <c r="H1260" s="6" t="s">
        <v>7920</v>
      </c>
    </row>
    <row r="1261" spans="1:8" ht="85" x14ac:dyDescent="0.2">
      <c r="A1261">
        <v>1259</v>
      </c>
      <c r="B1261" t="s">
        <v>1611</v>
      </c>
      <c r="C1261" t="s">
        <v>3051</v>
      </c>
      <c r="D1261" t="s">
        <v>3735</v>
      </c>
      <c r="E1261" t="s">
        <v>5217</v>
      </c>
      <c r="F1261" t="s">
        <v>5218</v>
      </c>
      <c r="G1261" t="s">
        <v>5221</v>
      </c>
      <c r="H1261" s="6" t="s">
        <v>7921</v>
      </c>
    </row>
    <row r="1262" spans="1:8" ht="85" x14ac:dyDescent="0.2">
      <c r="A1262">
        <v>1260</v>
      </c>
      <c r="B1262" t="s">
        <v>1611</v>
      </c>
      <c r="C1262" t="s">
        <v>3051</v>
      </c>
      <c r="D1262" t="s">
        <v>3735</v>
      </c>
      <c r="E1262" t="s">
        <v>5217</v>
      </c>
      <c r="F1262" t="s">
        <v>5218</v>
      </c>
      <c r="G1262" t="s">
        <v>5222</v>
      </c>
      <c r="H1262" s="6" t="s">
        <v>7922</v>
      </c>
    </row>
    <row r="1263" spans="1:8" ht="204" x14ac:dyDescent="0.2">
      <c r="A1263">
        <v>1261</v>
      </c>
      <c r="B1263" t="s">
        <v>1611</v>
      </c>
      <c r="C1263" t="s">
        <v>3051</v>
      </c>
      <c r="D1263" t="s">
        <v>3735</v>
      </c>
      <c r="E1263" t="s">
        <v>5217</v>
      </c>
      <c r="F1263" t="s">
        <v>5218</v>
      </c>
      <c r="G1263" t="s">
        <v>5223</v>
      </c>
      <c r="H1263" s="6" t="s">
        <v>7923</v>
      </c>
    </row>
    <row r="1264" spans="1:8" ht="85" x14ac:dyDescent="0.2">
      <c r="A1264">
        <v>1262</v>
      </c>
      <c r="B1264" t="s">
        <v>1611</v>
      </c>
      <c r="C1264" t="s">
        <v>3051</v>
      </c>
      <c r="D1264" t="s">
        <v>3735</v>
      </c>
      <c r="E1264" t="s">
        <v>5217</v>
      </c>
      <c r="F1264" t="s">
        <v>5218</v>
      </c>
      <c r="G1264" t="s">
        <v>5224</v>
      </c>
      <c r="H1264" s="6" t="s">
        <v>7924</v>
      </c>
    </row>
    <row r="1265" spans="1:8" ht="102" x14ac:dyDescent="0.2">
      <c r="A1265">
        <v>1263</v>
      </c>
      <c r="B1265" t="s">
        <v>1611</v>
      </c>
      <c r="C1265" t="s">
        <v>3051</v>
      </c>
      <c r="D1265" t="s">
        <v>3735</v>
      </c>
      <c r="E1265" t="s">
        <v>5217</v>
      </c>
      <c r="F1265" t="s">
        <v>5218</v>
      </c>
      <c r="G1265" t="s">
        <v>5225</v>
      </c>
      <c r="H1265" s="6" t="s">
        <v>7925</v>
      </c>
    </row>
    <row r="1266" spans="1:8" ht="153" x14ac:dyDescent="0.2">
      <c r="A1266">
        <v>1264</v>
      </c>
      <c r="B1266" t="s">
        <v>1611</v>
      </c>
      <c r="C1266" t="s">
        <v>3051</v>
      </c>
      <c r="D1266" t="s">
        <v>3735</v>
      </c>
      <c r="E1266" t="s">
        <v>5217</v>
      </c>
      <c r="F1266" t="s">
        <v>5218</v>
      </c>
      <c r="G1266" t="s">
        <v>5226</v>
      </c>
      <c r="H1266" s="6" t="s">
        <v>7926</v>
      </c>
    </row>
    <row r="1267" spans="1:8" ht="85" x14ac:dyDescent="0.2">
      <c r="A1267">
        <v>1265</v>
      </c>
      <c r="B1267" t="s">
        <v>1611</v>
      </c>
      <c r="C1267" t="s">
        <v>3051</v>
      </c>
      <c r="D1267" t="s">
        <v>3735</v>
      </c>
      <c r="E1267" t="s">
        <v>5217</v>
      </c>
      <c r="F1267" t="s">
        <v>5218</v>
      </c>
      <c r="G1267" t="s">
        <v>5227</v>
      </c>
      <c r="H1267" s="6" t="s">
        <v>7927</v>
      </c>
    </row>
    <row r="1268" spans="1:8" ht="85" x14ac:dyDescent="0.2">
      <c r="A1268">
        <v>1266</v>
      </c>
      <c r="B1268" t="s">
        <v>1611</v>
      </c>
      <c r="C1268" t="s">
        <v>3051</v>
      </c>
      <c r="D1268" t="s">
        <v>3735</v>
      </c>
      <c r="E1268" t="s">
        <v>5217</v>
      </c>
      <c r="F1268" t="s">
        <v>5218</v>
      </c>
      <c r="G1268" t="s">
        <v>5228</v>
      </c>
      <c r="H1268" s="6" t="s">
        <v>7928</v>
      </c>
    </row>
    <row r="1269" spans="1:8" ht="102" x14ac:dyDescent="0.2">
      <c r="A1269">
        <v>1267</v>
      </c>
      <c r="B1269" t="s">
        <v>1611</v>
      </c>
      <c r="C1269" t="s">
        <v>3051</v>
      </c>
      <c r="D1269" t="s">
        <v>3735</v>
      </c>
      <c r="E1269" t="s">
        <v>5217</v>
      </c>
      <c r="F1269" t="s">
        <v>5218</v>
      </c>
      <c r="G1269" t="s">
        <v>5229</v>
      </c>
      <c r="H1269" s="6" t="s">
        <v>7929</v>
      </c>
    </row>
    <row r="1270" spans="1:8" ht="119" x14ac:dyDescent="0.2">
      <c r="A1270">
        <v>1268</v>
      </c>
      <c r="B1270" t="s">
        <v>1611</v>
      </c>
      <c r="C1270" t="s">
        <v>3051</v>
      </c>
      <c r="D1270" t="s">
        <v>3735</v>
      </c>
      <c r="E1270" t="s">
        <v>5217</v>
      </c>
      <c r="F1270" t="s">
        <v>5218</v>
      </c>
      <c r="G1270" t="s">
        <v>5230</v>
      </c>
      <c r="H1270" s="6" t="s">
        <v>7930</v>
      </c>
    </row>
    <row r="1271" spans="1:8" ht="102" x14ac:dyDescent="0.2">
      <c r="A1271">
        <v>1269</v>
      </c>
      <c r="B1271" t="s">
        <v>1611</v>
      </c>
      <c r="C1271" t="s">
        <v>3051</v>
      </c>
      <c r="D1271" t="s">
        <v>3735</v>
      </c>
      <c r="E1271" t="s">
        <v>5217</v>
      </c>
      <c r="F1271" t="s">
        <v>5218</v>
      </c>
      <c r="G1271" t="s">
        <v>5231</v>
      </c>
      <c r="H1271" s="6" t="s">
        <v>7931</v>
      </c>
    </row>
    <row r="1272" spans="1:8" ht="102" x14ac:dyDescent="0.2">
      <c r="A1272">
        <v>1270</v>
      </c>
      <c r="B1272" t="s">
        <v>1611</v>
      </c>
      <c r="C1272" t="s">
        <v>3051</v>
      </c>
      <c r="D1272" t="s">
        <v>3735</v>
      </c>
      <c r="E1272" t="s">
        <v>5217</v>
      </c>
      <c r="F1272" t="s">
        <v>5218</v>
      </c>
      <c r="G1272" t="s">
        <v>5232</v>
      </c>
      <c r="H1272" s="6" t="s">
        <v>7932</v>
      </c>
    </row>
    <row r="1273" spans="1:8" ht="119" x14ac:dyDescent="0.2">
      <c r="A1273">
        <v>1271</v>
      </c>
      <c r="B1273" t="s">
        <v>1611</v>
      </c>
      <c r="C1273" t="s">
        <v>3051</v>
      </c>
      <c r="D1273" t="s">
        <v>3735</v>
      </c>
      <c r="E1273" t="s">
        <v>5217</v>
      </c>
      <c r="F1273" t="s">
        <v>5218</v>
      </c>
      <c r="G1273" t="s">
        <v>5233</v>
      </c>
      <c r="H1273" s="6" t="s">
        <v>7933</v>
      </c>
    </row>
    <row r="1274" spans="1:8" ht="102" x14ac:dyDescent="0.2">
      <c r="A1274">
        <v>1272</v>
      </c>
      <c r="B1274" t="s">
        <v>1611</v>
      </c>
      <c r="C1274" t="s">
        <v>3051</v>
      </c>
      <c r="D1274" t="s">
        <v>3735</v>
      </c>
      <c r="E1274" t="s">
        <v>5217</v>
      </c>
      <c r="F1274" t="s">
        <v>5218</v>
      </c>
      <c r="G1274" t="s">
        <v>5234</v>
      </c>
      <c r="H1274" s="6" t="s">
        <v>7934</v>
      </c>
    </row>
    <row r="1275" spans="1:8" ht="85" x14ac:dyDescent="0.2">
      <c r="A1275">
        <v>1273</v>
      </c>
      <c r="B1275" t="s">
        <v>1611</v>
      </c>
      <c r="C1275" t="s">
        <v>3051</v>
      </c>
      <c r="D1275" t="s">
        <v>3735</v>
      </c>
      <c r="E1275" t="s">
        <v>5217</v>
      </c>
      <c r="F1275" t="s">
        <v>5218</v>
      </c>
      <c r="G1275" t="s">
        <v>5235</v>
      </c>
      <c r="H1275" s="6" t="s">
        <v>7935</v>
      </c>
    </row>
    <row r="1276" spans="1:8" ht="85" x14ac:dyDescent="0.2">
      <c r="A1276">
        <v>1274</v>
      </c>
      <c r="B1276" t="s">
        <v>1611</v>
      </c>
      <c r="C1276" t="s">
        <v>3051</v>
      </c>
      <c r="D1276" t="s">
        <v>3735</v>
      </c>
      <c r="E1276" t="s">
        <v>5217</v>
      </c>
      <c r="F1276" t="s">
        <v>5218</v>
      </c>
      <c r="G1276" t="s">
        <v>5236</v>
      </c>
      <c r="H1276" s="6" t="s">
        <v>7936</v>
      </c>
    </row>
    <row r="1277" spans="1:8" ht="85" x14ac:dyDescent="0.2">
      <c r="A1277">
        <v>1275</v>
      </c>
      <c r="B1277" t="s">
        <v>1611</v>
      </c>
      <c r="C1277" t="s">
        <v>3051</v>
      </c>
      <c r="D1277" t="s">
        <v>3735</v>
      </c>
      <c r="E1277" t="s">
        <v>5217</v>
      </c>
      <c r="F1277" t="s">
        <v>5218</v>
      </c>
      <c r="G1277" t="s">
        <v>5237</v>
      </c>
      <c r="H1277" s="6" t="s">
        <v>7937</v>
      </c>
    </row>
    <row r="1278" spans="1:8" ht="68" x14ac:dyDescent="0.2">
      <c r="A1278">
        <v>1276</v>
      </c>
      <c r="B1278" t="s">
        <v>1611</v>
      </c>
      <c r="C1278" t="s">
        <v>3051</v>
      </c>
      <c r="D1278" t="s">
        <v>3735</v>
      </c>
      <c r="E1278" t="s">
        <v>5217</v>
      </c>
      <c r="F1278" t="s">
        <v>5218</v>
      </c>
      <c r="G1278" t="s">
        <v>5238</v>
      </c>
      <c r="H1278" s="6" t="s">
        <v>7938</v>
      </c>
    </row>
    <row r="1279" spans="1:8" ht="170" x14ac:dyDescent="0.2">
      <c r="A1279">
        <v>1277</v>
      </c>
      <c r="B1279" t="s">
        <v>1611</v>
      </c>
      <c r="C1279" t="s">
        <v>3051</v>
      </c>
      <c r="D1279" t="s">
        <v>3735</v>
      </c>
      <c r="E1279" t="s">
        <v>5239</v>
      </c>
      <c r="F1279" t="s">
        <v>4789</v>
      </c>
      <c r="G1279" t="s">
        <v>5240</v>
      </c>
      <c r="H1279" s="6" t="s">
        <v>7939</v>
      </c>
    </row>
    <row r="1280" spans="1:8" ht="102" x14ac:dyDescent="0.2">
      <c r="A1280">
        <v>1278</v>
      </c>
      <c r="B1280" t="s">
        <v>1611</v>
      </c>
      <c r="C1280" t="s">
        <v>3051</v>
      </c>
      <c r="D1280" t="s">
        <v>3735</v>
      </c>
      <c r="E1280" t="s">
        <v>5239</v>
      </c>
      <c r="F1280" t="s">
        <v>4789</v>
      </c>
      <c r="G1280" t="s">
        <v>5241</v>
      </c>
      <c r="H1280" s="6" t="s">
        <v>7940</v>
      </c>
    </row>
    <row r="1281" spans="1:8" ht="85" x14ac:dyDescent="0.2">
      <c r="A1281">
        <v>1279</v>
      </c>
      <c r="B1281" t="s">
        <v>1611</v>
      </c>
      <c r="C1281" t="s">
        <v>3051</v>
      </c>
      <c r="D1281" t="s">
        <v>3735</v>
      </c>
      <c r="E1281" t="s">
        <v>5239</v>
      </c>
      <c r="F1281" t="s">
        <v>4789</v>
      </c>
      <c r="G1281" t="s">
        <v>5242</v>
      </c>
      <c r="H1281" s="6" t="s">
        <v>7941</v>
      </c>
    </row>
    <row r="1282" spans="1:8" ht="85" x14ac:dyDescent="0.2">
      <c r="A1282">
        <v>1280</v>
      </c>
      <c r="B1282" t="s">
        <v>1611</v>
      </c>
      <c r="C1282" t="s">
        <v>3051</v>
      </c>
      <c r="D1282" t="s">
        <v>3735</v>
      </c>
      <c r="E1282" t="s">
        <v>5239</v>
      </c>
      <c r="F1282" t="s">
        <v>4789</v>
      </c>
      <c r="G1282" t="s">
        <v>5243</v>
      </c>
      <c r="H1282" s="6" t="s">
        <v>7942</v>
      </c>
    </row>
    <row r="1283" spans="1:8" ht="85" x14ac:dyDescent="0.2">
      <c r="A1283">
        <v>1281</v>
      </c>
      <c r="B1283" t="s">
        <v>1611</v>
      </c>
      <c r="C1283" t="s">
        <v>3051</v>
      </c>
      <c r="D1283" t="s">
        <v>3735</v>
      </c>
      <c r="E1283" t="s">
        <v>5239</v>
      </c>
      <c r="F1283" t="s">
        <v>4789</v>
      </c>
      <c r="G1283" t="s">
        <v>5244</v>
      </c>
      <c r="H1283" s="6" t="s">
        <v>7943</v>
      </c>
    </row>
    <row r="1284" spans="1:8" ht="170" x14ac:dyDescent="0.2">
      <c r="A1284">
        <v>1282</v>
      </c>
      <c r="B1284" t="s">
        <v>1611</v>
      </c>
      <c r="C1284" t="s">
        <v>3051</v>
      </c>
      <c r="D1284" t="s">
        <v>3735</v>
      </c>
      <c r="E1284" t="s">
        <v>5239</v>
      </c>
      <c r="F1284" t="s">
        <v>4789</v>
      </c>
      <c r="G1284" t="s">
        <v>5245</v>
      </c>
      <c r="H1284" s="6" t="s">
        <v>7944</v>
      </c>
    </row>
    <row r="1285" spans="1:8" ht="170" x14ac:dyDescent="0.2">
      <c r="A1285">
        <v>1283</v>
      </c>
      <c r="B1285" t="s">
        <v>1611</v>
      </c>
      <c r="C1285" t="s">
        <v>3051</v>
      </c>
      <c r="D1285" t="s">
        <v>3735</v>
      </c>
      <c r="E1285" t="s">
        <v>5239</v>
      </c>
      <c r="F1285" t="s">
        <v>4789</v>
      </c>
      <c r="G1285" t="s">
        <v>5246</v>
      </c>
      <c r="H1285" s="6" t="s">
        <v>7945</v>
      </c>
    </row>
    <row r="1286" spans="1:8" ht="372" x14ac:dyDescent="0.2">
      <c r="A1286">
        <v>1284</v>
      </c>
      <c r="B1286" t="s">
        <v>1611</v>
      </c>
      <c r="C1286" t="s">
        <v>3051</v>
      </c>
      <c r="D1286" t="s">
        <v>3735</v>
      </c>
      <c r="E1286" t="s">
        <v>5239</v>
      </c>
      <c r="F1286" t="s">
        <v>4789</v>
      </c>
      <c r="G1286" t="s">
        <v>5247</v>
      </c>
      <c r="H1286" s="6" t="s">
        <v>7946</v>
      </c>
    </row>
    <row r="1287" spans="1:8" ht="102" x14ac:dyDescent="0.2">
      <c r="A1287">
        <v>1285</v>
      </c>
      <c r="B1287" t="s">
        <v>1611</v>
      </c>
      <c r="C1287" t="s">
        <v>3051</v>
      </c>
      <c r="D1287" t="s">
        <v>3735</v>
      </c>
      <c r="E1287" t="s">
        <v>5239</v>
      </c>
      <c r="F1287" t="s">
        <v>4789</v>
      </c>
      <c r="G1287" t="s">
        <v>5248</v>
      </c>
      <c r="H1287" s="6" t="s">
        <v>7947</v>
      </c>
    </row>
    <row r="1288" spans="1:8" ht="85" x14ac:dyDescent="0.2">
      <c r="A1288">
        <v>1286</v>
      </c>
      <c r="B1288" t="s">
        <v>1611</v>
      </c>
      <c r="C1288" t="s">
        <v>3051</v>
      </c>
      <c r="D1288" t="s">
        <v>3735</v>
      </c>
      <c r="E1288" t="s">
        <v>5239</v>
      </c>
      <c r="F1288" t="s">
        <v>4789</v>
      </c>
      <c r="G1288" t="s">
        <v>5249</v>
      </c>
      <c r="H1288" s="6" t="s">
        <v>7948</v>
      </c>
    </row>
    <row r="1289" spans="1:8" ht="102" x14ac:dyDescent="0.2">
      <c r="A1289">
        <v>1287</v>
      </c>
      <c r="B1289" t="s">
        <v>1611</v>
      </c>
      <c r="C1289" t="s">
        <v>3051</v>
      </c>
      <c r="D1289" t="s">
        <v>3735</v>
      </c>
      <c r="E1289" t="s">
        <v>5239</v>
      </c>
      <c r="F1289" t="s">
        <v>4789</v>
      </c>
      <c r="G1289" t="s">
        <v>5250</v>
      </c>
      <c r="H1289" s="6" t="s">
        <v>7949</v>
      </c>
    </row>
    <row r="1290" spans="1:8" ht="85" x14ac:dyDescent="0.2">
      <c r="A1290">
        <v>1288</v>
      </c>
      <c r="B1290" t="s">
        <v>1611</v>
      </c>
      <c r="C1290" t="s">
        <v>3051</v>
      </c>
      <c r="D1290" t="s">
        <v>3735</v>
      </c>
      <c r="E1290" t="s">
        <v>5239</v>
      </c>
      <c r="F1290" t="s">
        <v>4789</v>
      </c>
      <c r="G1290" t="s">
        <v>5251</v>
      </c>
      <c r="H1290" s="6" t="s">
        <v>7950</v>
      </c>
    </row>
    <row r="1291" spans="1:8" ht="85" x14ac:dyDescent="0.2">
      <c r="A1291">
        <v>1289</v>
      </c>
      <c r="B1291" t="s">
        <v>1611</v>
      </c>
      <c r="C1291" t="s">
        <v>3051</v>
      </c>
      <c r="D1291" t="s">
        <v>3735</v>
      </c>
      <c r="E1291" t="s">
        <v>5239</v>
      </c>
      <c r="F1291" t="s">
        <v>4789</v>
      </c>
      <c r="G1291" t="s">
        <v>5252</v>
      </c>
      <c r="H1291" s="6" t="s">
        <v>7951</v>
      </c>
    </row>
    <row r="1292" spans="1:8" ht="119" x14ac:dyDescent="0.2">
      <c r="A1292">
        <v>1290</v>
      </c>
      <c r="B1292" t="s">
        <v>1611</v>
      </c>
      <c r="C1292" t="s">
        <v>3051</v>
      </c>
      <c r="D1292" t="s">
        <v>3735</v>
      </c>
      <c r="E1292" t="s">
        <v>5239</v>
      </c>
      <c r="F1292" t="s">
        <v>4789</v>
      </c>
      <c r="G1292" t="s">
        <v>5253</v>
      </c>
      <c r="H1292" s="6" t="s">
        <v>7952</v>
      </c>
    </row>
    <row r="1293" spans="1:8" ht="204" x14ac:dyDescent="0.2">
      <c r="A1293">
        <v>1291</v>
      </c>
      <c r="B1293" t="s">
        <v>1611</v>
      </c>
      <c r="C1293" t="s">
        <v>3051</v>
      </c>
      <c r="D1293" t="s">
        <v>3735</v>
      </c>
      <c r="E1293" t="s">
        <v>5239</v>
      </c>
      <c r="F1293" t="s">
        <v>4789</v>
      </c>
      <c r="G1293" t="s">
        <v>5254</v>
      </c>
      <c r="H1293" s="6" t="s">
        <v>7953</v>
      </c>
    </row>
    <row r="1294" spans="1:8" ht="102" x14ac:dyDescent="0.2">
      <c r="A1294">
        <v>1292</v>
      </c>
      <c r="B1294" t="s">
        <v>1611</v>
      </c>
      <c r="C1294" t="s">
        <v>3051</v>
      </c>
      <c r="D1294" t="s">
        <v>3735</v>
      </c>
      <c r="E1294" t="s">
        <v>5239</v>
      </c>
      <c r="F1294" t="s">
        <v>4789</v>
      </c>
      <c r="G1294" t="s">
        <v>5255</v>
      </c>
      <c r="H1294" s="6" t="s">
        <v>7954</v>
      </c>
    </row>
    <row r="1295" spans="1:8" ht="102" x14ac:dyDescent="0.2">
      <c r="A1295">
        <v>1293</v>
      </c>
      <c r="B1295" t="s">
        <v>1611</v>
      </c>
      <c r="C1295" t="s">
        <v>3051</v>
      </c>
      <c r="D1295" t="s">
        <v>3735</v>
      </c>
      <c r="E1295" t="s">
        <v>5239</v>
      </c>
      <c r="F1295" t="s">
        <v>4789</v>
      </c>
      <c r="G1295" t="s">
        <v>5256</v>
      </c>
      <c r="H1295" s="6" t="s">
        <v>7955</v>
      </c>
    </row>
    <row r="1296" spans="1:8" ht="85" x14ac:dyDescent="0.2">
      <c r="A1296">
        <v>1294</v>
      </c>
      <c r="B1296" t="s">
        <v>1611</v>
      </c>
      <c r="C1296" t="s">
        <v>3051</v>
      </c>
      <c r="D1296" t="s">
        <v>3735</v>
      </c>
      <c r="E1296" t="s">
        <v>5239</v>
      </c>
      <c r="F1296" t="s">
        <v>4789</v>
      </c>
      <c r="G1296" t="s">
        <v>5257</v>
      </c>
      <c r="H1296" s="6" t="s">
        <v>7956</v>
      </c>
    </row>
    <row r="1297" spans="1:8" ht="85" x14ac:dyDescent="0.2">
      <c r="A1297">
        <v>1295</v>
      </c>
      <c r="B1297" t="s">
        <v>1611</v>
      </c>
      <c r="C1297" t="s">
        <v>3051</v>
      </c>
      <c r="D1297" t="s">
        <v>3735</v>
      </c>
      <c r="E1297" t="s">
        <v>5239</v>
      </c>
      <c r="F1297" t="s">
        <v>4789</v>
      </c>
      <c r="G1297" t="s">
        <v>5258</v>
      </c>
      <c r="H1297" s="6" t="s">
        <v>7957</v>
      </c>
    </row>
    <row r="1298" spans="1:8" ht="102" x14ac:dyDescent="0.2">
      <c r="A1298">
        <v>1296</v>
      </c>
      <c r="B1298" t="s">
        <v>1611</v>
      </c>
      <c r="C1298" t="s">
        <v>3051</v>
      </c>
      <c r="D1298" t="s">
        <v>3735</v>
      </c>
      <c r="E1298" t="s">
        <v>5239</v>
      </c>
      <c r="F1298" t="s">
        <v>4789</v>
      </c>
      <c r="G1298" t="s">
        <v>5259</v>
      </c>
      <c r="H1298" s="6" t="s">
        <v>7958</v>
      </c>
    </row>
    <row r="1299" spans="1:8" ht="102" x14ac:dyDescent="0.2">
      <c r="A1299">
        <v>1297</v>
      </c>
      <c r="B1299" t="s">
        <v>1611</v>
      </c>
      <c r="C1299" t="s">
        <v>3051</v>
      </c>
      <c r="D1299" t="s">
        <v>3735</v>
      </c>
      <c r="E1299" t="s">
        <v>5239</v>
      </c>
      <c r="F1299" t="s">
        <v>4789</v>
      </c>
      <c r="G1299" t="s">
        <v>5260</v>
      </c>
      <c r="H1299" s="6" t="s">
        <v>7959</v>
      </c>
    </row>
    <row r="1300" spans="1:8" ht="187" x14ac:dyDescent="0.2">
      <c r="A1300">
        <v>1298</v>
      </c>
      <c r="B1300" t="s">
        <v>1611</v>
      </c>
      <c r="C1300" t="s">
        <v>3051</v>
      </c>
      <c r="D1300" t="s">
        <v>3735</v>
      </c>
      <c r="E1300" t="s">
        <v>5239</v>
      </c>
      <c r="F1300" t="s">
        <v>4789</v>
      </c>
      <c r="G1300" t="s">
        <v>5261</v>
      </c>
      <c r="H1300" s="6" t="s">
        <v>7960</v>
      </c>
    </row>
    <row r="1301" spans="1:8" ht="409.6" x14ac:dyDescent="0.2">
      <c r="A1301">
        <v>1299</v>
      </c>
      <c r="B1301" t="s">
        <v>1611</v>
      </c>
      <c r="C1301" t="s">
        <v>3051</v>
      </c>
      <c r="D1301" t="s">
        <v>3735</v>
      </c>
      <c r="E1301" t="s">
        <v>5262</v>
      </c>
      <c r="F1301" t="s">
        <v>5126</v>
      </c>
      <c r="G1301" t="s">
        <v>5263</v>
      </c>
      <c r="H1301" s="6" t="s">
        <v>7961</v>
      </c>
    </row>
    <row r="1302" spans="1:8" ht="119" x14ac:dyDescent="0.2">
      <c r="A1302">
        <v>1300</v>
      </c>
      <c r="B1302" t="s">
        <v>1611</v>
      </c>
      <c r="C1302" t="s">
        <v>3051</v>
      </c>
      <c r="D1302" t="s">
        <v>3735</v>
      </c>
      <c r="E1302" t="s">
        <v>5262</v>
      </c>
      <c r="F1302" t="s">
        <v>5126</v>
      </c>
      <c r="G1302" t="s">
        <v>5264</v>
      </c>
      <c r="H1302" s="6" t="s">
        <v>7962</v>
      </c>
    </row>
    <row r="1303" spans="1:8" ht="102" x14ac:dyDescent="0.2">
      <c r="A1303">
        <v>1301</v>
      </c>
      <c r="B1303" t="s">
        <v>1611</v>
      </c>
      <c r="C1303" t="s">
        <v>3051</v>
      </c>
      <c r="D1303" t="s">
        <v>3735</v>
      </c>
      <c r="E1303" t="s">
        <v>5262</v>
      </c>
      <c r="F1303" t="s">
        <v>5126</v>
      </c>
      <c r="G1303" t="s">
        <v>5265</v>
      </c>
      <c r="H1303" s="6" t="s">
        <v>7963</v>
      </c>
    </row>
    <row r="1304" spans="1:8" ht="119" x14ac:dyDescent="0.2">
      <c r="A1304">
        <v>1302</v>
      </c>
      <c r="B1304" t="s">
        <v>1611</v>
      </c>
      <c r="C1304" t="s">
        <v>3051</v>
      </c>
      <c r="D1304" t="s">
        <v>3735</v>
      </c>
      <c r="E1304" t="s">
        <v>5262</v>
      </c>
      <c r="F1304" t="s">
        <v>5126</v>
      </c>
      <c r="G1304" t="s">
        <v>5266</v>
      </c>
      <c r="H1304" s="6" t="s">
        <v>7964</v>
      </c>
    </row>
    <row r="1305" spans="1:8" ht="255" x14ac:dyDescent="0.2">
      <c r="A1305">
        <v>1303</v>
      </c>
      <c r="B1305" t="s">
        <v>1611</v>
      </c>
      <c r="C1305" t="s">
        <v>3051</v>
      </c>
      <c r="D1305" t="s">
        <v>3735</v>
      </c>
      <c r="E1305" t="s">
        <v>5262</v>
      </c>
      <c r="F1305" t="s">
        <v>5126</v>
      </c>
      <c r="G1305" t="s">
        <v>5267</v>
      </c>
      <c r="H1305" s="6" t="s">
        <v>7965</v>
      </c>
    </row>
    <row r="1306" spans="1:8" ht="409.6" x14ac:dyDescent="0.2">
      <c r="A1306">
        <v>1304</v>
      </c>
      <c r="B1306" t="s">
        <v>1611</v>
      </c>
      <c r="C1306" t="s">
        <v>3051</v>
      </c>
      <c r="D1306" t="s">
        <v>3735</v>
      </c>
      <c r="E1306" t="s">
        <v>5262</v>
      </c>
      <c r="F1306" t="s">
        <v>5126</v>
      </c>
      <c r="G1306" t="s">
        <v>5268</v>
      </c>
      <c r="H1306" s="6" t="s">
        <v>7966</v>
      </c>
    </row>
    <row r="1307" spans="1:8" ht="102" x14ac:dyDescent="0.2">
      <c r="A1307">
        <v>1305</v>
      </c>
      <c r="B1307" t="s">
        <v>1611</v>
      </c>
      <c r="C1307" t="s">
        <v>3051</v>
      </c>
      <c r="D1307" t="s">
        <v>3735</v>
      </c>
      <c r="E1307" t="s">
        <v>5262</v>
      </c>
      <c r="F1307" t="s">
        <v>5126</v>
      </c>
      <c r="G1307" t="s">
        <v>5269</v>
      </c>
      <c r="H1307" s="6" t="s">
        <v>7967</v>
      </c>
    </row>
    <row r="1308" spans="1:8" ht="187" x14ac:dyDescent="0.2">
      <c r="A1308">
        <v>1306</v>
      </c>
      <c r="B1308" t="s">
        <v>1611</v>
      </c>
      <c r="C1308" t="s">
        <v>3051</v>
      </c>
      <c r="D1308" t="s">
        <v>3735</v>
      </c>
      <c r="E1308" t="s">
        <v>5262</v>
      </c>
      <c r="F1308" t="s">
        <v>5126</v>
      </c>
      <c r="G1308" t="s">
        <v>5270</v>
      </c>
      <c r="H1308" s="6" t="s">
        <v>7968</v>
      </c>
    </row>
    <row r="1309" spans="1:8" ht="153" x14ac:dyDescent="0.2">
      <c r="A1309">
        <v>1307</v>
      </c>
      <c r="B1309" t="s">
        <v>1611</v>
      </c>
      <c r="C1309" t="s">
        <v>3051</v>
      </c>
      <c r="D1309" t="s">
        <v>3735</v>
      </c>
      <c r="E1309" t="s">
        <v>5262</v>
      </c>
      <c r="F1309" t="s">
        <v>5126</v>
      </c>
      <c r="G1309" t="s">
        <v>5271</v>
      </c>
      <c r="H1309" s="6" t="s">
        <v>7969</v>
      </c>
    </row>
    <row r="1310" spans="1:8" ht="119" x14ac:dyDescent="0.2">
      <c r="A1310">
        <v>1308</v>
      </c>
      <c r="B1310" t="s">
        <v>1611</v>
      </c>
      <c r="C1310" t="s">
        <v>3051</v>
      </c>
      <c r="D1310" t="s">
        <v>3735</v>
      </c>
      <c r="E1310" t="s">
        <v>5262</v>
      </c>
      <c r="F1310" t="s">
        <v>5126</v>
      </c>
      <c r="G1310" t="s">
        <v>5272</v>
      </c>
      <c r="H1310" s="6" t="s">
        <v>7970</v>
      </c>
    </row>
    <row r="1311" spans="1:8" ht="85" x14ac:dyDescent="0.2">
      <c r="A1311">
        <v>1309</v>
      </c>
      <c r="B1311" t="s">
        <v>1611</v>
      </c>
      <c r="C1311" t="s">
        <v>3051</v>
      </c>
      <c r="D1311" t="s">
        <v>3735</v>
      </c>
      <c r="E1311" t="s">
        <v>5262</v>
      </c>
      <c r="F1311" t="s">
        <v>5126</v>
      </c>
      <c r="G1311" t="s">
        <v>5273</v>
      </c>
      <c r="H1311" s="6" t="s">
        <v>7971</v>
      </c>
    </row>
    <row r="1312" spans="1:8" ht="136" x14ac:dyDescent="0.2">
      <c r="A1312">
        <v>1310</v>
      </c>
      <c r="B1312" t="s">
        <v>1611</v>
      </c>
      <c r="C1312" t="s">
        <v>3051</v>
      </c>
      <c r="D1312" t="s">
        <v>3735</v>
      </c>
      <c r="E1312" t="s">
        <v>5262</v>
      </c>
      <c r="F1312" t="s">
        <v>5126</v>
      </c>
      <c r="G1312" t="s">
        <v>5274</v>
      </c>
      <c r="H1312" s="6" t="s">
        <v>7972</v>
      </c>
    </row>
    <row r="1313" spans="1:8" ht="102" x14ac:dyDescent="0.2">
      <c r="A1313">
        <v>1311</v>
      </c>
      <c r="B1313" t="s">
        <v>1611</v>
      </c>
      <c r="C1313" t="s">
        <v>3051</v>
      </c>
      <c r="D1313" t="s">
        <v>3735</v>
      </c>
      <c r="E1313" t="s">
        <v>5262</v>
      </c>
      <c r="F1313" t="s">
        <v>5126</v>
      </c>
      <c r="G1313" t="s">
        <v>5275</v>
      </c>
      <c r="H1313" s="6" t="s">
        <v>7973</v>
      </c>
    </row>
    <row r="1314" spans="1:8" ht="102" x14ac:dyDescent="0.2">
      <c r="A1314">
        <v>1312</v>
      </c>
      <c r="B1314" t="s">
        <v>1611</v>
      </c>
      <c r="C1314" t="s">
        <v>3051</v>
      </c>
      <c r="D1314" t="s">
        <v>3735</v>
      </c>
      <c r="E1314" t="s">
        <v>5262</v>
      </c>
      <c r="F1314" t="s">
        <v>5126</v>
      </c>
      <c r="G1314" t="s">
        <v>5276</v>
      </c>
      <c r="H1314" s="6" t="s">
        <v>7974</v>
      </c>
    </row>
    <row r="1315" spans="1:8" ht="102" x14ac:dyDescent="0.2">
      <c r="A1315">
        <v>1313</v>
      </c>
      <c r="B1315" t="s">
        <v>1611</v>
      </c>
      <c r="C1315" t="s">
        <v>3051</v>
      </c>
      <c r="D1315" t="s">
        <v>3735</v>
      </c>
      <c r="E1315" t="s">
        <v>5262</v>
      </c>
      <c r="F1315" t="s">
        <v>5126</v>
      </c>
      <c r="G1315" t="s">
        <v>5277</v>
      </c>
      <c r="H1315" s="6" t="s">
        <v>7975</v>
      </c>
    </row>
    <row r="1316" spans="1:8" ht="102" x14ac:dyDescent="0.2">
      <c r="A1316">
        <v>1314</v>
      </c>
      <c r="B1316" t="s">
        <v>1611</v>
      </c>
      <c r="C1316" t="s">
        <v>3051</v>
      </c>
      <c r="D1316" t="s">
        <v>3735</v>
      </c>
      <c r="E1316" t="s">
        <v>5262</v>
      </c>
      <c r="F1316" t="s">
        <v>5126</v>
      </c>
      <c r="G1316" t="s">
        <v>5278</v>
      </c>
      <c r="H1316" s="6" t="s">
        <v>7976</v>
      </c>
    </row>
    <row r="1317" spans="1:8" ht="153" x14ac:dyDescent="0.2">
      <c r="A1317">
        <v>1315</v>
      </c>
      <c r="B1317" t="s">
        <v>1611</v>
      </c>
      <c r="C1317" t="s">
        <v>3051</v>
      </c>
      <c r="D1317" t="s">
        <v>3735</v>
      </c>
      <c r="E1317" t="s">
        <v>5262</v>
      </c>
      <c r="F1317" t="s">
        <v>5126</v>
      </c>
      <c r="G1317" t="s">
        <v>5279</v>
      </c>
      <c r="H1317" s="6" t="s">
        <v>7977</v>
      </c>
    </row>
    <row r="1318" spans="1:8" ht="119" x14ac:dyDescent="0.2">
      <c r="A1318">
        <v>1316</v>
      </c>
      <c r="B1318" t="s">
        <v>1611</v>
      </c>
      <c r="C1318" t="s">
        <v>3051</v>
      </c>
      <c r="D1318" t="s">
        <v>3735</v>
      </c>
      <c r="E1318" t="s">
        <v>5262</v>
      </c>
      <c r="F1318" t="s">
        <v>5126</v>
      </c>
      <c r="G1318" t="s">
        <v>5280</v>
      </c>
      <c r="H1318" s="6" t="s">
        <v>7978</v>
      </c>
    </row>
    <row r="1319" spans="1:8" ht="119" x14ac:dyDescent="0.2">
      <c r="A1319">
        <v>1317</v>
      </c>
      <c r="B1319" t="s">
        <v>1611</v>
      </c>
      <c r="C1319" t="s">
        <v>3051</v>
      </c>
      <c r="D1319" t="s">
        <v>3735</v>
      </c>
      <c r="E1319" t="s">
        <v>5262</v>
      </c>
      <c r="F1319" t="s">
        <v>5126</v>
      </c>
      <c r="G1319" t="s">
        <v>5281</v>
      </c>
      <c r="H1319" s="6" t="s">
        <v>7979</v>
      </c>
    </row>
    <row r="1320" spans="1:8" ht="85" x14ac:dyDescent="0.2">
      <c r="A1320">
        <v>1318</v>
      </c>
      <c r="B1320" t="s">
        <v>1611</v>
      </c>
      <c r="C1320" t="s">
        <v>3051</v>
      </c>
      <c r="D1320" t="s">
        <v>3735</v>
      </c>
      <c r="E1320" t="s">
        <v>5262</v>
      </c>
      <c r="F1320" t="s">
        <v>5126</v>
      </c>
      <c r="G1320" t="s">
        <v>5282</v>
      </c>
      <c r="H1320" s="6" t="s">
        <v>7980</v>
      </c>
    </row>
    <row r="1321" spans="1:8" ht="102" x14ac:dyDescent="0.2">
      <c r="A1321">
        <v>1319</v>
      </c>
      <c r="B1321" t="s">
        <v>1611</v>
      </c>
      <c r="C1321" t="s">
        <v>3051</v>
      </c>
      <c r="D1321" t="s">
        <v>3735</v>
      </c>
      <c r="E1321" t="s">
        <v>5262</v>
      </c>
      <c r="F1321" t="s">
        <v>5126</v>
      </c>
      <c r="G1321" t="s">
        <v>5283</v>
      </c>
      <c r="H1321" s="6" t="s">
        <v>7981</v>
      </c>
    </row>
    <row r="1322" spans="1:8" ht="119" x14ac:dyDescent="0.2">
      <c r="A1322">
        <v>1320</v>
      </c>
      <c r="B1322" t="s">
        <v>1611</v>
      </c>
      <c r="C1322" t="s">
        <v>3051</v>
      </c>
      <c r="D1322" t="s">
        <v>3735</v>
      </c>
      <c r="E1322" t="s">
        <v>5262</v>
      </c>
      <c r="F1322" t="s">
        <v>5126</v>
      </c>
      <c r="G1322" t="s">
        <v>5284</v>
      </c>
      <c r="H1322" s="6" t="s">
        <v>7982</v>
      </c>
    </row>
    <row r="1323" spans="1:8" ht="136" x14ac:dyDescent="0.2">
      <c r="A1323">
        <v>1321</v>
      </c>
      <c r="B1323" t="s">
        <v>1611</v>
      </c>
      <c r="C1323" t="s">
        <v>3051</v>
      </c>
      <c r="D1323" t="s">
        <v>3735</v>
      </c>
      <c r="E1323" t="s">
        <v>5262</v>
      </c>
      <c r="F1323" t="s">
        <v>5126</v>
      </c>
      <c r="G1323" t="s">
        <v>5285</v>
      </c>
      <c r="H1323" s="6" t="s">
        <v>7983</v>
      </c>
    </row>
    <row r="1324" spans="1:8" ht="170" x14ac:dyDescent="0.2">
      <c r="A1324">
        <v>1322</v>
      </c>
      <c r="B1324" t="s">
        <v>1611</v>
      </c>
      <c r="C1324" t="s">
        <v>3051</v>
      </c>
      <c r="D1324" t="s">
        <v>3735</v>
      </c>
      <c r="E1324" t="s">
        <v>5262</v>
      </c>
      <c r="F1324" t="s">
        <v>5126</v>
      </c>
      <c r="G1324" t="s">
        <v>5286</v>
      </c>
      <c r="H1324" s="6" t="s">
        <v>7984</v>
      </c>
    </row>
    <row r="1325" spans="1:8" ht="102" x14ac:dyDescent="0.2">
      <c r="A1325">
        <v>1323</v>
      </c>
      <c r="B1325" t="s">
        <v>1611</v>
      </c>
      <c r="C1325" t="s">
        <v>3051</v>
      </c>
      <c r="D1325" t="s">
        <v>3735</v>
      </c>
      <c r="E1325" t="s">
        <v>5262</v>
      </c>
      <c r="F1325" t="s">
        <v>5126</v>
      </c>
      <c r="G1325" t="s">
        <v>5287</v>
      </c>
      <c r="H1325" s="6" t="s">
        <v>7985</v>
      </c>
    </row>
    <row r="1326" spans="1:8" ht="136" x14ac:dyDescent="0.2">
      <c r="A1326">
        <v>1324</v>
      </c>
      <c r="B1326" t="s">
        <v>1611</v>
      </c>
      <c r="C1326" t="s">
        <v>3051</v>
      </c>
      <c r="D1326" t="s">
        <v>3735</v>
      </c>
      <c r="E1326" t="s">
        <v>5262</v>
      </c>
      <c r="F1326" t="s">
        <v>5126</v>
      </c>
      <c r="G1326" t="s">
        <v>5288</v>
      </c>
      <c r="H1326" s="6" t="s">
        <v>7986</v>
      </c>
    </row>
    <row r="1327" spans="1:8" ht="255" x14ac:dyDescent="0.2">
      <c r="A1327">
        <v>1325</v>
      </c>
      <c r="B1327" t="s">
        <v>1611</v>
      </c>
      <c r="C1327" t="s">
        <v>3051</v>
      </c>
      <c r="D1327" t="s">
        <v>3735</v>
      </c>
      <c r="E1327" t="s">
        <v>5262</v>
      </c>
      <c r="F1327" t="s">
        <v>5126</v>
      </c>
      <c r="G1327" t="s">
        <v>5289</v>
      </c>
      <c r="H1327" s="6" t="s">
        <v>7987</v>
      </c>
    </row>
    <row r="1328" spans="1:8" ht="102" x14ac:dyDescent="0.2">
      <c r="A1328">
        <v>1326</v>
      </c>
      <c r="B1328" t="s">
        <v>1611</v>
      </c>
      <c r="C1328" t="s">
        <v>3051</v>
      </c>
      <c r="D1328" t="s">
        <v>3735</v>
      </c>
      <c r="E1328" t="s">
        <v>5262</v>
      </c>
      <c r="F1328" t="s">
        <v>5126</v>
      </c>
      <c r="G1328" t="s">
        <v>5290</v>
      </c>
      <c r="H1328" s="6" t="s">
        <v>7988</v>
      </c>
    </row>
    <row r="1329" spans="1:8" ht="85" x14ac:dyDescent="0.2">
      <c r="A1329">
        <v>1327</v>
      </c>
      <c r="B1329" t="s">
        <v>1611</v>
      </c>
      <c r="C1329" t="s">
        <v>3051</v>
      </c>
      <c r="D1329" t="s">
        <v>3735</v>
      </c>
      <c r="E1329" t="s">
        <v>5262</v>
      </c>
      <c r="F1329" t="s">
        <v>5126</v>
      </c>
      <c r="G1329" t="s">
        <v>5291</v>
      </c>
      <c r="H1329" s="6" t="s">
        <v>7989</v>
      </c>
    </row>
    <row r="1330" spans="1:8" ht="102" x14ac:dyDescent="0.2">
      <c r="A1330">
        <v>1328</v>
      </c>
      <c r="B1330" t="s">
        <v>1611</v>
      </c>
      <c r="C1330" t="s">
        <v>3051</v>
      </c>
      <c r="D1330" t="s">
        <v>3735</v>
      </c>
      <c r="E1330" t="s">
        <v>5262</v>
      </c>
      <c r="F1330" t="s">
        <v>5126</v>
      </c>
      <c r="G1330" t="s">
        <v>5292</v>
      </c>
      <c r="H1330" s="6" t="s">
        <v>7990</v>
      </c>
    </row>
    <row r="1331" spans="1:8" ht="85" x14ac:dyDescent="0.2">
      <c r="A1331">
        <v>1329</v>
      </c>
      <c r="B1331" t="s">
        <v>1611</v>
      </c>
      <c r="C1331" t="s">
        <v>3051</v>
      </c>
      <c r="D1331" t="s">
        <v>3735</v>
      </c>
      <c r="E1331" t="s">
        <v>5293</v>
      </c>
      <c r="F1331" t="s">
        <v>5294</v>
      </c>
      <c r="G1331" t="s">
        <v>5295</v>
      </c>
      <c r="H1331" s="6" t="s">
        <v>7991</v>
      </c>
    </row>
    <row r="1332" spans="1:8" ht="255" x14ac:dyDescent="0.2">
      <c r="A1332">
        <v>1330</v>
      </c>
      <c r="B1332" t="s">
        <v>1611</v>
      </c>
      <c r="C1332" t="s">
        <v>3051</v>
      </c>
      <c r="D1332" t="s">
        <v>3735</v>
      </c>
      <c r="E1332" t="s">
        <v>5296</v>
      </c>
      <c r="F1332" t="s">
        <v>4505</v>
      </c>
      <c r="G1332" t="s">
        <v>5297</v>
      </c>
      <c r="H1332" s="6" t="s">
        <v>7992</v>
      </c>
    </row>
    <row r="1333" spans="1:8" ht="136" x14ac:dyDescent="0.2">
      <c r="A1333">
        <v>1331</v>
      </c>
      <c r="B1333" t="s">
        <v>1611</v>
      </c>
      <c r="C1333" t="s">
        <v>3051</v>
      </c>
      <c r="D1333" t="s">
        <v>3735</v>
      </c>
      <c r="E1333" t="s">
        <v>5296</v>
      </c>
      <c r="F1333" t="s">
        <v>4505</v>
      </c>
      <c r="G1333" t="s">
        <v>5298</v>
      </c>
      <c r="H1333" s="6" t="s">
        <v>7993</v>
      </c>
    </row>
    <row r="1334" spans="1:8" ht="119" x14ac:dyDescent="0.2">
      <c r="A1334">
        <v>1332</v>
      </c>
      <c r="B1334" t="s">
        <v>1611</v>
      </c>
      <c r="C1334" t="s">
        <v>3051</v>
      </c>
      <c r="D1334" t="s">
        <v>3735</v>
      </c>
      <c r="E1334" t="s">
        <v>5296</v>
      </c>
      <c r="F1334" t="s">
        <v>4505</v>
      </c>
      <c r="G1334" t="s">
        <v>5299</v>
      </c>
      <c r="H1334" s="6" t="s">
        <v>7994</v>
      </c>
    </row>
    <row r="1335" spans="1:8" ht="323" x14ac:dyDescent="0.2">
      <c r="A1335">
        <v>1333</v>
      </c>
      <c r="B1335" t="s">
        <v>1611</v>
      </c>
      <c r="C1335" t="s">
        <v>3051</v>
      </c>
      <c r="D1335" t="s">
        <v>3735</v>
      </c>
      <c r="E1335" t="s">
        <v>5296</v>
      </c>
      <c r="F1335" t="s">
        <v>4505</v>
      </c>
      <c r="G1335" t="s">
        <v>5300</v>
      </c>
      <c r="H1335" s="6" t="s">
        <v>7995</v>
      </c>
    </row>
    <row r="1336" spans="1:8" ht="102" x14ac:dyDescent="0.2">
      <c r="A1336">
        <v>1334</v>
      </c>
      <c r="B1336" t="s">
        <v>1611</v>
      </c>
      <c r="C1336" t="s">
        <v>3051</v>
      </c>
      <c r="D1336" t="s">
        <v>3735</v>
      </c>
      <c r="E1336" t="s">
        <v>5296</v>
      </c>
      <c r="F1336" t="s">
        <v>4505</v>
      </c>
      <c r="G1336" t="s">
        <v>5301</v>
      </c>
      <c r="H1336" s="6" t="s">
        <v>7996</v>
      </c>
    </row>
    <row r="1337" spans="1:8" ht="119" x14ac:dyDescent="0.2">
      <c r="A1337">
        <v>1335</v>
      </c>
      <c r="B1337" t="s">
        <v>1611</v>
      </c>
      <c r="C1337" t="s">
        <v>3051</v>
      </c>
      <c r="D1337" t="s">
        <v>3735</v>
      </c>
      <c r="E1337" t="s">
        <v>5296</v>
      </c>
      <c r="F1337" t="s">
        <v>4505</v>
      </c>
      <c r="G1337" t="s">
        <v>5302</v>
      </c>
      <c r="H1337" s="6" t="s">
        <v>7997</v>
      </c>
    </row>
    <row r="1338" spans="1:8" ht="102" x14ac:dyDescent="0.2">
      <c r="A1338">
        <v>1336</v>
      </c>
      <c r="B1338" t="s">
        <v>1611</v>
      </c>
      <c r="C1338" t="s">
        <v>3051</v>
      </c>
      <c r="D1338" t="s">
        <v>3735</v>
      </c>
      <c r="E1338" t="s">
        <v>5296</v>
      </c>
      <c r="F1338" t="s">
        <v>4505</v>
      </c>
      <c r="G1338" t="s">
        <v>5303</v>
      </c>
      <c r="H1338" s="6" t="s">
        <v>7998</v>
      </c>
    </row>
    <row r="1339" spans="1:8" ht="119" x14ac:dyDescent="0.2">
      <c r="A1339">
        <v>1337</v>
      </c>
      <c r="B1339" t="s">
        <v>1611</v>
      </c>
      <c r="C1339" t="s">
        <v>3051</v>
      </c>
      <c r="D1339" t="s">
        <v>3735</v>
      </c>
      <c r="E1339" t="s">
        <v>5296</v>
      </c>
      <c r="F1339" t="s">
        <v>4505</v>
      </c>
      <c r="G1339" t="s">
        <v>5304</v>
      </c>
      <c r="H1339" s="6" t="s">
        <v>7999</v>
      </c>
    </row>
    <row r="1340" spans="1:8" ht="356" x14ac:dyDescent="0.2">
      <c r="A1340">
        <v>1338</v>
      </c>
      <c r="B1340" t="s">
        <v>1611</v>
      </c>
      <c r="C1340" t="s">
        <v>3051</v>
      </c>
      <c r="D1340" t="s">
        <v>3735</v>
      </c>
      <c r="E1340" t="s">
        <v>5296</v>
      </c>
      <c r="F1340" t="s">
        <v>4505</v>
      </c>
      <c r="G1340" t="s">
        <v>5305</v>
      </c>
      <c r="H1340" s="6" t="s">
        <v>8000</v>
      </c>
    </row>
    <row r="1341" spans="1:8" ht="102" x14ac:dyDescent="0.2">
      <c r="A1341">
        <v>1339</v>
      </c>
      <c r="B1341" t="s">
        <v>1611</v>
      </c>
      <c r="C1341" t="s">
        <v>3051</v>
      </c>
      <c r="D1341" t="s">
        <v>3735</v>
      </c>
      <c r="E1341" t="s">
        <v>5296</v>
      </c>
      <c r="F1341" t="s">
        <v>4505</v>
      </c>
      <c r="G1341" t="s">
        <v>5306</v>
      </c>
      <c r="H1341" s="6" t="s">
        <v>8001</v>
      </c>
    </row>
    <row r="1342" spans="1:8" ht="102" x14ac:dyDescent="0.2">
      <c r="A1342">
        <v>1340</v>
      </c>
      <c r="B1342" t="s">
        <v>1611</v>
      </c>
      <c r="C1342" t="s">
        <v>3051</v>
      </c>
      <c r="D1342" t="s">
        <v>3735</v>
      </c>
      <c r="E1342" t="s">
        <v>5296</v>
      </c>
      <c r="F1342" t="s">
        <v>4505</v>
      </c>
      <c r="G1342" t="s">
        <v>5307</v>
      </c>
      <c r="H1342" s="6" t="s">
        <v>8002</v>
      </c>
    </row>
    <row r="1343" spans="1:8" ht="102" x14ac:dyDescent="0.2">
      <c r="A1343">
        <v>1341</v>
      </c>
      <c r="B1343" t="s">
        <v>1611</v>
      </c>
      <c r="C1343" t="s">
        <v>3051</v>
      </c>
      <c r="D1343" t="s">
        <v>3735</v>
      </c>
      <c r="E1343" t="s">
        <v>5296</v>
      </c>
      <c r="F1343" t="s">
        <v>4505</v>
      </c>
      <c r="G1343" t="s">
        <v>5308</v>
      </c>
      <c r="H1343" s="6" t="s">
        <v>8003</v>
      </c>
    </row>
    <row r="1344" spans="1:8" ht="119" x14ac:dyDescent="0.2">
      <c r="A1344">
        <v>1342</v>
      </c>
      <c r="B1344" t="s">
        <v>1611</v>
      </c>
      <c r="C1344" t="s">
        <v>3051</v>
      </c>
      <c r="D1344" t="s">
        <v>3735</v>
      </c>
      <c r="E1344" t="s">
        <v>5296</v>
      </c>
      <c r="F1344" t="s">
        <v>4505</v>
      </c>
      <c r="G1344" t="s">
        <v>5309</v>
      </c>
      <c r="H1344" s="6" t="s">
        <v>8004</v>
      </c>
    </row>
    <row r="1345" spans="1:8" ht="204" x14ac:dyDescent="0.2">
      <c r="A1345">
        <v>1343</v>
      </c>
      <c r="B1345" t="s">
        <v>1611</v>
      </c>
      <c r="C1345" t="s">
        <v>3051</v>
      </c>
      <c r="D1345" t="s">
        <v>3735</v>
      </c>
      <c r="E1345" t="s">
        <v>5296</v>
      </c>
      <c r="F1345" t="s">
        <v>4505</v>
      </c>
      <c r="G1345" t="s">
        <v>5310</v>
      </c>
      <c r="H1345" s="6" t="s">
        <v>8005</v>
      </c>
    </row>
    <row r="1346" spans="1:8" ht="255" x14ac:dyDescent="0.2">
      <c r="A1346">
        <v>1344</v>
      </c>
      <c r="B1346" t="s">
        <v>1611</v>
      </c>
      <c r="C1346" t="s">
        <v>3051</v>
      </c>
      <c r="D1346" t="s">
        <v>3735</v>
      </c>
      <c r="E1346" t="s">
        <v>5296</v>
      </c>
      <c r="F1346" t="s">
        <v>4505</v>
      </c>
      <c r="G1346" t="s">
        <v>5311</v>
      </c>
      <c r="H1346" s="6" t="s">
        <v>8006</v>
      </c>
    </row>
    <row r="1347" spans="1:8" ht="102" x14ac:dyDescent="0.2">
      <c r="A1347">
        <v>1345</v>
      </c>
      <c r="B1347" t="s">
        <v>1611</v>
      </c>
      <c r="C1347" t="s">
        <v>3051</v>
      </c>
      <c r="D1347" t="s">
        <v>3735</v>
      </c>
      <c r="E1347" t="s">
        <v>5296</v>
      </c>
      <c r="F1347" t="s">
        <v>4505</v>
      </c>
      <c r="G1347" t="s">
        <v>5312</v>
      </c>
      <c r="H1347" s="6" t="s">
        <v>7227</v>
      </c>
    </row>
    <row r="1348" spans="1:8" ht="102" x14ac:dyDescent="0.2">
      <c r="A1348">
        <v>1346</v>
      </c>
      <c r="B1348" t="s">
        <v>1611</v>
      </c>
      <c r="C1348" t="s">
        <v>3051</v>
      </c>
      <c r="D1348" t="s">
        <v>3735</v>
      </c>
      <c r="E1348" t="s">
        <v>5296</v>
      </c>
      <c r="F1348" t="s">
        <v>4505</v>
      </c>
      <c r="G1348" t="s">
        <v>5313</v>
      </c>
      <c r="H1348" s="6" t="s">
        <v>8007</v>
      </c>
    </row>
    <row r="1349" spans="1:8" ht="85" x14ac:dyDescent="0.2">
      <c r="A1349">
        <v>1347</v>
      </c>
      <c r="B1349" t="s">
        <v>1611</v>
      </c>
      <c r="C1349" t="s">
        <v>3051</v>
      </c>
      <c r="D1349" t="s">
        <v>3735</v>
      </c>
      <c r="E1349" t="s">
        <v>5296</v>
      </c>
      <c r="F1349" t="s">
        <v>4505</v>
      </c>
      <c r="G1349" t="s">
        <v>5314</v>
      </c>
      <c r="H1349" s="6" t="s">
        <v>8008</v>
      </c>
    </row>
    <row r="1350" spans="1:8" ht="102" x14ac:dyDescent="0.2">
      <c r="A1350">
        <v>1348</v>
      </c>
      <c r="B1350" t="s">
        <v>1611</v>
      </c>
      <c r="C1350" t="s">
        <v>3051</v>
      </c>
      <c r="D1350" t="s">
        <v>3735</v>
      </c>
      <c r="E1350" t="s">
        <v>5296</v>
      </c>
      <c r="F1350" t="s">
        <v>4505</v>
      </c>
      <c r="G1350" t="s">
        <v>5315</v>
      </c>
      <c r="H1350" s="6" t="s">
        <v>8009</v>
      </c>
    </row>
    <row r="1351" spans="1:8" ht="119" x14ac:dyDescent="0.2">
      <c r="A1351">
        <v>1349</v>
      </c>
      <c r="B1351" t="s">
        <v>1611</v>
      </c>
      <c r="C1351" t="s">
        <v>3051</v>
      </c>
      <c r="D1351" t="s">
        <v>3735</v>
      </c>
      <c r="E1351" t="s">
        <v>5296</v>
      </c>
      <c r="F1351" t="s">
        <v>4505</v>
      </c>
      <c r="G1351" t="s">
        <v>5316</v>
      </c>
      <c r="H1351" s="6" t="s">
        <v>8010</v>
      </c>
    </row>
    <row r="1352" spans="1:8" ht="85" x14ac:dyDescent="0.2">
      <c r="A1352">
        <v>1350</v>
      </c>
      <c r="B1352" t="s">
        <v>1611</v>
      </c>
      <c r="C1352" t="s">
        <v>3051</v>
      </c>
      <c r="D1352" t="s">
        <v>3735</v>
      </c>
      <c r="E1352" t="s">
        <v>5296</v>
      </c>
      <c r="F1352" t="s">
        <v>4505</v>
      </c>
      <c r="G1352" t="s">
        <v>5317</v>
      </c>
      <c r="H1352" s="6" t="s">
        <v>8011</v>
      </c>
    </row>
    <row r="1353" spans="1:8" ht="85" x14ac:dyDescent="0.2">
      <c r="A1353">
        <v>1351</v>
      </c>
      <c r="B1353" t="s">
        <v>1611</v>
      </c>
      <c r="C1353" t="s">
        <v>3051</v>
      </c>
      <c r="D1353" t="s">
        <v>3735</v>
      </c>
      <c r="E1353" t="s">
        <v>5296</v>
      </c>
      <c r="F1353" t="s">
        <v>4505</v>
      </c>
      <c r="G1353" t="s">
        <v>5318</v>
      </c>
      <c r="H1353" s="6" t="s">
        <v>8012</v>
      </c>
    </row>
    <row r="1354" spans="1:8" ht="136" x14ac:dyDescent="0.2">
      <c r="A1354">
        <v>1352</v>
      </c>
      <c r="B1354" t="s">
        <v>1611</v>
      </c>
      <c r="C1354" t="s">
        <v>3051</v>
      </c>
      <c r="D1354" t="s">
        <v>3735</v>
      </c>
      <c r="E1354" t="s">
        <v>5296</v>
      </c>
      <c r="F1354" t="s">
        <v>4505</v>
      </c>
      <c r="G1354" t="s">
        <v>5319</v>
      </c>
      <c r="H1354" s="6" t="s">
        <v>8013</v>
      </c>
    </row>
    <row r="1355" spans="1:8" ht="119" x14ac:dyDescent="0.2">
      <c r="A1355">
        <v>1353</v>
      </c>
      <c r="B1355" t="s">
        <v>1611</v>
      </c>
      <c r="C1355" t="s">
        <v>3051</v>
      </c>
      <c r="D1355" t="s">
        <v>3735</v>
      </c>
      <c r="E1355" t="s">
        <v>5296</v>
      </c>
      <c r="F1355" t="s">
        <v>4505</v>
      </c>
      <c r="G1355" t="s">
        <v>5320</v>
      </c>
      <c r="H1355" s="6" t="s">
        <v>8014</v>
      </c>
    </row>
    <row r="1356" spans="1:8" ht="85" x14ac:dyDescent="0.2">
      <c r="A1356">
        <v>1354</v>
      </c>
      <c r="B1356" t="s">
        <v>1611</v>
      </c>
      <c r="C1356" t="s">
        <v>3051</v>
      </c>
      <c r="D1356" t="s">
        <v>3735</v>
      </c>
      <c r="E1356" t="s">
        <v>5296</v>
      </c>
      <c r="F1356" t="s">
        <v>4505</v>
      </c>
      <c r="G1356" t="s">
        <v>5321</v>
      </c>
      <c r="H1356" s="6" t="s">
        <v>8015</v>
      </c>
    </row>
    <row r="1357" spans="1:8" ht="102" x14ac:dyDescent="0.2">
      <c r="A1357">
        <v>1355</v>
      </c>
      <c r="B1357" t="s">
        <v>1611</v>
      </c>
      <c r="C1357" t="s">
        <v>3051</v>
      </c>
      <c r="D1357" t="s">
        <v>3735</v>
      </c>
      <c r="E1357" t="s">
        <v>5296</v>
      </c>
      <c r="F1357" t="s">
        <v>4505</v>
      </c>
      <c r="G1357" t="s">
        <v>5322</v>
      </c>
      <c r="H1357" s="6" t="s">
        <v>8016</v>
      </c>
    </row>
    <row r="1358" spans="1:8" ht="85" x14ac:dyDescent="0.2">
      <c r="A1358">
        <v>1356</v>
      </c>
      <c r="B1358" t="s">
        <v>1611</v>
      </c>
      <c r="C1358" t="s">
        <v>3051</v>
      </c>
      <c r="D1358" t="s">
        <v>3735</v>
      </c>
      <c r="E1358" t="s">
        <v>5296</v>
      </c>
      <c r="F1358" t="s">
        <v>4505</v>
      </c>
      <c r="G1358" t="s">
        <v>5323</v>
      </c>
      <c r="H1358" s="6" t="s">
        <v>8017</v>
      </c>
    </row>
    <row r="1359" spans="1:8" ht="85" x14ac:dyDescent="0.2">
      <c r="A1359">
        <v>1357</v>
      </c>
      <c r="B1359" t="s">
        <v>1611</v>
      </c>
      <c r="C1359" t="s">
        <v>3051</v>
      </c>
      <c r="D1359" t="s">
        <v>3735</v>
      </c>
      <c r="E1359" t="s">
        <v>5296</v>
      </c>
      <c r="F1359" t="s">
        <v>4505</v>
      </c>
      <c r="G1359" t="s">
        <v>5324</v>
      </c>
      <c r="H1359" s="6" t="s">
        <v>8018</v>
      </c>
    </row>
    <row r="1360" spans="1:8" ht="119" x14ac:dyDescent="0.2">
      <c r="A1360">
        <v>1358</v>
      </c>
      <c r="B1360" t="s">
        <v>1611</v>
      </c>
      <c r="C1360" t="s">
        <v>3051</v>
      </c>
      <c r="D1360" t="s">
        <v>3735</v>
      </c>
      <c r="E1360" t="s">
        <v>5296</v>
      </c>
      <c r="F1360" t="s">
        <v>4505</v>
      </c>
      <c r="G1360" t="s">
        <v>5325</v>
      </c>
      <c r="H1360" s="6" t="s">
        <v>8019</v>
      </c>
    </row>
    <row r="1361" spans="1:8" ht="153" x14ac:dyDescent="0.2">
      <c r="A1361">
        <v>1359</v>
      </c>
      <c r="B1361" t="s">
        <v>1611</v>
      </c>
      <c r="C1361" t="s">
        <v>3051</v>
      </c>
      <c r="D1361" t="s">
        <v>3735</v>
      </c>
      <c r="E1361" t="s">
        <v>5296</v>
      </c>
      <c r="F1361" t="s">
        <v>4505</v>
      </c>
      <c r="G1361" t="s">
        <v>5326</v>
      </c>
      <c r="H1361" s="6" t="s">
        <v>8020</v>
      </c>
    </row>
    <row r="1362" spans="1:8" ht="170" x14ac:dyDescent="0.2">
      <c r="A1362">
        <v>1360</v>
      </c>
      <c r="B1362" t="s">
        <v>1611</v>
      </c>
      <c r="C1362" t="s">
        <v>3051</v>
      </c>
      <c r="D1362" t="s">
        <v>3735</v>
      </c>
      <c r="E1362" t="s">
        <v>5296</v>
      </c>
      <c r="F1362" t="s">
        <v>4505</v>
      </c>
      <c r="G1362" t="s">
        <v>5327</v>
      </c>
      <c r="H1362" s="6" t="s">
        <v>8021</v>
      </c>
    </row>
    <row r="1363" spans="1:8" ht="102" x14ac:dyDescent="0.2">
      <c r="A1363">
        <v>1361</v>
      </c>
      <c r="B1363" t="s">
        <v>1611</v>
      </c>
      <c r="C1363" t="s">
        <v>3051</v>
      </c>
      <c r="D1363" t="s">
        <v>3735</v>
      </c>
      <c r="E1363" t="s">
        <v>5296</v>
      </c>
      <c r="F1363" t="s">
        <v>4505</v>
      </c>
      <c r="G1363" t="s">
        <v>5328</v>
      </c>
      <c r="H1363" s="6" t="s">
        <v>8022</v>
      </c>
    </row>
    <row r="1364" spans="1:8" ht="102" x14ac:dyDescent="0.2">
      <c r="A1364">
        <v>1362</v>
      </c>
      <c r="B1364" t="s">
        <v>1611</v>
      </c>
      <c r="C1364" t="s">
        <v>3051</v>
      </c>
      <c r="D1364" t="s">
        <v>3735</v>
      </c>
      <c r="E1364" t="s">
        <v>5296</v>
      </c>
      <c r="F1364" t="s">
        <v>4505</v>
      </c>
      <c r="G1364" t="s">
        <v>5329</v>
      </c>
      <c r="H1364" s="6" t="s">
        <v>8023</v>
      </c>
    </row>
    <row r="1365" spans="1:8" ht="119" x14ac:dyDescent="0.2">
      <c r="A1365">
        <v>1363</v>
      </c>
      <c r="B1365" t="s">
        <v>1611</v>
      </c>
      <c r="C1365" t="s">
        <v>3051</v>
      </c>
      <c r="D1365" t="s">
        <v>3735</v>
      </c>
      <c r="E1365" t="s">
        <v>5296</v>
      </c>
      <c r="F1365" t="s">
        <v>4505</v>
      </c>
      <c r="G1365" t="s">
        <v>5330</v>
      </c>
      <c r="H1365" s="6" t="s">
        <v>8024</v>
      </c>
    </row>
    <row r="1366" spans="1:8" ht="102" x14ac:dyDescent="0.2">
      <c r="A1366">
        <v>1364</v>
      </c>
      <c r="B1366" t="s">
        <v>1611</v>
      </c>
      <c r="C1366" t="s">
        <v>3051</v>
      </c>
      <c r="D1366" t="s">
        <v>3735</v>
      </c>
      <c r="E1366" t="s">
        <v>5296</v>
      </c>
      <c r="F1366" t="s">
        <v>4505</v>
      </c>
      <c r="G1366" t="s">
        <v>5331</v>
      </c>
      <c r="H1366" s="6" t="s">
        <v>8025</v>
      </c>
    </row>
    <row r="1367" spans="1:8" ht="102" x14ac:dyDescent="0.2">
      <c r="A1367">
        <v>1365</v>
      </c>
      <c r="B1367" t="s">
        <v>1611</v>
      </c>
      <c r="C1367" t="s">
        <v>3051</v>
      </c>
      <c r="D1367" t="s">
        <v>3735</v>
      </c>
      <c r="E1367" t="s">
        <v>5332</v>
      </c>
      <c r="F1367" t="s">
        <v>5333</v>
      </c>
      <c r="G1367" t="s">
        <v>5334</v>
      </c>
      <c r="H1367" s="6" t="s">
        <v>8026</v>
      </c>
    </row>
    <row r="1368" spans="1:8" ht="102" x14ac:dyDescent="0.2">
      <c r="A1368">
        <v>1366</v>
      </c>
      <c r="B1368" t="s">
        <v>1611</v>
      </c>
      <c r="C1368" t="s">
        <v>3051</v>
      </c>
      <c r="D1368" t="s">
        <v>3735</v>
      </c>
      <c r="E1368" t="s">
        <v>5332</v>
      </c>
      <c r="F1368" t="s">
        <v>5333</v>
      </c>
      <c r="G1368" t="s">
        <v>5335</v>
      </c>
      <c r="H1368" s="6" t="s">
        <v>8027</v>
      </c>
    </row>
    <row r="1369" spans="1:8" ht="85" x14ac:dyDescent="0.2">
      <c r="A1369">
        <v>1367</v>
      </c>
      <c r="B1369" t="s">
        <v>1611</v>
      </c>
      <c r="C1369" t="s">
        <v>3051</v>
      </c>
      <c r="D1369" t="s">
        <v>3735</v>
      </c>
      <c r="E1369" t="s">
        <v>5332</v>
      </c>
      <c r="F1369" t="s">
        <v>5333</v>
      </c>
      <c r="G1369" t="s">
        <v>5336</v>
      </c>
      <c r="H1369" s="6" t="s">
        <v>8028</v>
      </c>
    </row>
    <row r="1370" spans="1:8" ht="85" x14ac:dyDescent="0.2">
      <c r="A1370">
        <v>1368</v>
      </c>
      <c r="B1370" t="s">
        <v>1611</v>
      </c>
      <c r="C1370" t="s">
        <v>3051</v>
      </c>
      <c r="D1370" t="s">
        <v>3735</v>
      </c>
      <c r="E1370" t="s">
        <v>5332</v>
      </c>
      <c r="F1370" t="s">
        <v>5333</v>
      </c>
      <c r="G1370" t="s">
        <v>5337</v>
      </c>
      <c r="H1370" s="6" t="s">
        <v>8029</v>
      </c>
    </row>
    <row r="1371" spans="1:8" ht="85" x14ac:dyDescent="0.2">
      <c r="A1371">
        <v>1369</v>
      </c>
      <c r="B1371" t="s">
        <v>1611</v>
      </c>
      <c r="C1371" t="s">
        <v>3051</v>
      </c>
      <c r="D1371" t="s">
        <v>3735</v>
      </c>
      <c r="E1371" t="s">
        <v>5332</v>
      </c>
      <c r="F1371" t="s">
        <v>5333</v>
      </c>
      <c r="G1371" t="s">
        <v>5338</v>
      </c>
      <c r="H1371" s="6" t="s">
        <v>8030</v>
      </c>
    </row>
    <row r="1372" spans="1:8" ht="102" x14ac:dyDescent="0.2">
      <c r="A1372">
        <v>1370</v>
      </c>
      <c r="B1372" t="s">
        <v>1611</v>
      </c>
      <c r="C1372" t="s">
        <v>3051</v>
      </c>
      <c r="D1372" t="s">
        <v>3735</v>
      </c>
      <c r="E1372" t="s">
        <v>5332</v>
      </c>
      <c r="F1372" t="s">
        <v>5333</v>
      </c>
      <c r="G1372" t="s">
        <v>5339</v>
      </c>
      <c r="H1372" s="6" t="s">
        <v>8031</v>
      </c>
    </row>
    <row r="1373" spans="1:8" ht="136" x14ac:dyDescent="0.2">
      <c r="A1373">
        <v>1371</v>
      </c>
      <c r="B1373" t="s">
        <v>1611</v>
      </c>
      <c r="C1373" t="s">
        <v>3051</v>
      </c>
      <c r="D1373" t="s">
        <v>3735</v>
      </c>
      <c r="E1373" t="s">
        <v>5332</v>
      </c>
      <c r="F1373" t="s">
        <v>5333</v>
      </c>
      <c r="G1373" t="s">
        <v>5340</v>
      </c>
      <c r="H1373" s="6" t="s">
        <v>8032</v>
      </c>
    </row>
    <row r="1374" spans="1:8" ht="119" x14ac:dyDescent="0.2">
      <c r="A1374">
        <v>1372</v>
      </c>
      <c r="B1374" t="s">
        <v>1611</v>
      </c>
      <c r="C1374" t="s">
        <v>3051</v>
      </c>
      <c r="D1374" t="s">
        <v>3735</v>
      </c>
      <c r="E1374" t="s">
        <v>5332</v>
      </c>
      <c r="F1374" t="s">
        <v>5333</v>
      </c>
      <c r="G1374" t="s">
        <v>5341</v>
      </c>
      <c r="H1374" s="6" t="s">
        <v>8033</v>
      </c>
    </row>
    <row r="1375" spans="1:8" ht="119" x14ac:dyDescent="0.2">
      <c r="A1375">
        <v>1373</v>
      </c>
      <c r="B1375" t="s">
        <v>1611</v>
      </c>
      <c r="C1375" t="s">
        <v>3051</v>
      </c>
      <c r="D1375" t="s">
        <v>3735</v>
      </c>
      <c r="E1375" t="s">
        <v>5332</v>
      </c>
      <c r="F1375" t="s">
        <v>5333</v>
      </c>
      <c r="G1375" t="s">
        <v>5342</v>
      </c>
      <c r="H1375" s="6" t="s">
        <v>8034</v>
      </c>
    </row>
    <row r="1376" spans="1:8" ht="170" x14ac:dyDescent="0.2">
      <c r="A1376">
        <v>1374</v>
      </c>
      <c r="B1376" t="s">
        <v>1611</v>
      </c>
      <c r="C1376" t="s">
        <v>3051</v>
      </c>
      <c r="D1376" t="s">
        <v>3735</v>
      </c>
      <c r="E1376" t="s">
        <v>5332</v>
      </c>
      <c r="F1376" t="s">
        <v>5333</v>
      </c>
      <c r="G1376" t="s">
        <v>5343</v>
      </c>
      <c r="H1376" s="6" t="s">
        <v>8035</v>
      </c>
    </row>
    <row r="1377" spans="1:8" ht="85" x14ac:dyDescent="0.2">
      <c r="A1377">
        <v>1375</v>
      </c>
      <c r="B1377" t="s">
        <v>1611</v>
      </c>
      <c r="C1377" t="s">
        <v>3051</v>
      </c>
      <c r="D1377" t="s">
        <v>3735</v>
      </c>
      <c r="E1377" t="s">
        <v>5332</v>
      </c>
      <c r="F1377" t="s">
        <v>5333</v>
      </c>
      <c r="G1377" t="s">
        <v>5344</v>
      </c>
      <c r="H1377" s="6" t="s">
        <v>8036</v>
      </c>
    </row>
    <row r="1378" spans="1:8" ht="102" x14ac:dyDescent="0.2">
      <c r="A1378">
        <v>1376</v>
      </c>
      <c r="B1378" t="s">
        <v>1611</v>
      </c>
      <c r="C1378" t="s">
        <v>3051</v>
      </c>
      <c r="D1378" t="s">
        <v>3735</v>
      </c>
      <c r="E1378" t="s">
        <v>5332</v>
      </c>
      <c r="F1378" t="s">
        <v>5333</v>
      </c>
      <c r="G1378" t="s">
        <v>5345</v>
      </c>
      <c r="H1378" s="6" t="s">
        <v>8037</v>
      </c>
    </row>
    <row r="1379" spans="1:8" ht="85" x14ac:dyDescent="0.2">
      <c r="A1379">
        <v>1377</v>
      </c>
      <c r="B1379" t="s">
        <v>1611</v>
      </c>
      <c r="C1379" t="s">
        <v>3051</v>
      </c>
      <c r="D1379" t="s">
        <v>3735</v>
      </c>
      <c r="E1379" t="s">
        <v>5346</v>
      </c>
      <c r="F1379" t="s">
        <v>5347</v>
      </c>
      <c r="G1379" t="s">
        <v>5348</v>
      </c>
      <c r="H1379" s="6" t="s">
        <v>8038</v>
      </c>
    </row>
    <row r="1380" spans="1:8" ht="119" x14ac:dyDescent="0.2">
      <c r="A1380">
        <v>1378</v>
      </c>
      <c r="B1380" t="s">
        <v>1611</v>
      </c>
      <c r="C1380" t="s">
        <v>3051</v>
      </c>
      <c r="D1380" t="s">
        <v>3735</v>
      </c>
      <c r="E1380" t="s">
        <v>5346</v>
      </c>
      <c r="F1380" t="s">
        <v>5347</v>
      </c>
      <c r="G1380" t="s">
        <v>5349</v>
      </c>
      <c r="H1380" s="6" t="s">
        <v>8039</v>
      </c>
    </row>
    <row r="1381" spans="1:8" ht="102" x14ac:dyDescent="0.2">
      <c r="A1381">
        <v>1379</v>
      </c>
      <c r="B1381" t="s">
        <v>1611</v>
      </c>
      <c r="C1381" t="s">
        <v>3051</v>
      </c>
      <c r="D1381" t="s">
        <v>3735</v>
      </c>
      <c r="E1381" t="s">
        <v>5346</v>
      </c>
      <c r="F1381" t="s">
        <v>5347</v>
      </c>
      <c r="G1381" t="s">
        <v>5350</v>
      </c>
      <c r="H1381" s="6" t="s">
        <v>8040</v>
      </c>
    </row>
    <row r="1382" spans="1:8" ht="85" x14ac:dyDescent="0.2">
      <c r="A1382">
        <v>1380</v>
      </c>
      <c r="B1382" t="s">
        <v>1611</v>
      </c>
      <c r="C1382" t="s">
        <v>3051</v>
      </c>
      <c r="D1382" t="s">
        <v>3735</v>
      </c>
      <c r="E1382" t="s">
        <v>5346</v>
      </c>
      <c r="F1382" t="s">
        <v>5347</v>
      </c>
      <c r="G1382" t="s">
        <v>5351</v>
      </c>
      <c r="H1382" s="6" t="s">
        <v>8041</v>
      </c>
    </row>
    <row r="1383" spans="1:8" ht="102" x14ac:dyDescent="0.2">
      <c r="A1383">
        <v>1381</v>
      </c>
      <c r="B1383" t="s">
        <v>1611</v>
      </c>
      <c r="C1383" t="s">
        <v>3051</v>
      </c>
      <c r="D1383" t="s">
        <v>3735</v>
      </c>
      <c r="E1383" t="s">
        <v>5346</v>
      </c>
      <c r="F1383" t="s">
        <v>5347</v>
      </c>
      <c r="G1383" t="s">
        <v>5352</v>
      </c>
      <c r="H1383" s="6" t="s">
        <v>8042</v>
      </c>
    </row>
    <row r="1384" spans="1:8" ht="289" x14ac:dyDescent="0.2">
      <c r="A1384">
        <v>1382</v>
      </c>
      <c r="B1384" t="s">
        <v>1611</v>
      </c>
      <c r="C1384" t="s">
        <v>3051</v>
      </c>
      <c r="D1384" t="s">
        <v>3735</v>
      </c>
      <c r="E1384" t="s">
        <v>5353</v>
      </c>
      <c r="F1384" t="s">
        <v>5354</v>
      </c>
      <c r="G1384" t="s">
        <v>5355</v>
      </c>
      <c r="H1384" s="6" t="s">
        <v>8043</v>
      </c>
    </row>
    <row r="1385" spans="1:8" ht="323" x14ac:dyDescent="0.2">
      <c r="A1385">
        <v>1383</v>
      </c>
      <c r="B1385" t="s">
        <v>1611</v>
      </c>
      <c r="C1385" t="s">
        <v>3051</v>
      </c>
      <c r="D1385" t="s">
        <v>3735</v>
      </c>
      <c r="E1385" t="s">
        <v>5353</v>
      </c>
      <c r="F1385" t="s">
        <v>5354</v>
      </c>
      <c r="G1385" t="s">
        <v>5356</v>
      </c>
      <c r="H1385" s="6" t="s">
        <v>8044</v>
      </c>
    </row>
    <row r="1386" spans="1:8" ht="119" x14ac:dyDescent="0.2">
      <c r="A1386">
        <v>1384</v>
      </c>
      <c r="B1386" t="s">
        <v>1611</v>
      </c>
      <c r="C1386" t="s">
        <v>3051</v>
      </c>
      <c r="D1386" t="s">
        <v>3735</v>
      </c>
      <c r="E1386" t="s">
        <v>5357</v>
      </c>
      <c r="F1386" t="s">
        <v>4789</v>
      </c>
      <c r="G1386" t="s">
        <v>5358</v>
      </c>
      <c r="H1386" s="6" t="s">
        <v>8045</v>
      </c>
    </row>
    <row r="1387" spans="1:8" ht="102" x14ac:dyDescent="0.2">
      <c r="A1387">
        <v>1385</v>
      </c>
      <c r="B1387" t="s">
        <v>1611</v>
      </c>
      <c r="C1387" t="s">
        <v>3051</v>
      </c>
      <c r="D1387" t="s">
        <v>3735</v>
      </c>
      <c r="E1387" t="s">
        <v>5357</v>
      </c>
      <c r="F1387" t="s">
        <v>4789</v>
      </c>
      <c r="G1387" t="s">
        <v>5359</v>
      </c>
      <c r="H1387" s="6" t="s">
        <v>8046</v>
      </c>
    </row>
    <row r="1388" spans="1:8" ht="119" x14ac:dyDescent="0.2">
      <c r="A1388">
        <v>1386</v>
      </c>
      <c r="B1388" t="s">
        <v>1611</v>
      </c>
      <c r="C1388" t="s">
        <v>3051</v>
      </c>
      <c r="D1388" t="s">
        <v>3735</v>
      </c>
      <c r="E1388" t="s">
        <v>5357</v>
      </c>
      <c r="F1388" t="s">
        <v>4789</v>
      </c>
      <c r="G1388" t="s">
        <v>5360</v>
      </c>
      <c r="H1388" s="6" t="s">
        <v>8047</v>
      </c>
    </row>
    <row r="1389" spans="1:8" ht="136" x14ac:dyDescent="0.2">
      <c r="A1389">
        <v>1387</v>
      </c>
      <c r="B1389" t="s">
        <v>1611</v>
      </c>
      <c r="C1389" t="s">
        <v>3051</v>
      </c>
      <c r="D1389" t="s">
        <v>3735</v>
      </c>
      <c r="E1389" t="s">
        <v>5357</v>
      </c>
      <c r="F1389" t="s">
        <v>4789</v>
      </c>
      <c r="G1389" t="s">
        <v>5361</v>
      </c>
      <c r="H1389" s="6" t="s">
        <v>8048</v>
      </c>
    </row>
    <row r="1390" spans="1:8" ht="102" x14ac:dyDescent="0.2">
      <c r="A1390">
        <v>1388</v>
      </c>
      <c r="B1390" t="s">
        <v>1611</v>
      </c>
      <c r="C1390" t="s">
        <v>3051</v>
      </c>
      <c r="D1390" t="s">
        <v>3735</v>
      </c>
      <c r="E1390" t="s">
        <v>5357</v>
      </c>
      <c r="F1390" t="s">
        <v>4789</v>
      </c>
      <c r="G1390" t="s">
        <v>5362</v>
      </c>
      <c r="H1390" s="6" t="s">
        <v>8046</v>
      </c>
    </row>
    <row r="1391" spans="1:8" ht="102" x14ac:dyDescent="0.2">
      <c r="A1391">
        <v>1389</v>
      </c>
      <c r="B1391" t="s">
        <v>1611</v>
      </c>
      <c r="C1391" t="s">
        <v>3051</v>
      </c>
      <c r="D1391" t="s">
        <v>3735</v>
      </c>
      <c r="E1391" t="s">
        <v>5357</v>
      </c>
      <c r="F1391" t="s">
        <v>4789</v>
      </c>
      <c r="G1391" t="s">
        <v>5363</v>
      </c>
      <c r="H1391" s="6" t="s">
        <v>8049</v>
      </c>
    </row>
    <row r="1392" spans="1:8" ht="170" x14ac:dyDescent="0.2">
      <c r="A1392">
        <v>1390</v>
      </c>
      <c r="B1392" t="s">
        <v>1611</v>
      </c>
      <c r="C1392" t="s">
        <v>3051</v>
      </c>
      <c r="D1392" t="s">
        <v>3735</v>
      </c>
      <c r="E1392" t="s">
        <v>5357</v>
      </c>
      <c r="F1392" t="s">
        <v>4789</v>
      </c>
      <c r="G1392" t="s">
        <v>5364</v>
      </c>
      <c r="H1392" s="6" t="s">
        <v>8050</v>
      </c>
    </row>
    <row r="1393" spans="1:8" ht="170" x14ac:dyDescent="0.2">
      <c r="A1393">
        <v>1391</v>
      </c>
      <c r="B1393" t="s">
        <v>1611</v>
      </c>
      <c r="C1393" t="s">
        <v>3051</v>
      </c>
      <c r="D1393" t="s">
        <v>3735</v>
      </c>
      <c r="E1393" t="s">
        <v>5357</v>
      </c>
      <c r="F1393" t="s">
        <v>4789</v>
      </c>
      <c r="G1393" t="s">
        <v>5365</v>
      </c>
      <c r="H1393" s="6" t="s">
        <v>8050</v>
      </c>
    </row>
    <row r="1394" spans="1:8" ht="170" x14ac:dyDescent="0.2">
      <c r="A1394">
        <v>1392</v>
      </c>
      <c r="B1394" t="s">
        <v>1611</v>
      </c>
      <c r="C1394" t="s">
        <v>3051</v>
      </c>
      <c r="D1394" t="s">
        <v>3735</v>
      </c>
      <c r="E1394" t="s">
        <v>5357</v>
      </c>
      <c r="F1394" t="s">
        <v>4789</v>
      </c>
      <c r="G1394" t="s">
        <v>5366</v>
      </c>
      <c r="H1394" s="6" t="s">
        <v>8050</v>
      </c>
    </row>
    <row r="1395" spans="1:8" ht="102" x14ac:dyDescent="0.2">
      <c r="A1395">
        <v>1393</v>
      </c>
      <c r="B1395" t="s">
        <v>1611</v>
      </c>
      <c r="C1395" t="s">
        <v>3051</v>
      </c>
      <c r="D1395" t="s">
        <v>3735</v>
      </c>
      <c r="E1395" t="s">
        <v>5357</v>
      </c>
      <c r="F1395" t="s">
        <v>4789</v>
      </c>
      <c r="G1395" t="s">
        <v>5367</v>
      </c>
      <c r="H1395" s="6" t="s">
        <v>8046</v>
      </c>
    </row>
    <row r="1396" spans="1:8" ht="119" x14ac:dyDescent="0.2">
      <c r="A1396">
        <v>1394</v>
      </c>
      <c r="B1396" t="s">
        <v>1611</v>
      </c>
      <c r="C1396" t="s">
        <v>3051</v>
      </c>
      <c r="D1396" t="s">
        <v>3735</v>
      </c>
      <c r="E1396" t="s">
        <v>5357</v>
      </c>
      <c r="F1396" t="s">
        <v>4789</v>
      </c>
      <c r="G1396" t="s">
        <v>5368</v>
      </c>
      <c r="H1396" s="6" t="s">
        <v>8051</v>
      </c>
    </row>
    <row r="1397" spans="1:8" ht="136" x14ac:dyDescent="0.2">
      <c r="A1397">
        <v>1395</v>
      </c>
      <c r="B1397" t="s">
        <v>1611</v>
      </c>
      <c r="C1397" t="s">
        <v>3051</v>
      </c>
      <c r="D1397" t="s">
        <v>3735</v>
      </c>
      <c r="E1397" t="s">
        <v>5357</v>
      </c>
      <c r="F1397" t="s">
        <v>4789</v>
      </c>
      <c r="G1397" t="s">
        <v>5369</v>
      </c>
      <c r="H1397" s="6" t="s">
        <v>8052</v>
      </c>
    </row>
    <row r="1398" spans="1:8" ht="136" x14ac:dyDescent="0.2">
      <c r="A1398">
        <v>1396</v>
      </c>
      <c r="B1398" t="s">
        <v>1611</v>
      </c>
      <c r="C1398" t="s">
        <v>3051</v>
      </c>
      <c r="D1398" t="s">
        <v>3735</v>
      </c>
      <c r="E1398" t="s">
        <v>5357</v>
      </c>
      <c r="F1398" t="s">
        <v>4789</v>
      </c>
      <c r="G1398" t="s">
        <v>5370</v>
      </c>
      <c r="H1398" s="6" t="s">
        <v>8053</v>
      </c>
    </row>
    <row r="1399" spans="1:8" ht="136" x14ac:dyDescent="0.2">
      <c r="A1399">
        <v>1397</v>
      </c>
      <c r="B1399" t="s">
        <v>1611</v>
      </c>
      <c r="C1399" t="s">
        <v>3051</v>
      </c>
      <c r="D1399" t="s">
        <v>3735</v>
      </c>
      <c r="E1399" t="s">
        <v>5357</v>
      </c>
      <c r="F1399" t="s">
        <v>4789</v>
      </c>
      <c r="G1399" t="s">
        <v>5371</v>
      </c>
      <c r="H1399" s="6" t="s">
        <v>8054</v>
      </c>
    </row>
    <row r="1400" spans="1:8" ht="119" x14ac:dyDescent="0.2">
      <c r="A1400">
        <v>1398</v>
      </c>
      <c r="B1400" t="s">
        <v>1611</v>
      </c>
      <c r="C1400" t="s">
        <v>3051</v>
      </c>
      <c r="D1400" t="s">
        <v>3735</v>
      </c>
      <c r="E1400" t="s">
        <v>5357</v>
      </c>
      <c r="F1400" t="s">
        <v>4789</v>
      </c>
      <c r="G1400" t="s">
        <v>5372</v>
      </c>
      <c r="H1400" s="6" t="s">
        <v>8055</v>
      </c>
    </row>
    <row r="1401" spans="1:8" ht="136" x14ac:dyDescent="0.2">
      <c r="A1401">
        <v>1399</v>
      </c>
      <c r="B1401" t="s">
        <v>1611</v>
      </c>
      <c r="C1401" t="s">
        <v>3051</v>
      </c>
      <c r="D1401" t="s">
        <v>3735</v>
      </c>
      <c r="E1401" t="s">
        <v>5357</v>
      </c>
      <c r="F1401" t="s">
        <v>4789</v>
      </c>
      <c r="G1401" t="s">
        <v>5373</v>
      </c>
      <c r="H1401" s="6" t="s">
        <v>8056</v>
      </c>
    </row>
    <row r="1402" spans="1:8" ht="136" x14ac:dyDescent="0.2">
      <c r="A1402">
        <v>1400</v>
      </c>
      <c r="B1402" t="s">
        <v>1611</v>
      </c>
      <c r="C1402" t="s">
        <v>3051</v>
      </c>
      <c r="D1402" t="s">
        <v>3735</v>
      </c>
      <c r="E1402" t="s">
        <v>5357</v>
      </c>
      <c r="F1402" t="s">
        <v>4789</v>
      </c>
      <c r="G1402" t="s">
        <v>5374</v>
      </c>
      <c r="H1402" s="6" t="s">
        <v>8057</v>
      </c>
    </row>
    <row r="1403" spans="1:8" ht="136" x14ac:dyDescent="0.2">
      <c r="A1403">
        <v>1401</v>
      </c>
      <c r="B1403" t="s">
        <v>1611</v>
      </c>
      <c r="C1403" t="s">
        <v>3051</v>
      </c>
      <c r="D1403" t="s">
        <v>3735</v>
      </c>
      <c r="E1403" t="s">
        <v>5357</v>
      </c>
      <c r="F1403" t="s">
        <v>4789</v>
      </c>
      <c r="G1403" t="s">
        <v>5375</v>
      </c>
      <c r="H1403" s="6" t="s">
        <v>8058</v>
      </c>
    </row>
    <row r="1404" spans="1:8" ht="136" x14ac:dyDescent="0.2">
      <c r="A1404">
        <v>1402</v>
      </c>
      <c r="B1404" t="s">
        <v>1611</v>
      </c>
      <c r="C1404" t="s">
        <v>3051</v>
      </c>
      <c r="D1404" t="s">
        <v>3735</v>
      </c>
      <c r="E1404" t="s">
        <v>5357</v>
      </c>
      <c r="F1404" t="s">
        <v>4789</v>
      </c>
      <c r="G1404" t="s">
        <v>5376</v>
      </c>
      <c r="H1404" s="6" t="s">
        <v>8059</v>
      </c>
    </row>
    <row r="1405" spans="1:8" ht="102" x14ac:dyDescent="0.2">
      <c r="A1405">
        <v>1403</v>
      </c>
      <c r="B1405" t="s">
        <v>1611</v>
      </c>
      <c r="C1405" t="s">
        <v>3051</v>
      </c>
      <c r="D1405" t="s">
        <v>3735</v>
      </c>
      <c r="E1405" t="s">
        <v>5357</v>
      </c>
      <c r="F1405" t="s">
        <v>4789</v>
      </c>
      <c r="G1405" t="s">
        <v>5377</v>
      </c>
      <c r="H1405" s="6" t="s">
        <v>8046</v>
      </c>
    </row>
    <row r="1406" spans="1:8" ht="153" x14ac:dyDescent="0.2">
      <c r="A1406">
        <v>1404</v>
      </c>
      <c r="B1406" t="s">
        <v>1611</v>
      </c>
      <c r="C1406" t="s">
        <v>3051</v>
      </c>
      <c r="D1406" t="s">
        <v>3735</v>
      </c>
      <c r="E1406" t="s">
        <v>5357</v>
      </c>
      <c r="F1406" t="s">
        <v>4789</v>
      </c>
      <c r="G1406" t="s">
        <v>5378</v>
      </c>
      <c r="H1406" s="6" t="s">
        <v>8060</v>
      </c>
    </row>
    <row r="1407" spans="1:8" ht="153" x14ac:dyDescent="0.2">
      <c r="A1407">
        <v>1405</v>
      </c>
      <c r="B1407" t="s">
        <v>1611</v>
      </c>
      <c r="C1407" t="s">
        <v>3051</v>
      </c>
      <c r="D1407" t="s">
        <v>3735</v>
      </c>
      <c r="E1407" t="s">
        <v>5357</v>
      </c>
      <c r="F1407" t="s">
        <v>4789</v>
      </c>
      <c r="G1407" t="s">
        <v>5379</v>
      </c>
      <c r="H1407" s="6" t="s">
        <v>8061</v>
      </c>
    </row>
    <row r="1408" spans="1:8" ht="119" x14ac:dyDescent="0.2">
      <c r="A1408">
        <v>1406</v>
      </c>
      <c r="B1408" t="s">
        <v>1611</v>
      </c>
      <c r="C1408" t="s">
        <v>3051</v>
      </c>
      <c r="D1408" t="s">
        <v>3735</v>
      </c>
      <c r="E1408" t="s">
        <v>5357</v>
      </c>
      <c r="F1408" t="s">
        <v>4789</v>
      </c>
      <c r="G1408" t="s">
        <v>5380</v>
      </c>
      <c r="H1408" s="6" t="s">
        <v>8062</v>
      </c>
    </row>
    <row r="1409" spans="1:8" ht="136" x14ac:dyDescent="0.2">
      <c r="A1409">
        <v>1407</v>
      </c>
      <c r="B1409" t="s">
        <v>1611</v>
      </c>
      <c r="C1409" t="s">
        <v>3051</v>
      </c>
      <c r="D1409" t="s">
        <v>3735</v>
      </c>
      <c r="E1409" t="s">
        <v>5357</v>
      </c>
      <c r="F1409" t="s">
        <v>4789</v>
      </c>
      <c r="G1409" t="s">
        <v>5381</v>
      </c>
      <c r="H1409" s="6" t="s">
        <v>8063</v>
      </c>
    </row>
    <row r="1410" spans="1:8" ht="102" x14ac:dyDescent="0.2">
      <c r="A1410">
        <v>1408</v>
      </c>
      <c r="B1410" t="s">
        <v>1611</v>
      </c>
      <c r="C1410" t="s">
        <v>3051</v>
      </c>
      <c r="D1410" t="s">
        <v>3735</v>
      </c>
      <c r="E1410" t="s">
        <v>5357</v>
      </c>
      <c r="F1410" t="s">
        <v>4789</v>
      </c>
      <c r="G1410" t="s">
        <v>5382</v>
      </c>
      <c r="H1410" s="6" t="s">
        <v>8046</v>
      </c>
    </row>
    <row r="1411" spans="1:8" ht="119" x14ac:dyDescent="0.2">
      <c r="A1411">
        <v>1409</v>
      </c>
      <c r="B1411" t="s">
        <v>1611</v>
      </c>
      <c r="C1411" t="s">
        <v>3051</v>
      </c>
      <c r="D1411" t="s">
        <v>3735</v>
      </c>
      <c r="E1411" t="s">
        <v>5357</v>
      </c>
      <c r="F1411" t="s">
        <v>4789</v>
      </c>
      <c r="G1411" t="s">
        <v>5383</v>
      </c>
      <c r="H1411" s="6" t="s">
        <v>8064</v>
      </c>
    </row>
    <row r="1412" spans="1:8" ht="119" x14ac:dyDescent="0.2">
      <c r="A1412">
        <v>1410</v>
      </c>
      <c r="B1412" t="s">
        <v>1611</v>
      </c>
      <c r="C1412" t="s">
        <v>3051</v>
      </c>
      <c r="D1412" t="s">
        <v>3735</v>
      </c>
      <c r="E1412" t="s">
        <v>5357</v>
      </c>
      <c r="F1412" t="s">
        <v>4789</v>
      </c>
      <c r="G1412" t="s">
        <v>5384</v>
      </c>
      <c r="H1412" s="6" t="s">
        <v>8065</v>
      </c>
    </row>
    <row r="1413" spans="1:8" ht="102" x14ac:dyDescent="0.2">
      <c r="A1413">
        <v>1411</v>
      </c>
      <c r="B1413" t="s">
        <v>1611</v>
      </c>
      <c r="C1413" t="s">
        <v>3051</v>
      </c>
      <c r="D1413" t="s">
        <v>3735</v>
      </c>
      <c r="E1413" t="s">
        <v>5357</v>
      </c>
      <c r="F1413" t="s">
        <v>4789</v>
      </c>
      <c r="G1413" t="s">
        <v>5385</v>
      </c>
      <c r="H1413" s="6" t="s">
        <v>8046</v>
      </c>
    </row>
    <row r="1414" spans="1:8" ht="119" x14ac:dyDescent="0.2">
      <c r="A1414">
        <v>1412</v>
      </c>
      <c r="B1414" t="s">
        <v>1611</v>
      </c>
      <c r="C1414" t="s">
        <v>3051</v>
      </c>
      <c r="D1414" t="s">
        <v>3735</v>
      </c>
      <c r="E1414" t="s">
        <v>5357</v>
      </c>
      <c r="F1414" t="s">
        <v>4789</v>
      </c>
      <c r="G1414" t="s">
        <v>5386</v>
      </c>
      <c r="H1414" s="6" t="s">
        <v>8066</v>
      </c>
    </row>
    <row r="1415" spans="1:8" ht="153" x14ac:dyDescent="0.2">
      <c r="A1415">
        <v>1413</v>
      </c>
      <c r="B1415" t="s">
        <v>1611</v>
      </c>
      <c r="C1415" t="s">
        <v>3051</v>
      </c>
      <c r="D1415" t="s">
        <v>3735</v>
      </c>
      <c r="E1415" t="s">
        <v>5357</v>
      </c>
      <c r="F1415" t="s">
        <v>4789</v>
      </c>
      <c r="G1415" t="s">
        <v>5387</v>
      </c>
      <c r="H1415" s="6" t="s">
        <v>8067</v>
      </c>
    </row>
    <row r="1416" spans="1:8" ht="136" x14ac:dyDescent="0.2">
      <c r="A1416">
        <v>1414</v>
      </c>
      <c r="B1416" t="s">
        <v>1611</v>
      </c>
      <c r="C1416" t="s">
        <v>3051</v>
      </c>
      <c r="D1416" t="s">
        <v>3735</v>
      </c>
      <c r="E1416" t="s">
        <v>5357</v>
      </c>
      <c r="F1416" t="s">
        <v>4789</v>
      </c>
      <c r="G1416" t="s">
        <v>5388</v>
      </c>
      <c r="H1416" s="6" t="s">
        <v>8068</v>
      </c>
    </row>
    <row r="1417" spans="1:8" ht="102" x14ac:dyDescent="0.2">
      <c r="A1417">
        <v>1415</v>
      </c>
      <c r="B1417" t="s">
        <v>1611</v>
      </c>
      <c r="C1417" t="s">
        <v>3051</v>
      </c>
      <c r="D1417" t="s">
        <v>3735</v>
      </c>
      <c r="E1417" t="s">
        <v>5357</v>
      </c>
      <c r="F1417" t="s">
        <v>4789</v>
      </c>
      <c r="G1417" t="s">
        <v>5389</v>
      </c>
      <c r="H1417" s="6" t="s">
        <v>8046</v>
      </c>
    </row>
    <row r="1418" spans="1:8" ht="170" x14ac:dyDescent="0.2">
      <c r="A1418">
        <v>1416</v>
      </c>
      <c r="B1418" t="s">
        <v>1611</v>
      </c>
      <c r="C1418" t="s">
        <v>3051</v>
      </c>
      <c r="D1418" t="s">
        <v>3735</v>
      </c>
      <c r="E1418" t="s">
        <v>5357</v>
      </c>
      <c r="F1418" t="s">
        <v>4789</v>
      </c>
      <c r="G1418" t="s">
        <v>5390</v>
      </c>
      <c r="H1418" s="6" t="s">
        <v>8069</v>
      </c>
    </row>
    <row r="1419" spans="1:8" ht="119" x14ac:dyDescent="0.2">
      <c r="A1419">
        <v>1417</v>
      </c>
      <c r="B1419" t="s">
        <v>1611</v>
      </c>
      <c r="C1419" t="s">
        <v>3051</v>
      </c>
      <c r="D1419" t="s">
        <v>3735</v>
      </c>
      <c r="E1419" t="s">
        <v>5357</v>
      </c>
      <c r="F1419" t="s">
        <v>4789</v>
      </c>
      <c r="G1419" t="s">
        <v>5391</v>
      </c>
      <c r="H1419" s="6" t="s">
        <v>8070</v>
      </c>
    </row>
    <row r="1420" spans="1:8" ht="136" x14ac:dyDescent="0.2">
      <c r="A1420">
        <v>1418</v>
      </c>
      <c r="B1420" t="s">
        <v>1611</v>
      </c>
      <c r="C1420" t="s">
        <v>3051</v>
      </c>
      <c r="D1420" t="s">
        <v>3735</v>
      </c>
      <c r="E1420" t="s">
        <v>5357</v>
      </c>
      <c r="F1420" t="s">
        <v>4789</v>
      </c>
      <c r="G1420" t="s">
        <v>5392</v>
      </c>
      <c r="H1420" s="6" t="s">
        <v>8071</v>
      </c>
    </row>
    <row r="1421" spans="1:8" ht="170" x14ac:dyDescent="0.2">
      <c r="A1421">
        <v>1419</v>
      </c>
      <c r="B1421" t="s">
        <v>1611</v>
      </c>
      <c r="C1421" t="s">
        <v>3051</v>
      </c>
      <c r="D1421" t="s">
        <v>3735</v>
      </c>
      <c r="E1421" t="s">
        <v>5357</v>
      </c>
      <c r="F1421" t="s">
        <v>4789</v>
      </c>
      <c r="G1421" t="s">
        <v>5393</v>
      </c>
      <c r="H1421" s="6" t="s">
        <v>8072</v>
      </c>
    </row>
    <row r="1422" spans="1:8" ht="102" x14ac:dyDescent="0.2">
      <c r="A1422">
        <v>1420</v>
      </c>
      <c r="B1422" t="s">
        <v>1611</v>
      </c>
      <c r="C1422" t="s">
        <v>3051</v>
      </c>
      <c r="D1422" t="s">
        <v>3735</v>
      </c>
      <c r="E1422" t="s">
        <v>5357</v>
      </c>
      <c r="F1422" t="s">
        <v>4789</v>
      </c>
      <c r="G1422" t="s">
        <v>5394</v>
      </c>
      <c r="H1422" s="6" t="s">
        <v>8046</v>
      </c>
    </row>
    <row r="1423" spans="1:8" ht="85" x14ac:dyDescent="0.2">
      <c r="A1423">
        <v>1421</v>
      </c>
      <c r="B1423" t="s">
        <v>1611</v>
      </c>
      <c r="C1423" t="s">
        <v>3051</v>
      </c>
      <c r="D1423" t="s">
        <v>3735</v>
      </c>
      <c r="E1423" t="s">
        <v>5357</v>
      </c>
      <c r="F1423" t="s">
        <v>4789</v>
      </c>
      <c r="G1423" t="s">
        <v>5395</v>
      </c>
      <c r="H1423" s="6" t="s">
        <v>8073</v>
      </c>
    </row>
    <row r="1424" spans="1:8" ht="102" x14ac:dyDescent="0.2">
      <c r="A1424">
        <v>1422</v>
      </c>
      <c r="B1424" t="s">
        <v>1611</v>
      </c>
      <c r="C1424" t="s">
        <v>3051</v>
      </c>
      <c r="D1424" t="s">
        <v>3735</v>
      </c>
      <c r="E1424" t="s">
        <v>5357</v>
      </c>
      <c r="F1424" t="s">
        <v>4789</v>
      </c>
      <c r="G1424" t="s">
        <v>5396</v>
      </c>
      <c r="H1424" s="6" t="s">
        <v>8074</v>
      </c>
    </row>
    <row r="1425" spans="1:8" ht="136" x14ac:dyDescent="0.2">
      <c r="A1425">
        <v>1423</v>
      </c>
      <c r="B1425" t="s">
        <v>1611</v>
      </c>
      <c r="C1425" t="s">
        <v>3051</v>
      </c>
      <c r="D1425" t="s">
        <v>3735</v>
      </c>
      <c r="E1425" t="s">
        <v>5357</v>
      </c>
      <c r="F1425" t="s">
        <v>4789</v>
      </c>
      <c r="G1425" t="s">
        <v>5397</v>
      </c>
      <c r="H1425" s="6" t="s">
        <v>8075</v>
      </c>
    </row>
    <row r="1426" spans="1:8" ht="102" x14ac:dyDescent="0.2">
      <c r="A1426">
        <v>1424</v>
      </c>
      <c r="B1426" t="s">
        <v>1611</v>
      </c>
      <c r="C1426" t="s">
        <v>3051</v>
      </c>
      <c r="D1426" t="s">
        <v>3735</v>
      </c>
      <c r="E1426" t="s">
        <v>5357</v>
      </c>
      <c r="F1426" t="s">
        <v>4789</v>
      </c>
      <c r="G1426" t="s">
        <v>5398</v>
      </c>
      <c r="H1426" s="6" t="s">
        <v>8046</v>
      </c>
    </row>
    <row r="1427" spans="1:8" ht="170" x14ac:dyDescent="0.2">
      <c r="A1427">
        <v>1425</v>
      </c>
      <c r="B1427" t="s">
        <v>1611</v>
      </c>
      <c r="C1427" t="s">
        <v>3051</v>
      </c>
      <c r="D1427" t="s">
        <v>3735</v>
      </c>
      <c r="E1427" t="s">
        <v>5357</v>
      </c>
      <c r="F1427" t="s">
        <v>4789</v>
      </c>
      <c r="G1427" t="s">
        <v>5399</v>
      </c>
      <c r="H1427" s="6" t="s">
        <v>8076</v>
      </c>
    </row>
    <row r="1428" spans="1:8" ht="153" x14ac:dyDescent="0.2">
      <c r="A1428">
        <v>1426</v>
      </c>
      <c r="B1428" t="s">
        <v>1611</v>
      </c>
      <c r="C1428" t="s">
        <v>3051</v>
      </c>
      <c r="D1428" t="s">
        <v>3735</v>
      </c>
      <c r="E1428" t="s">
        <v>5357</v>
      </c>
      <c r="F1428" t="s">
        <v>4789</v>
      </c>
      <c r="G1428" t="s">
        <v>5400</v>
      </c>
      <c r="H1428" s="6" t="s">
        <v>8077</v>
      </c>
    </row>
    <row r="1429" spans="1:8" ht="119" x14ac:dyDescent="0.2">
      <c r="A1429">
        <v>1427</v>
      </c>
      <c r="B1429" t="s">
        <v>1611</v>
      </c>
      <c r="C1429" t="s">
        <v>3051</v>
      </c>
      <c r="D1429" t="s">
        <v>3735</v>
      </c>
      <c r="E1429" t="s">
        <v>5357</v>
      </c>
      <c r="F1429" t="s">
        <v>4789</v>
      </c>
      <c r="G1429" t="s">
        <v>5401</v>
      </c>
      <c r="H1429" s="6" t="s">
        <v>8078</v>
      </c>
    </row>
    <row r="1430" spans="1:8" ht="102" x14ac:dyDescent="0.2">
      <c r="A1430">
        <v>1428</v>
      </c>
      <c r="B1430" t="s">
        <v>1611</v>
      </c>
      <c r="C1430" t="s">
        <v>3051</v>
      </c>
      <c r="D1430" t="s">
        <v>3735</v>
      </c>
      <c r="E1430" t="s">
        <v>5357</v>
      </c>
      <c r="F1430" t="s">
        <v>4789</v>
      </c>
      <c r="G1430" t="s">
        <v>5402</v>
      </c>
      <c r="H1430" s="6" t="s">
        <v>8079</v>
      </c>
    </row>
    <row r="1431" spans="1:8" ht="102" x14ac:dyDescent="0.2">
      <c r="A1431">
        <v>1429</v>
      </c>
      <c r="B1431" t="s">
        <v>1611</v>
      </c>
      <c r="C1431" t="s">
        <v>3051</v>
      </c>
      <c r="D1431" t="s">
        <v>3735</v>
      </c>
      <c r="E1431" t="s">
        <v>5357</v>
      </c>
      <c r="F1431" t="s">
        <v>4789</v>
      </c>
      <c r="G1431" t="s">
        <v>5403</v>
      </c>
      <c r="H1431" s="6" t="s">
        <v>8080</v>
      </c>
    </row>
    <row r="1432" spans="1:8" ht="102" x14ac:dyDescent="0.2">
      <c r="A1432">
        <v>1430</v>
      </c>
      <c r="B1432" t="s">
        <v>1611</v>
      </c>
      <c r="C1432" t="s">
        <v>3051</v>
      </c>
      <c r="D1432" t="s">
        <v>3735</v>
      </c>
      <c r="E1432" t="s">
        <v>5357</v>
      </c>
      <c r="F1432" t="s">
        <v>4789</v>
      </c>
      <c r="G1432" t="s">
        <v>5404</v>
      </c>
      <c r="H1432" s="6" t="s">
        <v>8046</v>
      </c>
    </row>
    <row r="1433" spans="1:8" ht="153" x14ac:dyDescent="0.2">
      <c r="A1433">
        <v>1431</v>
      </c>
      <c r="B1433" t="s">
        <v>1611</v>
      </c>
      <c r="C1433" t="s">
        <v>3051</v>
      </c>
      <c r="D1433" t="s">
        <v>3735</v>
      </c>
      <c r="E1433" t="s">
        <v>5357</v>
      </c>
      <c r="F1433" t="s">
        <v>4789</v>
      </c>
      <c r="G1433" t="s">
        <v>5405</v>
      </c>
      <c r="H1433" s="6" t="s">
        <v>8081</v>
      </c>
    </row>
    <row r="1434" spans="1:8" ht="153" x14ac:dyDescent="0.2">
      <c r="A1434">
        <v>1432</v>
      </c>
      <c r="B1434" t="s">
        <v>1611</v>
      </c>
      <c r="C1434" t="s">
        <v>3051</v>
      </c>
      <c r="D1434" t="s">
        <v>3735</v>
      </c>
      <c r="E1434" t="s">
        <v>5357</v>
      </c>
      <c r="F1434" t="s">
        <v>4789</v>
      </c>
      <c r="G1434" t="s">
        <v>5406</v>
      </c>
      <c r="H1434" s="6" t="s">
        <v>8082</v>
      </c>
    </row>
    <row r="1435" spans="1:8" ht="119" x14ac:dyDescent="0.2">
      <c r="A1435">
        <v>1433</v>
      </c>
      <c r="B1435" t="s">
        <v>1611</v>
      </c>
      <c r="C1435" t="s">
        <v>3051</v>
      </c>
      <c r="D1435" t="s">
        <v>3735</v>
      </c>
      <c r="E1435" t="s">
        <v>5357</v>
      </c>
      <c r="F1435" t="s">
        <v>4789</v>
      </c>
      <c r="G1435" t="s">
        <v>5407</v>
      </c>
      <c r="H1435" s="6" t="s">
        <v>8083</v>
      </c>
    </row>
    <row r="1436" spans="1:8" ht="85" x14ac:dyDescent="0.2">
      <c r="A1436">
        <v>1434</v>
      </c>
      <c r="B1436" t="s">
        <v>1611</v>
      </c>
      <c r="C1436" t="s">
        <v>3051</v>
      </c>
      <c r="D1436" t="s">
        <v>3735</v>
      </c>
      <c r="E1436" t="s">
        <v>5357</v>
      </c>
      <c r="F1436" t="s">
        <v>4789</v>
      </c>
      <c r="G1436" t="s">
        <v>5408</v>
      </c>
      <c r="H1436" s="6" t="s">
        <v>8084</v>
      </c>
    </row>
    <row r="1437" spans="1:8" ht="102" x14ac:dyDescent="0.2">
      <c r="A1437">
        <v>1435</v>
      </c>
      <c r="B1437" t="s">
        <v>1611</v>
      </c>
      <c r="C1437" t="s">
        <v>3051</v>
      </c>
      <c r="D1437" t="s">
        <v>3735</v>
      </c>
      <c r="E1437" t="s">
        <v>5357</v>
      </c>
      <c r="F1437" t="s">
        <v>4789</v>
      </c>
      <c r="G1437" t="s">
        <v>5409</v>
      </c>
      <c r="H1437" s="6" t="s">
        <v>8046</v>
      </c>
    </row>
    <row r="1438" spans="1:8" ht="119" x14ac:dyDescent="0.2">
      <c r="A1438">
        <v>1436</v>
      </c>
      <c r="B1438" t="s">
        <v>1611</v>
      </c>
      <c r="C1438" t="s">
        <v>3051</v>
      </c>
      <c r="D1438" t="s">
        <v>3735</v>
      </c>
      <c r="E1438" t="s">
        <v>5357</v>
      </c>
      <c r="F1438" t="s">
        <v>4789</v>
      </c>
      <c r="G1438" t="s">
        <v>5410</v>
      </c>
      <c r="H1438" s="6" t="s">
        <v>8085</v>
      </c>
    </row>
    <row r="1439" spans="1:8" ht="119" x14ac:dyDescent="0.2">
      <c r="A1439">
        <v>1437</v>
      </c>
      <c r="B1439" t="s">
        <v>1611</v>
      </c>
      <c r="C1439" t="s">
        <v>3051</v>
      </c>
      <c r="D1439" t="s">
        <v>3735</v>
      </c>
      <c r="E1439" t="s">
        <v>5357</v>
      </c>
      <c r="F1439" t="s">
        <v>4789</v>
      </c>
      <c r="G1439" t="s">
        <v>5411</v>
      </c>
      <c r="H1439" s="6" t="s">
        <v>8086</v>
      </c>
    </row>
    <row r="1440" spans="1:8" ht="119" x14ac:dyDescent="0.2">
      <c r="A1440">
        <v>1438</v>
      </c>
      <c r="B1440" t="s">
        <v>1611</v>
      </c>
      <c r="C1440" t="s">
        <v>3051</v>
      </c>
      <c r="D1440" t="s">
        <v>3735</v>
      </c>
      <c r="E1440" t="s">
        <v>5357</v>
      </c>
      <c r="F1440" t="s">
        <v>4789</v>
      </c>
      <c r="G1440" t="s">
        <v>5412</v>
      </c>
      <c r="H1440" s="6" t="s">
        <v>8087</v>
      </c>
    </row>
    <row r="1441" spans="1:8" ht="102" x14ac:dyDescent="0.2">
      <c r="A1441">
        <v>1439</v>
      </c>
      <c r="B1441" t="s">
        <v>1611</v>
      </c>
      <c r="C1441" t="s">
        <v>3051</v>
      </c>
      <c r="D1441" t="s">
        <v>3735</v>
      </c>
      <c r="E1441" t="s">
        <v>5357</v>
      </c>
      <c r="F1441" t="s">
        <v>4789</v>
      </c>
      <c r="G1441" t="s">
        <v>5413</v>
      </c>
      <c r="H1441" s="6" t="s">
        <v>8046</v>
      </c>
    </row>
    <row r="1442" spans="1:8" ht="153" x14ac:dyDescent="0.2">
      <c r="A1442">
        <v>1440</v>
      </c>
      <c r="B1442" t="s">
        <v>1611</v>
      </c>
      <c r="C1442" t="s">
        <v>3051</v>
      </c>
      <c r="D1442" t="s">
        <v>3735</v>
      </c>
      <c r="E1442" t="s">
        <v>5357</v>
      </c>
      <c r="F1442" t="s">
        <v>4789</v>
      </c>
      <c r="G1442" t="s">
        <v>5414</v>
      </c>
      <c r="H1442" s="6" t="s">
        <v>8088</v>
      </c>
    </row>
    <row r="1443" spans="1:8" ht="136" x14ac:dyDescent="0.2">
      <c r="A1443">
        <v>1441</v>
      </c>
      <c r="B1443" t="s">
        <v>1611</v>
      </c>
      <c r="C1443" t="s">
        <v>3051</v>
      </c>
      <c r="D1443" t="s">
        <v>3735</v>
      </c>
      <c r="E1443" t="s">
        <v>5357</v>
      </c>
      <c r="F1443" t="s">
        <v>4789</v>
      </c>
      <c r="G1443" t="s">
        <v>5415</v>
      </c>
      <c r="H1443" s="6" t="s">
        <v>8089</v>
      </c>
    </row>
    <row r="1444" spans="1:8" ht="119" x14ac:dyDescent="0.2">
      <c r="A1444">
        <v>1442</v>
      </c>
      <c r="B1444" t="s">
        <v>1611</v>
      </c>
      <c r="C1444" t="s">
        <v>3051</v>
      </c>
      <c r="D1444" t="s">
        <v>3735</v>
      </c>
      <c r="E1444" t="s">
        <v>5357</v>
      </c>
      <c r="F1444" t="s">
        <v>4789</v>
      </c>
      <c r="G1444" t="s">
        <v>5416</v>
      </c>
      <c r="H1444" s="6" t="s">
        <v>8090</v>
      </c>
    </row>
    <row r="1445" spans="1:8" ht="136" x14ac:dyDescent="0.2">
      <c r="A1445">
        <v>1443</v>
      </c>
      <c r="B1445" t="s">
        <v>1611</v>
      </c>
      <c r="C1445" t="s">
        <v>3051</v>
      </c>
      <c r="D1445" t="s">
        <v>3735</v>
      </c>
      <c r="E1445" t="s">
        <v>5357</v>
      </c>
      <c r="F1445" t="s">
        <v>4789</v>
      </c>
      <c r="G1445" t="s">
        <v>5417</v>
      </c>
      <c r="H1445" s="6" t="s">
        <v>8091</v>
      </c>
    </row>
    <row r="1446" spans="1:8" ht="119" x14ac:dyDescent="0.2">
      <c r="A1446">
        <v>1444</v>
      </c>
      <c r="B1446" t="s">
        <v>1611</v>
      </c>
      <c r="C1446" t="s">
        <v>3051</v>
      </c>
      <c r="D1446" t="s">
        <v>3735</v>
      </c>
      <c r="E1446" t="s">
        <v>5357</v>
      </c>
      <c r="F1446" t="s">
        <v>4789</v>
      </c>
      <c r="G1446" t="s">
        <v>5418</v>
      </c>
      <c r="H1446" s="6" t="s">
        <v>8092</v>
      </c>
    </row>
    <row r="1447" spans="1:8" ht="119" x14ac:dyDescent="0.2">
      <c r="A1447">
        <v>1445</v>
      </c>
      <c r="B1447" t="s">
        <v>1611</v>
      </c>
      <c r="C1447" t="s">
        <v>3051</v>
      </c>
      <c r="D1447" t="s">
        <v>3735</v>
      </c>
      <c r="E1447" t="s">
        <v>5357</v>
      </c>
      <c r="F1447" t="s">
        <v>4789</v>
      </c>
      <c r="G1447" t="s">
        <v>5419</v>
      </c>
      <c r="H1447" s="6" t="s">
        <v>8093</v>
      </c>
    </row>
    <row r="1448" spans="1:8" ht="136" x14ac:dyDescent="0.2">
      <c r="A1448">
        <v>1446</v>
      </c>
      <c r="B1448" t="s">
        <v>1611</v>
      </c>
      <c r="C1448" t="s">
        <v>3051</v>
      </c>
      <c r="D1448" t="s">
        <v>3735</v>
      </c>
      <c r="E1448" t="s">
        <v>5357</v>
      </c>
      <c r="F1448" t="s">
        <v>4789</v>
      </c>
      <c r="G1448" t="s">
        <v>5420</v>
      </c>
      <c r="H1448" s="6" t="s">
        <v>8094</v>
      </c>
    </row>
    <row r="1449" spans="1:8" ht="136" x14ac:dyDescent="0.2">
      <c r="A1449">
        <v>1447</v>
      </c>
      <c r="B1449" t="s">
        <v>1611</v>
      </c>
      <c r="C1449" t="s">
        <v>3051</v>
      </c>
      <c r="D1449" t="s">
        <v>3735</v>
      </c>
      <c r="E1449" t="s">
        <v>5357</v>
      </c>
      <c r="F1449" t="s">
        <v>4789</v>
      </c>
      <c r="G1449" t="s">
        <v>5421</v>
      </c>
      <c r="H1449" s="6" t="s">
        <v>8095</v>
      </c>
    </row>
    <row r="1450" spans="1:8" ht="102" x14ac:dyDescent="0.2">
      <c r="A1450">
        <v>1448</v>
      </c>
      <c r="B1450" t="s">
        <v>1611</v>
      </c>
      <c r="C1450" t="s">
        <v>3051</v>
      </c>
      <c r="D1450" t="s">
        <v>3735</v>
      </c>
      <c r="E1450" t="s">
        <v>5357</v>
      </c>
      <c r="F1450" t="s">
        <v>4789</v>
      </c>
      <c r="G1450" t="s">
        <v>5422</v>
      </c>
      <c r="H1450" s="6" t="s">
        <v>8096</v>
      </c>
    </row>
    <row r="1451" spans="1:8" ht="136" x14ac:dyDescent="0.2">
      <c r="A1451">
        <v>1449</v>
      </c>
      <c r="B1451" t="s">
        <v>1611</v>
      </c>
      <c r="C1451" t="s">
        <v>3051</v>
      </c>
      <c r="D1451" t="s">
        <v>3735</v>
      </c>
      <c r="E1451" t="s">
        <v>5357</v>
      </c>
      <c r="F1451" t="s">
        <v>4789</v>
      </c>
      <c r="G1451" t="s">
        <v>5423</v>
      </c>
      <c r="H1451" s="6" t="s">
        <v>8097</v>
      </c>
    </row>
    <row r="1452" spans="1:8" ht="119" x14ac:dyDescent="0.2">
      <c r="A1452">
        <v>1450</v>
      </c>
      <c r="B1452" t="s">
        <v>1611</v>
      </c>
      <c r="C1452" t="s">
        <v>3051</v>
      </c>
      <c r="D1452" t="s">
        <v>3735</v>
      </c>
      <c r="E1452" t="s">
        <v>5357</v>
      </c>
      <c r="F1452" t="s">
        <v>4789</v>
      </c>
      <c r="G1452" t="s">
        <v>5424</v>
      </c>
      <c r="H1452" s="6" t="s">
        <v>8093</v>
      </c>
    </row>
    <row r="1453" spans="1:8" ht="85" x14ac:dyDescent="0.2">
      <c r="A1453">
        <v>1451</v>
      </c>
      <c r="B1453" t="s">
        <v>1611</v>
      </c>
      <c r="C1453" t="s">
        <v>3051</v>
      </c>
      <c r="D1453" t="s">
        <v>3735</v>
      </c>
      <c r="E1453" t="s">
        <v>5357</v>
      </c>
      <c r="F1453" t="s">
        <v>4789</v>
      </c>
      <c r="G1453" t="s">
        <v>5425</v>
      </c>
      <c r="H1453" s="6" t="s">
        <v>8098</v>
      </c>
    </row>
    <row r="1454" spans="1:8" ht="119" x14ac:dyDescent="0.2">
      <c r="A1454">
        <v>1452</v>
      </c>
      <c r="B1454" t="s">
        <v>1611</v>
      </c>
      <c r="C1454" t="s">
        <v>3051</v>
      </c>
      <c r="D1454" t="s">
        <v>3735</v>
      </c>
      <c r="E1454" t="s">
        <v>5357</v>
      </c>
      <c r="F1454" t="s">
        <v>4789</v>
      </c>
      <c r="G1454" t="s">
        <v>5426</v>
      </c>
      <c r="H1454" s="6" t="s">
        <v>8099</v>
      </c>
    </row>
    <row r="1455" spans="1:8" ht="153" x14ac:dyDescent="0.2">
      <c r="A1455">
        <v>1453</v>
      </c>
      <c r="B1455" t="s">
        <v>1611</v>
      </c>
      <c r="C1455" t="s">
        <v>3051</v>
      </c>
      <c r="D1455" t="s">
        <v>3735</v>
      </c>
      <c r="E1455" t="s">
        <v>5357</v>
      </c>
      <c r="F1455" t="s">
        <v>4789</v>
      </c>
      <c r="G1455" t="s">
        <v>5427</v>
      </c>
      <c r="H1455" s="6" t="s">
        <v>8100</v>
      </c>
    </row>
    <row r="1456" spans="1:8" ht="153" x14ac:dyDescent="0.2">
      <c r="A1456">
        <v>1454</v>
      </c>
      <c r="B1456" t="s">
        <v>1611</v>
      </c>
      <c r="C1456" t="s">
        <v>3051</v>
      </c>
      <c r="D1456" t="s">
        <v>3735</v>
      </c>
      <c r="E1456" t="s">
        <v>5357</v>
      </c>
      <c r="F1456" t="s">
        <v>4789</v>
      </c>
      <c r="G1456" t="s">
        <v>5428</v>
      </c>
      <c r="H1456" s="6" t="s">
        <v>8101</v>
      </c>
    </row>
    <row r="1457" spans="1:8" ht="153" x14ac:dyDescent="0.2">
      <c r="A1457">
        <v>1455</v>
      </c>
      <c r="B1457" t="s">
        <v>1611</v>
      </c>
      <c r="C1457" t="s">
        <v>3051</v>
      </c>
      <c r="D1457" t="s">
        <v>3735</v>
      </c>
      <c r="E1457" t="s">
        <v>5357</v>
      </c>
      <c r="F1457" t="s">
        <v>4789</v>
      </c>
      <c r="G1457" t="s">
        <v>5429</v>
      </c>
      <c r="H1457" s="6" t="s">
        <v>8102</v>
      </c>
    </row>
    <row r="1458" spans="1:8" ht="136" x14ac:dyDescent="0.2">
      <c r="A1458">
        <v>1456</v>
      </c>
      <c r="B1458" t="s">
        <v>1611</v>
      </c>
      <c r="C1458" t="s">
        <v>3051</v>
      </c>
      <c r="D1458" t="s">
        <v>3735</v>
      </c>
      <c r="E1458" t="s">
        <v>5357</v>
      </c>
      <c r="F1458" t="s">
        <v>4789</v>
      </c>
      <c r="G1458" t="s">
        <v>5430</v>
      </c>
      <c r="H1458" s="6" t="s">
        <v>8103</v>
      </c>
    </row>
    <row r="1459" spans="1:8" ht="153" x14ac:dyDescent="0.2">
      <c r="A1459">
        <v>1457</v>
      </c>
      <c r="B1459" t="s">
        <v>1611</v>
      </c>
      <c r="C1459" t="s">
        <v>3051</v>
      </c>
      <c r="D1459" t="s">
        <v>3735</v>
      </c>
      <c r="E1459" t="s">
        <v>5357</v>
      </c>
      <c r="F1459" t="s">
        <v>4789</v>
      </c>
      <c r="G1459" t="s">
        <v>5431</v>
      </c>
      <c r="H1459" s="6" t="s">
        <v>8102</v>
      </c>
    </row>
    <row r="1460" spans="1:8" ht="119" x14ac:dyDescent="0.2">
      <c r="A1460">
        <v>1458</v>
      </c>
      <c r="B1460" t="s">
        <v>1611</v>
      </c>
      <c r="C1460" t="s">
        <v>3051</v>
      </c>
      <c r="D1460" t="s">
        <v>3735</v>
      </c>
      <c r="E1460" t="s">
        <v>5357</v>
      </c>
      <c r="F1460" t="s">
        <v>4789</v>
      </c>
      <c r="G1460" t="s">
        <v>5432</v>
      </c>
      <c r="H1460" s="6" t="s">
        <v>8104</v>
      </c>
    </row>
    <row r="1461" spans="1:8" ht="136" x14ac:dyDescent="0.2">
      <c r="A1461">
        <v>1459</v>
      </c>
      <c r="B1461" t="s">
        <v>1611</v>
      </c>
      <c r="C1461" t="s">
        <v>3051</v>
      </c>
      <c r="D1461" t="s">
        <v>3735</v>
      </c>
      <c r="E1461" t="s">
        <v>5357</v>
      </c>
      <c r="F1461" t="s">
        <v>4789</v>
      </c>
      <c r="G1461" t="s">
        <v>5433</v>
      </c>
      <c r="H1461" s="6" t="s">
        <v>8105</v>
      </c>
    </row>
    <row r="1462" spans="1:8" ht="153" x14ac:dyDescent="0.2">
      <c r="A1462">
        <v>1460</v>
      </c>
      <c r="B1462" t="s">
        <v>1611</v>
      </c>
      <c r="C1462" t="s">
        <v>3051</v>
      </c>
      <c r="D1462" t="s">
        <v>3735</v>
      </c>
      <c r="E1462" t="s">
        <v>5357</v>
      </c>
      <c r="F1462" t="s">
        <v>4789</v>
      </c>
      <c r="G1462" t="s">
        <v>5434</v>
      </c>
      <c r="H1462" s="6" t="s">
        <v>8106</v>
      </c>
    </row>
    <row r="1463" spans="1:8" ht="136" x14ac:dyDescent="0.2">
      <c r="A1463">
        <v>1461</v>
      </c>
      <c r="B1463" t="s">
        <v>1611</v>
      </c>
      <c r="C1463" t="s">
        <v>3051</v>
      </c>
      <c r="D1463" t="s">
        <v>3735</v>
      </c>
      <c r="E1463" t="s">
        <v>5357</v>
      </c>
      <c r="F1463" t="s">
        <v>4789</v>
      </c>
      <c r="G1463" t="s">
        <v>5435</v>
      </c>
      <c r="H1463" s="6" t="s">
        <v>8107</v>
      </c>
    </row>
    <row r="1464" spans="1:8" ht="85" x14ac:dyDescent="0.2">
      <c r="A1464">
        <v>1462</v>
      </c>
      <c r="B1464" t="s">
        <v>1611</v>
      </c>
      <c r="C1464" t="s">
        <v>3051</v>
      </c>
      <c r="D1464" t="s">
        <v>3735</v>
      </c>
      <c r="E1464" t="s">
        <v>5357</v>
      </c>
      <c r="F1464" t="s">
        <v>4789</v>
      </c>
      <c r="G1464" t="s">
        <v>5436</v>
      </c>
      <c r="H1464" s="6" t="s">
        <v>8108</v>
      </c>
    </row>
    <row r="1465" spans="1:8" ht="119" x14ac:dyDescent="0.2">
      <c r="A1465">
        <v>1463</v>
      </c>
      <c r="B1465" t="s">
        <v>1611</v>
      </c>
      <c r="C1465" t="s">
        <v>3051</v>
      </c>
      <c r="D1465" t="s">
        <v>3735</v>
      </c>
      <c r="E1465" t="s">
        <v>5357</v>
      </c>
      <c r="F1465" t="s">
        <v>4789</v>
      </c>
      <c r="G1465" t="s">
        <v>5437</v>
      </c>
      <c r="H1465" s="6" t="s">
        <v>8109</v>
      </c>
    </row>
    <row r="1466" spans="1:8" ht="136" x14ac:dyDescent="0.2">
      <c r="A1466">
        <v>1464</v>
      </c>
      <c r="B1466" t="s">
        <v>1611</v>
      </c>
      <c r="C1466" t="s">
        <v>3051</v>
      </c>
      <c r="D1466" t="s">
        <v>3735</v>
      </c>
      <c r="E1466" t="s">
        <v>5438</v>
      </c>
      <c r="F1466" t="s">
        <v>5439</v>
      </c>
      <c r="G1466" t="s">
        <v>5440</v>
      </c>
      <c r="H1466" s="6" t="s">
        <v>8110</v>
      </c>
    </row>
    <row r="1467" spans="1:8" ht="136" x14ac:dyDescent="0.2">
      <c r="A1467">
        <v>1465</v>
      </c>
      <c r="B1467" t="s">
        <v>1611</v>
      </c>
      <c r="C1467" t="s">
        <v>3051</v>
      </c>
      <c r="D1467" t="s">
        <v>3735</v>
      </c>
      <c r="E1467" t="s">
        <v>5438</v>
      </c>
      <c r="F1467" t="s">
        <v>5439</v>
      </c>
      <c r="G1467" t="s">
        <v>5441</v>
      </c>
      <c r="H1467" s="6" t="s">
        <v>8111</v>
      </c>
    </row>
    <row r="1468" spans="1:8" ht="136" x14ac:dyDescent="0.2">
      <c r="A1468">
        <v>1466</v>
      </c>
      <c r="B1468" t="s">
        <v>1611</v>
      </c>
      <c r="C1468" t="s">
        <v>3051</v>
      </c>
      <c r="D1468" t="s">
        <v>3735</v>
      </c>
      <c r="E1468" t="s">
        <v>5438</v>
      </c>
      <c r="F1468" t="s">
        <v>5439</v>
      </c>
      <c r="G1468" t="s">
        <v>5442</v>
      </c>
      <c r="H1468" s="6" t="s">
        <v>8112</v>
      </c>
    </row>
    <row r="1469" spans="1:8" ht="119" x14ac:dyDescent="0.2">
      <c r="A1469">
        <v>1467</v>
      </c>
      <c r="B1469" t="s">
        <v>1611</v>
      </c>
      <c r="C1469" t="s">
        <v>3051</v>
      </c>
      <c r="D1469" t="s">
        <v>3735</v>
      </c>
      <c r="E1469" t="s">
        <v>5438</v>
      </c>
      <c r="F1469" t="s">
        <v>5439</v>
      </c>
      <c r="G1469" t="s">
        <v>5443</v>
      </c>
      <c r="H1469" s="6" t="s">
        <v>8113</v>
      </c>
    </row>
    <row r="1470" spans="1:8" ht="136" x14ac:dyDescent="0.2">
      <c r="A1470">
        <v>1468</v>
      </c>
      <c r="B1470" t="s">
        <v>1611</v>
      </c>
      <c r="C1470" t="s">
        <v>3051</v>
      </c>
      <c r="D1470" t="s">
        <v>3735</v>
      </c>
      <c r="E1470" t="s">
        <v>5438</v>
      </c>
      <c r="F1470" t="s">
        <v>5439</v>
      </c>
      <c r="G1470" t="s">
        <v>5444</v>
      </c>
      <c r="H1470" s="6" t="s">
        <v>8114</v>
      </c>
    </row>
    <row r="1471" spans="1:8" ht="136" x14ac:dyDescent="0.2">
      <c r="A1471">
        <v>1469</v>
      </c>
      <c r="B1471" t="s">
        <v>1611</v>
      </c>
      <c r="C1471" t="s">
        <v>3051</v>
      </c>
      <c r="D1471" t="s">
        <v>3735</v>
      </c>
      <c r="E1471" t="s">
        <v>5438</v>
      </c>
      <c r="F1471" t="s">
        <v>5439</v>
      </c>
      <c r="G1471" t="s">
        <v>5445</v>
      </c>
      <c r="H1471" s="6" t="s">
        <v>8115</v>
      </c>
    </row>
    <row r="1472" spans="1:8" ht="102" x14ac:dyDescent="0.2">
      <c r="A1472">
        <v>1470</v>
      </c>
      <c r="B1472" t="s">
        <v>1611</v>
      </c>
      <c r="C1472" t="s">
        <v>3051</v>
      </c>
      <c r="D1472" t="s">
        <v>3735</v>
      </c>
      <c r="E1472" t="s">
        <v>5438</v>
      </c>
      <c r="F1472" t="s">
        <v>5439</v>
      </c>
      <c r="G1472" t="s">
        <v>5446</v>
      </c>
      <c r="H1472" s="6" t="s">
        <v>8116</v>
      </c>
    </row>
    <row r="1473" spans="1:8" ht="102" x14ac:dyDescent="0.2">
      <c r="A1473">
        <v>1471</v>
      </c>
      <c r="B1473" t="s">
        <v>1611</v>
      </c>
      <c r="C1473" t="s">
        <v>3051</v>
      </c>
      <c r="D1473" t="s">
        <v>3735</v>
      </c>
      <c r="E1473" t="s">
        <v>5438</v>
      </c>
      <c r="F1473" t="s">
        <v>5439</v>
      </c>
      <c r="G1473" t="s">
        <v>5447</v>
      </c>
      <c r="H1473" s="6" t="s">
        <v>8117</v>
      </c>
    </row>
    <row r="1474" spans="1:8" ht="102" x14ac:dyDescent="0.2">
      <c r="A1474">
        <v>1472</v>
      </c>
      <c r="B1474" t="s">
        <v>1611</v>
      </c>
      <c r="C1474" t="s">
        <v>3051</v>
      </c>
      <c r="D1474" t="s">
        <v>3735</v>
      </c>
      <c r="E1474" t="s">
        <v>5438</v>
      </c>
      <c r="F1474" t="s">
        <v>5439</v>
      </c>
      <c r="G1474" t="s">
        <v>5448</v>
      </c>
      <c r="H1474" s="6" t="s">
        <v>8118</v>
      </c>
    </row>
    <row r="1475" spans="1:8" ht="102" x14ac:dyDescent="0.2">
      <c r="A1475">
        <v>1473</v>
      </c>
      <c r="B1475" t="s">
        <v>1611</v>
      </c>
      <c r="C1475" t="s">
        <v>3051</v>
      </c>
      <c r="D1475" t="s">
        <v>3735</v>
      </c>
      <c r="E1475" t="s">
        <v>5438</v>
      </c>
      <c r="F1475" t="s">
        <v>5439</v>
      </c>
      <c r="G1475" t="s">
        <v>5449</v>
      </c>
      <c r="H1475" s="6" t="s">
        <v>8119</v>
      </c>
    </row>
    <row r="1476" spans="1:8" ht="153" x14ac:dyDescent="0.2">
      <c r="A1476">
        <v>1474</v>
      </c>
      <c r="B1476" t="s">
        <v>1611</v>
      </c>
      <c r="C1476" t="s">
        <v>3051</v>
      </c>
      <c r="D1476" t="s">
        <v>3735</v>
      </c>
      <c r="E1476" t="s">
        <v>5438</v>
      </c>
      <c r="F1476" t="s">
        <v>5439</v>
      </c>
      <c r="G1476" t="s">
        <v>5450</v>
      </c>
      <c r="H1476" s="6" t="s">
        <v>8120</v>
      </c>
    </row>
    <row r="1477" spans="1:8" ht="119" x14ac:dyDescent="0.2">
      <c r="A1477">
        <v>1475</v>
      </c>
      <c r="B1477" t="s">
        <v>1611</v>
      </c>
      <c r="C1477" t="s">
        <v>3051</v>
      </c>
      <c r="D1477" t="s">
        <v>3735</v>
      </c>
      <c r="E1477" t="s">
        <v>5438</v>
      </c>
      <c r="F1477" t="s">
        <v>5439</v>
      </c>
      <c r="G1477" t="s">
        <v>5451</v>
      </c>
      <c r="H1477" s="6" t="s">
        <v>8121</v>
      </c>
    </row>
    <row r="1478" spans="1:8" ht="119" x14ac:dyDescent="0.2">
      <c r="A1478">
        <v>1476</v>
      </c>
      <c r="B1478" t="s">
        <v>1611</v>
      </c>
      <c r="C1478" t="s">
        <v>3051</v>
      </c>
      <c r="D1478" t="s">
        <v>3735</v>
      </c>
      <c r="E1478" t="s">
        <v>5438</v>
      </c>
      <c r="F1478" t="s">
        <v>5439</v>
      </c>
      <c r="G1478" t="s">
        <v>5452</v>
      </c>
      <c r="H1478" s="6" t="s">
        <v>8122</v>
      </c>
    </row>
    <row r="1479" spans="1:8" ht="119" x14ac:dyDescent="0.2">
      <c r="A1479">
        <v>1477</v>
      </c>
      <c r="B1479" t="s">
        <v>1611</v>
      </c>
      <c r="C1479" t="s">
        <v>3051</v>
      </c>
      <c r="D1479" t="s">
        <v>3735</v>
      </c>
      <c r="E1479" t="s">
        <v>5438</v>
      </c>
      <c r="F1479" t="s">
        <v>5439</v>
      </c>
      <c r="G1479" t="s">
        <v>5453</v>
      </c>
      <c r="H1479" s="6" t="s">
        <v>8123</v>
      </c>
    </row>
    <row r="1480" spans="1:8" ht="85" x14ac:dyDescent="0.2">
      <c r="A1480">
        <v>1478</v>
      </c>
      <c r="B1480" t="s">
        <v>1611</v>
      </c>
      <c r="C1480" t="s">
        <v>3051</v>
      </c>
      <c r="D1480" t="s">
        <v>3735</v>
      </c>
      <c r="E1480" t="s">
        <v>5438</v>
      </c>
      <c r="F1480" t="s">
        <v>5439</v>
      </c>
      <c r="G1480" t="s">
        <v>5454</v>
      </c>
      <c r="H1480" s="6" t="s">
        <v>8124</v>
      </c>
    </row>
    <row r="1481" spans="1:8" ht="119" x14ac:dyDescent="0.2">
      <c r="A1481">
        <v>1479</v>
      </c>
      <c r="B1481" t="s">
        <v>1611</v>
      </c>
      <c r="C1481" t="s">
        <v>3051</v>
      </c>
      <c r="D1481" t="s">
        <v>3735</v>
      </c>
      <c r="E1481" t="s">
        <v>5438</v>
      </c>
      <c r="F1481" t="s">
        <v>5439</v>
      </c>
      <c r="G1481" t="s">
        <v>5455</v>
      </c>
      <c r="H1481" s="6" t="s">
        <v>8125</v>
      </c>
    </row>
    <row r="1482" spans="1:8" ht="404" x14ac:dyDescent="0.2">
      <c r="A1482">
        <v>1480</v>
      </c>
      <c r="B1482" t="s">
        <v>1611</v>
      </c>
      <c r="C1482" t="s">
        <v>3051</v>
      </c>
      <c r="D1482" t="s">
        <v>3735</v>
      </c>
      <c r="E1482" t="s">
        <v>5438</v>
      </c>
      <c r="F1482" t="s">
        <v>5439</v>
      </c>
      <c r="G1482" t="s">
        <v>5456</v>
      </c>
      <c r="H1482" s="6" t="s">
        <v>8126</v>
      </c>
    </row>
    <row r="1483" spans="1:8" ht="85" x14ac:dyDescent="0.2">
      <c r="A1483">
        <v>1481</v>
      </c>
      <c r="B1483" t="s">
        <v>1611</v>
      </c>
      <c r="C1483" t="s">
        <v>3051</v>
      </c>
      <c r="D1483" t="s">
        <v>3735</v>
      </c>
      <c r="E1483" t="s">
        <v>5438</v>
      </c>
      <c r="F1483" t="s">
        <v>5439</v>
      </c>
      <c r="G1483" t="s">
        <v>5457</v>
      </c>
      <c r="H1483" s="6" t="s">
        <v>8127</v>
      </c>
    </row>
    <row r="1484" spans="1:8" ht="85" x14ac:dyDescent="0.2">
      <c r="A1484">
        <v>1482</v>
      </c>
      <c r="B1484" t="s">
        <v>1611</v>
      </c>
      <c r="C1484" t="s">
        <v>3051</v>
      </c>
      <c r="D1484" t="s">
        <v>3735</v>
      </c>
      <c r="E1484" t="s">
        <v>5438</v>
      </c>
      <c r="F1484" t="s">
        <v>5439</v>
      </c>
      <c r="G1484" t="s">
        <v>5458</v>
      </c>
      <c r="H1484" s="6" t="s">
        <v>8128</v>
      </c>
    </row>
    <row r="1485" spans="1:8" ht="102" x14ac:dyDescent="0.2">
      <c r="A1485">
        <v>1483</v>
      </c>
      <c r="B1485" t="s">
        <v>1611</v>
      </c>
      <c r="C1485" t="s">
        <v>3051</v>
      </c>
      <c r="D1485" t="s">
        <v>3735</v>
      </c>
      <c r="E1485" t="s">
        <v>5438</v>
      </c>
      <c r="F1485" t="s">
        <v>5439</v>
      </c>
      <c r="G1485" t="s">
        <v>5459</v>
      </c>
      <c r="H1485" s="6" t="s">
        <v>8129</v>
      </c>
    </row>
    <row r="1486" spans="1:8" ht="289" x14ac:dyDescent="0.2">
      <c r="A1486">
        <v>1484</v>
      </c>
      <c r="B1486" t="s">
        <v>1611</v>
      </c>
      <c r="C1486" t="s">
        <v>3051</v>
      </c>
      <c r="D1486" t="s">
        <v>3735</v>
      </c>
      <c r="E1486" t="s">
        <v>5438</v>
      </c>
      <c r="F1486" t="s">
        <v>5439</v>
      </c>
      <c r="G1486" t="s">
        <v>5460</v>
      </c>
      <c r="H1486" s="6" t="s">
        <v>8130</v>
      </c>
    </row>
    <row r="1487" spans="1:8" ht="119" x14ac:dyDescent="0.2">
      <c r="A1487">
        <v>1485</v>
      </c>
      <c r="B1487" t="s">
        <v>1611</v>
      </c>
      <c r="C1487" t="s">
        <v>3051</v>
      </c>
      <c r="D1487" t="s">
        <v>3735</v>
      </c>
      <c r="E1487" t="s">
        <v>5438</v>
      </c>
      <c r="F1487" t="s">
        <v>5439</v>
      </c>
      <c r="G1487" t="s">
        <v>5461</v>
      </c>
      <c r="H1487" s="6" t="s">
        <v>8131</v>
      </c>
    </row>
    <row r="1488" spans="1:8" ht="102" x14ac:dyDescent="0.2">
      <c r="A1488">
        <v>1486</v>
      </c>
      <c r="B1488" t="s">
        <v>1611</v>
      </c>
      <c r="C1488" t="s">
        <v>3051</v>
      </c>
      <c r="D1488" t="s">
        <v>3735</v>
      </c>
      <c r="E1488" t="s">
        <v>5438</v>
      </c>
      <c r="F1488" t="s">
        <v>5439</v>
      </c>
      <c r="G1488" t="s">
        <v>5462</v>
      </c>
      <c r="H1488" s="6" t="s">
        <v>8132</v>
      </c>
    </row>
    <row r="1489" spans="1:8" ht="102" x14ac:dyDescent="0.2">
      <c r="A1489">
        <v>1487</v>
      </c>
      <c r="B1489" t="s">
        <v>1611</v>
      </c>
      <c r="C1489" t="s">
        <v>3051</v>
      </c>
      <c r="D1489" t="s">
        <v>3735</v>
      </c>
      <c r="E1489" t="s">
        <v>5438</v>
      </c>
      <c r="F1489" t="s">
        <v>5439</v>
      </c>
      <c r="G1489" t="s">
        <v>5463</v>
      </c>
      <c r="H1489" s="6" t="s">
        <v>8133</v>
      </c>
    </row>
    <row r="1490" spans="1:8" ht="102" x14ac:dyDescent="0.2">
      <c r="A1490">
        <v>1488</v>
      </c>
      <c r="B1490" t="s">
        <v>1611</v>
      </c>
      <c r="C1490" t="s">
        <v>3051</v>
      </c>
      <c r="D1490" t="s">
        <v>3735</v>
      </c>
      <c r="E1490" t="s">
        <v>5438</v>
      </c>
      <c r="F1490" t="s">
        <v>5439</v>
      </c>
      <c r="G1490" t="s">
        <v>5464</v>
      </c>
      <c r="H1490" s="6" t="s">
        <v>8134</v>
      </c>
    </row>
    <row r="1491" spans="1:8" ht="85" x14ac:dyDescent="0.2">
      <c r="A1491">
        <v>1489</v>
      </c>
      <c r="B1491" t="s">
        <v>1611</v>
      </c>
      <c r="C1491" t="s">
        <v>3051</v>
      </c>
      <c r="D1491" t="s">
        <v>3735</v>
      </c>
      <c r="E1491" t="s">
        <v>5438</v>
      </c>
      <c r="F1491" t="s">
        <v>5439</v>
      </c>
      <c r="G1491" t="s">
        <v>5465</v>
      </c>
      <c r="H1491" s="6" t="s">
        <v>8135</v>
      </c>
    </row>
    <row r="1492" spans="1:8" ht="153" x14ac:dyDescent="0.2">
      <c r="A1492">
        <v>1490</v>
      </c>
      <c r="B1492" t="s">
        <v>1611</v>
      </c>
      <c r="C1492" t="s">
        <v>3051</v>
      </c>
      <c r="D1492" t="s">
        <v>3735</v>
      </c>
      <c r="E1492" t="s">
        <v>5438</v>
      </c>
      <c r="F1492" t="s">
        <v>5439</v>
      </c>
      <c r="G1492" t="s">
        <v>5466</v>
      </c>
      <c r="H1492" s="6" t="s">
        <v>8136</v>
      </c>
    </row>
    <row r="1493" spans="1:8" ht="119" x14ac:dyDescent="0.2">
      <c r="A1493">
        <v>1491</v>
      </c>
      <c r="B1493" t="s">
        <v>1611</v>
      </c>
      <c r="C1493" t="s">
        <v>3051</v>
      </c>
      <c r="D1493" t="s">
        <v>3735</v>
      </c>
      <c r="E1493" t="s">
        <v>5438</v>
      </c>
      <c r="F1493" t="s">
        <v>5439</v>
      </c>
      <c r="G1493" t="s">
        <v>5467</v>
      </c>
      <c r="H1493" s="6" t="s">
        <v>8137</v>
      </c>
    </row>
    <row r="1494" spans="1:8" ht="238" x14ac:dyDescent="0.2">
      <c r="A1494">
        <v>1492</v>
      </c>
      <c r="B1494" t="s">
        <v>1611</v>
      </c>
      <c r="C1494" t="s">
        <v>3051</v>
      </c>
      <c r="D1494" t="s">
        <v>3735</v>
      </c>
      <c r="E1494" t="s">
        <v>5438</v>
      </c>
      <c r="F1494" t="s">
        <v>5439</v>
      </c>
      <c r="G1494" t="s">
        <v>5468</v>
      </c>
      <c r="H1494" s="6" t="s">
        <v>8138</v>
      </c>
    </row>
    <row r="1495" spans="1:8" ht="85" x14ac:dyDescent="0.2">
      <c r="A1495">
        <v>1493</v>
      </c>
      <c r="B1495" t="s">
        <v>1611</v>
      </c>
      <c r="C1495" t="s">
        <v>3051</v>
      </c>
      <c r="D1495" t="s">
        <v>3735</v>
      </c>
      <c r="E1495" t="s">
        <v>5438</v>
      </c>
      <c r="F1495" t="s">
        <v>5439</v>
      </c>
      <c r="G1495" t="s">
        <v>5469</v>
      </c>
      <c r="H1495" s="6" t="s">
        <v>8139</v>
      </c>
    </row>
    <row r="1496" spans="1:8" ht="153" x14ac:dyDescent="0.2">
      <c r="A1496">
        <v>1494</v>
      </c>
      <c r="B1496" t="s">
        <v>1611</v>
      </c>
      <c r="C1496" t="s">
        <v>3051</v>
      </c>
      <c r="D1496" t="s">
        <v>3735</v>
      </c>
      <c r="E1496" t="s">
        <v>5438</v>
      </c>
      <c r="F1496" t="s">
        <v>5439</v>
      </c>
      <c r="G1496" t="s">
        <v>5470</v>
      </c>
      <c r="H1496" s="6" t="s">
        <v>8140</v>
      </c>
    </row>
    <row r="1497" spans="1:8" ht="119" x14ac:dyDescent="0.2">
      <c r="A1497">
        <v>1495</v>
      </c>
      <c r="B1497" t="s">
        <v>1611</v>
      </c>
      <c r="C1497" t="s">
        <v>3051</v>
      </c>
      <c r="D1497" t="s">
        <v>3735</v>
      </c>
      <c r="E1497" t="s">
        <v>5438</v>
      </c>
      <c r="F1497" t="s">
        <v>5439</v>
      </c>
      <c r="G1497" t="s">
        <v>5471</v>
      </c>
      <c r="H1497" s="6" t="s">
        <v>8141</v>
      </c>
    </row>
    <row r="1498" spans="1:8" ht="85" x14ac:dyDescent="0.2">
      <c r="A1498">
        <v>1496</v>
      </c>
      <c r="B1498" t="s">
        <v>1611</v>
      </c>
      <c r="C1498" t="s">
        <v>3051</v>
      </c>
      <c r="D1498" t="s">
        <v>3735</v>
      </c>
      <c r="E1498" t="s">
        <v>5438</v>
      </c>
      <c r="F1498" t="s">
        <v>5439</v>
      </c>
      <c r="G1498" t="s">
        <v>5472</v>
      </c>
      <c r="H1498" s="6" t="s">
        <v>8142</v>
      </c>
    </row>
    <row r="1499" spans="1:8" ht="102" x14ac:dyDescent="0.2">
      <c r="A1499">
        <v>1497</v>
      </c>
      <c r="B1499" t="s">
        <v>1611</v>
      </c>
      <c r="C1499" t="s">
        <v>3051</v>
      </c>
      <c r="D1499" t="s">
        <v>3735</v>
      </c>
      <c r="E1499" t="s">
        <v>5438</v>
      </c>
      <c r="F1499" t="s">
        <v>5439</v>
      </c>
      <c r="G1499" t="s">
        <v>5473</v>
      </c>
      <c r="H1499" s="6" t="s">
        <v>8143</v>
      </c>
    </row>
    <row r="1500" spans="1:8" ht="153" x14ac:dyDescent="0.2">
      <c r="A1500">
        <v>1498</v>
      </c>
      <c r="B1500" t="s">
        <v>1611</v>
      </c>
      <c r="C1500" t="s">
        <v>3051</v>
      </c>
      <c r="D1500" t="s">
        <v>3735</v>
      </c>
      <c r="E1500" t="s">
        <v>5438</v>
      </c>
      <c r="F1500" t="s">
        <v>5439</v>
      </c>
      <c r="G1500" t="s">
        <v>5474</v>
      </c>
      <c r="H1500" s="6" t="s">
        <v>8144</v>
      </c>
    </row>
    <row r="1501" spans="1:8" ht="119" x14ac:dyDescent="0.2">
      <c r="A1501">
        <v>1499</v>
      </c>
      <c r="B1501" t="s">
        <v>1611</v>
      </c>
      <c r="C1501" t="s">
        <v>3051</v>
      </c>
      <c r="D1501" t="s">
        <v>3735</v>
      </c>
      <c r="E1501" t="s">
        <v>5438</v>
      </c>
      <c r="F1501" t="s">
        <v>5439</v>
      </c>
      <c r="G1501" t="s">
        <v>5475</v>
      </c>
      <c r="H1501" s="6" t="s">
        <v>8145</v>
      </c>
    </row>
    <row r="1502" spans="1:8" ht="102" x14ac:dyDescent="0.2">
      <c r="A1502">
        <v>1500</v>
      </c>
      <c r="B1502" t="s">
        <v>1611</v>
      </c>
      <c r="C1502" t="s">
        <v>3051</v>
      </c>
      <c r="D1502" t="s">
        <v>3735</v>
      </c>
      <c r="E1502" t="s">
        <v>5438</v>
      </c>
      <c r="F1502" t="s">
        <v>5439</v>
      </c>
      <c r="G1502" t="s">
        <v>5476</v>
      </c>
      <c r="H1502" s="6" t="s">
        <v>8146</v>
      </c>
    </row>
    <row r="1503" spans="1:8" ht="85" x14ac:dyDescent="0.2">
      <c r="A1503">
        <v>1501</v>
      </c>
      <c r="B1503" t="s">
        <v>1611</v>
      </c>
      <c r="C1503" t="s">
        <v>3051</v>
      </c>
      <c r="D1503" t="s">
        <v>3735</v>
      </c>
      <c r="E1503" t="s">
        <v>5438</v>
      </c>
      <c r="F1503" t="s">
        <v>5439</v>
      </c>
      <c r="G1503" t="s">
        <v>5477</v>
      </c>
      <c r="H1503" s="6" t="s">
        <v>8147</v>
      </c>
    </row>
    <row r="1504" spans="1:8" ht="136" x14ac:dyDescent="0.2">
      <c r="A1504">
        <v>1502</v>
      </c>
      <c r="B1504" t="s">
        <v>1611</v>
      </c>
      <c r="C1504" t="s">
        <v>3051</v>
      </c>
      <c r="D1504" t="s">
        <v>3735</v>
      </c>
      <c r="E1504" t="s">
        <v>5438</v>
      </c>
      <c r="F1504" t="s">
        <v>5439</v>
      </c>
      <c r="G1504" t="s">
        <v>5478</v>
      </c>
      <c r="H1504" s="6" t="s">
        <v>8148</v>
      </c>
    </row>
    <row r="1505" spans="1:8" ht="102" x14ac:dyDescent="0.2">
      <c r="A1505">
        <v>1503</v>
      </c>
      <c r="B1505" t="s">
        <v>1611</v>
      </c>
      <c r="C1505" t="s">
        <v>3051</v>
      </c>
      <c r="D1505" t="s">
        <v>3735</v>
      </c>
      <c r="E1505" t="s">
        <v>5438</v>
      </c>
      <c r="F1505" t="s">
        <v>5439</v>
      </c>
      <c r="G1505" t="s">
        <v>5479</v>
      </c>
      <c r="H1505" s="6" t="s">
        <v>8149</v>
      </c>
    </row>
    <row r="1506" spans="1:8" ht="85" x14ac:dyDescent="0.2">
      <c r="A1506">
        <v>1504</v>
      </c>
      <c r="B1506" t="s">
        <v>1611</v>
      </c>
      <c r="C1506" t="s">
        <v>3051</v>
      </c>
      <c r="D1506" t="s">
        <v>3735</v>
      </c>
      <c r="E1506" t="s">
        <v>5438</v>
      </c>
      <c r="F1506" t="s">
        <v>5439</v>
      </c>
      <c r="G1506" t="s">
        <v>5480</v>
      </c>
      <c r="H1506" s="6" t="s">
        <v>8150</v>
      </c>
    </row>
    <row r="1507" spans="1:8" ht="85" x14ac:dyDescent="0.2">
      <c r="A1507">
        <v>1505</v>
      </c>
      <c r="B1507" t="s">
        <v>1611</v>
      </c>
      <c r="C1507" t="s">
        <v>3051</v>
      </c>
      <c r="D1507" t="s">
        <v>3735</v>
      </c>
      <c r="E1507" t="s">
        <v>5438</v>
      </c>
      <c r="F1507" t="s">
        <v>5439</v>
      </c>
      <c r="G1507" t="s">
        <v>5481</v>
      </c>
      <c r="H1507" s="6" t="s">
        <v>8151</v>
      </c>
    </row>
    <row r="1508" spans="1:8" ht="85" x14ac:dyDescent="0.2">
      <c r="A1508">
        <v>1506</v>
      </c>
      <c r="B1508" t="s">
        <v>1611</v>
      </c>
      <c r="C1508" t="s">
        <v>3051</v>
      </c>
      <c r="D1508" t="s">
        <v>3735</v>
      </c>
      <c r="E1508" t="s">
        <v>5438</v>
      </c>
      <c r="F1508" t="s">
        <v>5439</v>
      </c>
      <c r="G1508" t="s">
        <v>5482</v>
      </c>
      <c r="H1508" s="6" t="s">
        <v>8152</v>
      </c>
    </row>
    <row r="1509" spans="1:8" ht="136" x14ac:dyDescent="0.2">
      <c r="A1509">
        <v>1507</v>
      </c>
      <c r="B1509" t="s">
        <v>1611</v>
      </c>
      <c r="C1509" t="s">
        <v>3051</v>
      </c>
      <c r="D1509" t="s">
        <v>3735</v>
      </c>
      <c r="E1509" t="s">
        <v>5438</v>
      </c>
      <c r="F1509" t="s">
        <v>5439</v>
      </c>
      <c r="G1509" t="s">
        <v>5483</v>
      </c>
      <c r="H1509" s="6" t="s">
        <v>8153</v>
      </c>
    </row>
    <row r="1510" spans="1:8" ht="187" x14ac:dyDescent="0.2">
      <c r="A1510">
        <v>1508</v>
      </c>
      <c r="B1510" t="s">
        <v>1611</v>
      </c>
      <c r="C1510" t="s">
        <v>3051</v>
      </c>
      <c r="D1510" t="s">
        <v>3735</v>
      </c>
      <c r="E1510" t="s">
        <v>5438</v>
      </c>
      <c r="F1510" t="s">
        <v>5439</v>
      </c>
      <c r="G1510" t="s">
        <v>5484</v>
      </c>
      <c r="H1510" s="6" t="s">
        <v>8154</v>
      </c>
    </row>
    <row r="1511" spans="1:8" ht="85" x14ac:dyDescent="0.2">
      <c r="A1511">
        <v>1509</v>
      </c>
      <c r="B1511" t="s">
        <v>1611</v>
      </c>
      <c r="C1511" t="s">
        <v>3051</v>
      </c>
      <c r="D1511" t="s">
        <v>3735</v>
      </c>
      <c r="E1511" t="s">
        <v>5438</v>
      </c>
      <c r="F1511" t="s">
        <v>5439</v>
      </c>
      <c r="G1511" t="s">
        <v>5485</v>
      </c>
      <c r="H1511" s="6" t="s">
        <v>8155</v>
      </c>
    </row>
    <row r="1512" spans="1:8" ht="85" x14ac:dyDescent="0.2">
      <c r="A1512">
        <v>1510</v>
      </c>
      <c r="B1512" t="s">
        <v>1611</v>
      </c>
      <c r="C1512" t="s">
        <v>3051</v>
      </c>
      <c r="D1512" t="s">
        <v>3735</v>
      </c>
      <c r="E1512" t="s">
        <v>5438</v>
      </c>
      <c r="F1512" t="s">
        <v>5439</v>
      </c>
      <c r="G1512" t="s">
        <v>5486</v>
      </c>
      <c r="H1512" s="6" t="s">
        <v>8156</v>
      </c>
    </row>
    <row r="1513" spans="1:8" ht="102" x14ac:dyDescent="0.2">
      <c r="A1513">
        <v>1511</v>
      </c>
      <c r="B1513" t="s">
        <v>1611</v>
      </c>
      <c r="C1513" t="s">
        <v>3051</v>
      </c>
      <c r="D1513" t="s">
        <v>3735</v>
      </c>
      <c r="E1513" t="s">
        <v>5438</v>
      </c>
      <c r="F1513" t="s">
        <v>5439</v>
      </c>
      <c r="G1513" t="s">
        <v>5487</v>
      </c>
      <c r="H1513" s="6" t="s">
        <v>8157</v>
      </c>
    </row>
    <row r="1514" spans="1:8" ht="136" x14ac:dyDescent="0.2">
      <c r="A1514">
        <v>1512</v>
      </c>
      <c r="B1514" t="s">
        <v>1611</v>
      </c>
      <c r="C1514" t="s">
        <v>3051</v>
      </c>
      <c r="D1514" t="s">
        <v>3735</v>
      </c>
      <c r="E1514" t="s">
        <v>5438</v>
      </c>
      <c r="F1514" t="s">
        <v>5439</v>
      </c>
      <c r="G1514" t="s">
        <v>5488</v>
      </c>
      <c r="H1514" s="6" t="s">
        <v>8158</v>
      </c>
    </row>
    <row r="1515" spans="1:8" ht="187" x14ac:dyDescent="0.2">
      <c r="A1515">
        <v>1513</v>
      </c>
      <c r="B1515" t="s">
        <v>1611</v>
      </c>
      <c r="C1515" t="s">
        <v>3051</v>
      </c>
      <c r="D1515" t="s">
        <v>3735</v>
      </c>
      <c r="E1515" t="s">
        <v>5438</v>
      </c>
      <c r="F1515" t="s">
        <v>5439</v>
      </c>
      <c r="G1515" t="s">
        <v>5489</v>
      </c>
      <c r="H1515" s="6" t="s">
        <v>8159</v>
      </c>
    </row>
    <row r="1516" spans="1:8" ht="85" x14ac:dyDescent="0.2">
      <c r="A1516">
        <v>1514</v>
      </c>
      <c r="B1516" t="s">
        <v>1611</v>
      </c>
      <c r="C1516" t="s">
        <v>3051</v>
      </c>
      <c r="D1516" t="s">
        <v>3735</v>
      </c>
      <c r="E1516" t="s">
        <v>5438</v>
      </c>
      <c r="F1516" t="s">
        <v>5439</v>
      </c>
      <c r="G1516" t="s">
        <v>5490</v>
      </c>
      <c r="H1516" s="6" t="s">
        <v>8160</v>
      </c>
    </row>
    <row r="1517" spans="1:8" ht="85" x14ac:dyDescent="0.2">
      <c r="A1517">
        <v>1515</v>
      </c>
      <c r="B1517" t="s">
        <v>1611</v>
      </c>
      <c r="C1517" t="s">
        <v>3051</v>
      </c>
      <c r="D1517" t="s">
        <v>3735</v>
      </c>
      <c r="E1517" t="s">
        <v>5491</v>
      </c>
      <c r="F1517" t="s">
        <v>5492</v>
      </c>
      <c r="G1517" t="s">
        <v>5493</v>
      </c>
      <c r="H1517" s="6" t="s">
        <v>8161</v>
      </c>
    </row>
    <row r="1518" spans="1:8" ht="85" x14ac:dyDescent="0.2">
      <c r="A1518">
        <v>1516</v>
      </c>
      <c r="B1518" t="s">
        <v>1611</v>
      </c>
      <c r="C1518" t="s">
        <v>3051</v>
      </c>
      <c r="D1518" t="s">
        <v>3735</v>
      </c>
      <c r="E1518" t="s">
        <v>5491</v>
      </c>
      <c r="F1518" t="s">
        <v>5492</v>
      </c>
      <c r="G1518" t="s">
        <v>5494</v>
      </c>
      <c r="H1518" s="6" t="s">
        <v>8162</v>
      </c>
    </row>
    <row r="1519" spans="1:8" ht="85" x14ac:dyDescent="0.2">
      <c r="A1519">
        <v>1517</v>
      </c>
      <c r="B1519" t="s">
        <v>1611</v>
      </c>
      <c r="C1519" t="s">
        <v>3051</v>
      </c>
      <c r="D1519" t="s">
        <v>3735</v>
      </c>
      <c r="E1519" t="s">
        <v>5491</v>
      </c>
      <c r="F1519" t="s">
        <v>5492</v>
      </c>
      <c r="G1519" t="s">
        <v>5495</v>
      </c>
      <c r="H1519" s="6" t="s">
        <v>8163</v>
      </c>
    </row>
    <row r="1520" spans="1:8" ht="102" x14ac:dyDescent="0.2">
      <c r="A1520">
        <v>1518</v>
      </c>
      <c r="B1520" t="s">
        <v>1611</v>
      </c>
      <c r="C1520" t="s">
        <v>3051</v>
      </c>
      <c r="D1520" t="s">
        <v>3735</v>
      </c>
      <c r="E1520" t="s">
        <v>5491</v>
      </c>
      <c r="F1520" t="s">
        <v>5492</v>
      </c>
      <c r="G1520" t="s">
        <v>5496</v>
      </c>
      <c r="H1520" s="6" t="s">
        <v>8164</v>
      </c>
    </row>
    <row r="1521" spans="1:8" ht="85" x14ac:dyDescent="0.2">
      <c r="A1521">
        <v>1519</v>
      </c>
      <c r="B1521" t="s">
        <v>1611</v>
      </c>
      <c r="C1521" t="s">
        <v>3051</v>
      </c>
      <c r="D1521" t="s">
        <v>3735</v>
      </c>
      <c r="E1521" t="s">
        <v>5491</v>
      </c>
      <c r="F1521" t="s">
        <v>5492</v>
      </c>
      <c r="G1521" t="s">
        <v>5497</v>
      </c>
      <c r="H1521" s="6" t="s">
        <v>8165</v>
      </c>
    </row>
    <row r="1522" spans="1:8" ht="102" x14ac:dyDescent="0.2">
      <c r="A1522">
        <v>1520</v>
      </c>
      <c r="B1522" t="s">
        <v>1611</v>
      </c>
      <c r="C1522" t="s">
        <v>3051</v>
      </c>
      <c r="D1522" t="s">
        <v>3735</v>
      </c>
      <c r="E1522" t="s">
        <v>5491</v>
      </c>
      <c r="F1522" t="s">
        <v>5492</v>
      </c>
      <c r="G1522" t="s">
        <v>5498</v>
      </c>
      <c r="H1522" s="6" t="s">
        <v>8166</v>
      </c>
    </row>
    <row r="1523" spans="1:8" ht="102" x14ac:dyDescent="0.2">
      <c r="A1523">
        <v>1521</v>
      </c>
      <c r="B1523" t="s">
        <v>1611</v>
      </c>
      <c r="C1523" t="s">
        <v>3051</v>
      </c>
      <c r="D1523" t="s">
        <v>3735</v>
      </c>
      <c r="E1523" t="s">
        <v>5499</v>
      </c>
      <c r="F1523" t="s">
        <v>5500</v>
      </c>
      <c r="G1523" t="s">
        <v>5501</v>
      </c>
      <c r="H1523" s="6" t="s">
        <v>8167</v>
      </c>
    </row>
    <row r="1524" spans="1:8" ht="102" x14ac:dyDescent="0.2">
      <c r="A1524">
        <v>1522</v>
      </c>
      <c r="B1524" t="s">
        <v>1611</v>
      </c>
      <c r="C1524" t="s">
        <v>3051</v>
      </c>
      <c r="D1524" t="s">
        <v>3735</v>
      </c>
      <c r="E1524" t="s">
        <v>5499</v>
      </c>
      <c r="F1524" t="s">
        <v>5500</v>
      </c>
      <c r="G1524" t="s">
        <v>5502</v>
      </c>
      <c r="H1524" s="6" t="s">
        <v>8168</v>
      </c>
    </row>
    <row r="1525" spans="1:8" ht="102" x14ac:dyDescent="0.2">
      <c r="A1525">
        <v>1523</v>
      </c>
      <c r="B1525" t="s">
        <v>1611</v>
      </c>
      <c r="C1525" t="s">
        <v>3051</v>
      </c>
      <c r="D1525" t="s">
        <v>3735</v>
      </c>
      <c r="E1525" t="s">
        <v>5499</v>
      </c>
      <c r="F1525" t="s">
        <v>5500</v>
      </c>
      <c r="G1525" t="s">
        <v>5503</v>
      </c>
      <c r="H1525" s="6" t="s">
        <v>8169</v>
      </c>
    </row>
    <row r="1526" spans="1:8" ht="102" x14ac:dyDescent="0.2">
      <c r="A1526">
        <v>1524</v>
      </c>
      <c r="B1526" t="s">
        <v>1611</v>
      </c>
      <c r="C1526" t="s">
        <v>3051</v>
      </c>
      <c r="D1526" t="s">
        <v>3735</v>
      </c>
      <c r="E1526" t="s">
        <v>5499</v>
      </c>
      <c r="F1526" t="s">
        <v>5500</v>
      </c>
      <c r="G1526" t="s">
        <v>5504</v>
      </c>
      <c r="H1526" s="6" t="s">
        <v>8170</v>
      </c>
    </row>
    <row r="1527" spans="1:8" ht="85" x14ac:dyDescent="0.2">
      <c r="A1527">
        <v>1525</v>
      </c>
      <c r="B1527" t="s">
        <v>1611</v>
      </c>
      <c r="C1527" t="s">
        <v>3051</v>
      </c>
      <c r="D1527" t="s">
        <v>3735</v>
      </c>
      <c r="E1527" t="s">
        <v>5499</v>
      </c>
      <c r="F1527" t="s">
        <v>5500</v>
      </c>
      <c r="G1527" t="s">
        <v>5505</v>
      </c>
      <c r="H1527" s="6" t="s">
        <v>8171</v>
      </c>
    </row>
    <row r="1528" spans="1:8" ht="85" x14ac:dyDescent="0.2">
      <c r="A1528">
        <v>1526</v>
      </c>
      <c r="B1528" t="s">
        <v>1611</v>
      </c>
      <c r="C1528" t="s">
        <v>3051</v>
      </c>
      <c r="D1528" t="s">
        <v>3735</v>
      </c>
      <c r="E1528" t="s">
        <v>5499</v>
      </c>
      <c r="F1528" t="s">
        <v>5500</v>
      </c>
      <c r="G1528" t="s">
        <v>5506</v>
      </c>
      <c r="H1528" s="6" t="s">
        <v>8172</v>
      </c>
    </row>
    <row r="1529" spans="1:8" ht="119" x14ac:dyDescent="0.2">
      <c r="A1529">
        <v>1527</v>
      </c>
      <c r="B1529" t="s">
        <v>1611</v>
      </c>
      <c r="C1529" t="s">
        <v>3051</v>
      </c>
      <c r="D1529" t="s">
        <v>3735</v>
      </c>
      <c r="E1529" t="s">
        <v>5499</v>
      </c>
      <c r="F1529" t="s">
        <v>5500</v>
      </c>
      <c r="G1529" t="s">
        <v>5507</v>
      </c>
      <c r="H1529" s="6" t="s">
        <v>8173</v>
      </c>
    </row>
    <row r="1530" spans="1:8" ht="153" x14ac:dyDescent="0.2">
      <c r="A1530">
        <v>1528</v>
      </c>
      <c r="B1530" t="s">
        <v>1611</v>
      </c>
      <c r="C1530" t="s">
        <v>3051</v>
      </c>
      <c r="D1530" t="s">
        <v>3735</v>
      </c>
      <c r="E1530" t="s">
        <v>5499</v>
      </c>
      <c r="F1530" t="s">
        <v>5500</v>
      </c>
      <c r="G1530" t="s">
        <v>5508</v>
      </c>
      <c r="H1530" s="6" t="s">
        <v>8174</v>
      </c>
    </row>
    <row r="1531" spans="1:8" ht="136" x14ac:dyDescent="0.2">
      <c r="A1531">
        <v>1529</v>
      </c>
      <c r="B1531" t="s">
        <v>1611</v>
      </c>
      <c r="C1531" t="s">
        <v>3051</v>
      </c>
      <c r="D1531" t="s">
        <v>3735</v>
      </c>
      <c r="E1531" t="s">
        <v>5499</v>
      </c>
      <c r="F1531" t="s">
        <v>5500</v>
      </c>
      <c r="G1531" t="s">
        <v>5509</v>
      </c>
      <c r="H1531" s="6" t="s">
        <v>8175</v>
      </c>
    </row>
    <row r="1532" spans="1:8" ht="85" x14ac:dyDescent="0.2">
      <c r="A1532">
        <v>1530</v>
      </c>
      <c r="B1532" t="s">
        <v>1611</v>
      </c>
      <c r="C1532" t="s">
        <v>3051</v>
      </c>
      <c r="D1532" t="s">
        <v>3735</v>
      </c>
      <c r="E1532" t="s">
        <v>5499</v>
      </c>
      <c r="F1532" t="s">
        <v>5500</v>
      </c>
      <c r="G1532" t="s">
        <v>5510</v>
      </c>
      <c r="H1532" s="6" t="s">
        <v>8176</v>
      </c>
    </row>
    <row r="1533" spans="1:8" ht="85" x14ac:dyDescent="0.2">
      <c r="A1533">
        <v>1531</v>
      </c>
      <c r="B1533" t="s">
        <v>1611</v>
      </c>
      <c r="C1533" t="s">
        <v>3051</v>
      </c>
      <c r="D1533" t="s">
        <v>3735</v>
      </c>
      <c r="E1533" t="s">
        <v>5499</v>
      </c>
      <c r="F1533" t="s">
        <v>5500</v>
      </c>
      <c r="G1533" t="s">
        <v>5511</v>
      </c>
      <c r="H1533" s="6" t="s">
        <v>8177</v>
      </c>
    </row>
    <row r="1534" spans="1:8" ht="85" x14ac:dyDescent="0.2">
      <c r="A1534">
        <v>1532</v>
      </c>
      <c r="B1534" t="s">
        <v>1611</v>
      </c>
      <c r="C1534" t="s">
        <v>3051</v>
      </c>
      <c r="D1534" t="s">
        <v>3735</v>
      </c>
      <c r="E1534" t="s">
        <v>5499</v>
      </c>
      <c r="F1534" t="s">
        <v>5500</v>
      </c>
      <c r="G1534" t="s">
        <v>5512</v>
      </c>
      <c r="H1534" s="6" t="s">
        <v>8178</v>
      </c>
    </row>
    <row r="1535" spans="1:8" ht="85" x14ac:dyDescent="0.2">
      <c r="A1535">
        <v>1533</v>
      </c>
      <c r="B1535" t="s">
        <v>1611</v>
      </c>
      <c r="C1535" t="s">
        <v>3051</v>
      </c>
      <c r="D1535" t="s">
        <v>3735</v>
      </c>
      <c r="E1535" t="s">
        <v>5499</v>
      </c>
      <c r="F1535" t="s">
        <v>5500</v>
      </c>
      <c r="G1535" t="s">
        <v>5513</v>
      </c>
      <c r="H1535" s="6" t="s">
        <v>8179</v>
      </c>
    </row>
    <row r="1536" spans="1:8" ht="102" x14ac:dyDescent="0.2">
      <c r="A1536">
        <v>1534</v>
      </c>
      <c r="B1536" t="s">
        <v>1611</v>
      </c>
      <c r="C1536" t="s">
        <v>3051</v>
      </c>
      <c r="D1536" t="s">
        <v>3735</v>
      </c>
      <c r="E1536" t="s">
        <v>5499</v>
      </c>
      <c r="F1536" t="s">
        <v>5500</v>
      </c>
      <c r="G1536" t="s">
        <v>5514</v>
      </c>
      <c r="H1536" s="6" t="s">
        <v>8180</v>
      </c>
    </row>
    <row r="1537" spans="1:8" ht="85" x14ac:dyDescent="0.2">
      <c r="A1537">
        <v>1535</v>
      </c>
      <c r="B1537" t="s">
        <v>1611</v>
      </c>
      <c r="C1537" t="s">
        <v>3051</v>
      </c>
      <c r="D1537" t="s">
        <v>3735</v>
      </c>
      <c r="E1537" t="s">
        <v>5499</v>
      </c>
      <c r="F1537" t="s">
        <v>5500</v>
      </c>
      <c r="G1537" t="s">
        <v>5515</v>
      </c>
      <c r="H1537" s="6" t="s">
        <v>8181</v>
      </c>
    </row>
    <row r="1538" spans="1:8" ht="119" x14ac:dyDescent="0.2">
      <c r="A1538">
        <v>1536</v>
      </c>
      <c r="B1538" t="s">
        <v>1611</v>
      </c>
      <c r="C1538" t="s">
        <v>3051</v>
      </c>
      <c r="D1538" t="s">
        <v>3735</v>
      </c>
      <c r="E1538" t="s">
        <v>5499</v>
      </c>
      <c r="F1538" t="s">
        <v>5500</v>
      </c>
      <c r="G1538" t="s">
        <v>5516</v>
      </c>
      <c r="H1538" s="6" t="s">
        <v>8182</v>
      </c>
    </row>
    <row r="1539" spans="1:8" ht="119" x14ac:dyDescent="0.2">
      <c r="A1539">
        <v>1537</v>
      </c>
      <c r="B1539" t="s">
        <v>1611</v>
      </c>
      <c r="C1539" t="s">
        <v>3051</v>
      </c>
      <c r="D1539" t="s">
        <v>3735</v>
      </c>
      <c r="E1539" t="s">
        <v>5499</v>
      </c>
      <c r="F1539" t="s">
        <v>5500</v>
      </c>
      <c r="G1539" t="s">
        <v>5517</v>
      </c>
      <c r="H1539" s="6" t="s">
        <v>8183</v>
      </c>
    </row>
    <row r="1540" spans="1:8" ht="136" x14ac:dyDescent="0.2">
      <c r="A1540">
        <v>1538</v>
      </c>
      <c r="B1540" t="s">
        <v>1611</v>
      </c>
      <c r="C1540" t="s">
        <v>3051</v>
      </c>
      <c r="D1540" t="s">
        <v>3735</v>
      </c>
      <c r="E1540" t="s">
        <v>5499</v>
      </c>
      <c r="F1540" t="s">
        <v>5500</v>
      </c>
      <c r="G1540" t="s">
        <v>5518</v>
      </c>
      <c r="H1540" s="6" t="s">
        <v>8184</v>
      </c>
    </row>
    <row r="1541" spans="1:8" ht="119" x14ac:dyDescent="0.2">
      <c r="A1541">
        <v>1539</v>
      </c>
      <c r="B1541" t="s">
        <v>1611</v>
      </c>
      <c r="C1541" t="s">
        <v>3051</v>
      </c>
      <c r="D1541" t="s">
        <v>3735</v>
      </c>
      <c r="E1541" t="s">
        <v>5499</v>
      </c>
      <c r="F1541" t="s">
        <v>5500</v>
      </c>
      <c r="G1541" t="s">
        <v>5519</v>
      </c>
      <c r="H1541" s="6" t="s">
        <v>8185</v>
      </c>
    </row>
    <row r="1542" spans="1:8" ht="102" x14ac:dyDescent="0.2">
      <c r="A1542">
        <v>1540</v>
      </c>
      <c r="B1542" t="s">
        <v>1611</v>
      </c>
      <c r="C1542" t="s">
        <v>3051</v>
      </c>
      <c r="D1542" t="s">
        <v>3735</v>
      </c>
      <c r="E1542" t="s">
        <v>5499</v>
      </c>
      <c r="F1542" t="s">
        <v>5500</v>
      </c>
      <c r="G1542" t="s">
        <v>5520</v>
      </c>
      <c r="H1542" s="6" t="s">
        <v>8186</v>
      </c>
    </row>
    <row r="1543" spans="1:8" ht="187" x14ac:dyDescent="0.2">
      <c r="A1543">
        <v>1541</v>
      </c>
      <c r="B1543" t="s">
        <v>1611</v>
      </c>
      <c r="C1543" t="s">
        <v>3051</v>
      </c>
      <c r="D1543" t="s">
        <v>3735</v>
      </c>
      <c r="E1543" t="s">
        <v>5521</v>
      </c>
      <c r="F1543" t="s">
        <v>5522</v>
      </c>
      <c r="G1543" t="s">
        <v>5523</v>
      </c>
      <c r="H1543" s="6" t="s">
        <v>8187</v>
      </c>
    </row>
    <row r="1544" spans="1:8" ht="272" x14ac:dyDescent="0.2">
      <c r="A1544">
        <v>1542</v>
      </c>
      <c r="B1544" t="s">
        <v>1611</v>
      </c>
      <c r="C1544" t="s">
        <v>3051</v>
      </c>
      <c r="D1544" t="s">
        <v>3735</v>
      </c>
      <c r="E1544" t="s">
        <v>5521</v>
      </c>
      <c r="F1544" t="s">
        <v>5522</v>
      </c>
      <c r="G1544" t="s">
        <v>5524</v>
      </c>
      <c r="H1544" s="6" t="s">
        <v>8188</v>
      </c>
    </row>
    <row r="1545" spans="1:8" ht="170" x14ac:dyDescent="0.2">
      <c r="A1545">
        <v>1543</v>
      </c>
      <c r="B1545" t="s">
        <v>1611</v>
      </c>
      <c r="C1545" t="s">
        <v>3051</v>
      </c>
      <c r="D1545" t="s">
        <v>3735</v>
      </c>
      <c r="E1545" t="s">
        <v>5525</v>
      </c>
      <c r="F1545" t="s">
        <v>5526</v>
      </c>
      <c r="G1545" t="s">
        <v>5527</v>
      </c>
      <c r="H1545" s="6" t="s">
        <v>8189</v>
      </c>
    </row>
    <row r="1546" spans="1:8" ht="255" x14ac:dyDescent="0.2">
      <c r="A1546">
        <v>1544</v>
      </c>
      <c r="B1546" t="s">
        <v>1611</v>
      </c>
      <c r="C1546" t="s">
        <v>3051</v>
      </c>
      <c r="D1546" t="s">
        <v>3735</v>
      </c>
      <c r="E1546" t="s">
        <v>5528</v>
      </c>
      <c r="F1546" t="s">
        <v>5529</v>
      </c>
      <c r="G1546" t="s">
        <v>5530</v>
      </c>
      <c r="H1546" s="6" t="s">
        <v>8190</v>
      </c>
    </row>
    <row r="1547" spans="1:8" ht="102" x14ac:dyDescent="0.2">
      <c r="A1547">
        <v>1545</v>
      </c>
      <c r="B1547" t="s">
        <v>1611</v>
      </c>
      <c r="C1547" t="s">
        <v>3051</v>
      </c>
      <c r="D1547" t="s">
        <v>3735</v>
      </c>
      <c r="E1547" t="s">
        <v>5528</v>
      </c>
      <c r="F1547" t="s">
        <v>5529</v>
      </c>
      <c r="G1547" t="s">
        <v>5531</v>
      </c>
      <c r="H1547" s="6" t="s">
        <v>8191</v>
      </c>
    </row>
    <row r="1548" spans="1:8" ht="102" x14ac:dyDescent="0.2">
      <c r="A1548">
        <v>1546</v>
      </c>
      <c r="B1548" t="s">
        <v>1611</v>
      </c>
      <c r="C1548" t="s">
        <v>3051</v>
      </c>
      <c r="D1548" t="s">
        <v>3735</v>
      </c>
      <c r="E1548" t="s">
        <v>5528</v>
      </c>
      <c r="F1548" t="s">
        <v>5529</v>
      </c>
      <c r="G1548" t="s">
        <v>5532</v>
      </c>
      <c r="H1548" s="6" t="s">
        <v>8192</v>
      </c>
    </row>
    <row r="1549" spans="1:8" ht="272" x14ac:dyDescent="0.2">
      <c r="A1549">
        <v>1547</v>
      </c>
      <c r="B1549" t="s">
        <v>1611</v>
      </c>
      <c r="C1549" t="s">
        <v>3051</v>
      </c>
      <c r="D1549" t="s">
        <v>3735</v>
      </c>
      <c r="E1549" t="s">
        <v>5528</v>
      </c>
      <c r="F1549" t="s">
        <v>5529</v>
      </c>
      <c r="G1549" t="s">
        <v>5533</v>
      </c>
      <c r="H1549" s="6" t="s">
        <v>8193</v>
      </c>
    </row>
    <row r="1550" spans="1:8" ht="170" x14ac:dyDescent="0.2">
      <c r="A1550">
        <v>1548</v>
      </c>
      <c r="B1550" t="s">
        <v>1611</v>
      </c>
      <c r="C1550" t="s">
        <v>3051</v>
      </c>
      <c r="D1550" t="s">
        <v>3735</v>
      </c>
      <c r="E1550" t="s">
        <v>5528</v>
      </c>
      <c r="F1550" t="s">
        <v>5529</v>
      </c>
      <c r="G1550" t="s">
        <v>5534</v>
      </c>
      <c r="H1550" s="6" t="s">
        <v>8194</v>
      </c>
    </row>
    <row r="1551" spans="1:8" ht="170" x14ac:dyDescent="0.2">
      <c r="A1551">
        <v>1549</v>
      </c>
      <c r="B1551" t="s">
        <v>1611</v>
      </c>
      <c r="C1551" t="s">
        <v>3051</v>
      </c>
      <c r="D1551" t="s">
        <v>3735</v>
      </c>
      <c r="E1551" t="s">
        <v>5528</v>
      </c>
      <c r="F1551" t="s">
        <v>5529</v>
      </c>
      <c r="G1551" t="s">
        <v>5535</v>
      </c>
      <c r="H1551" s="6" t="s">
        <v>8195</v>
      </c>
    </row>
    <row r="1552" spans="1:8" ht="170" x14ac:dyDescent="0.2">
      <c r="A1552">
        <v>1550</v>
      </c>
      <c r="B1552" t="s">
        <v>1611</v>
      </c>
      <c r="C1552" t="s">
        <v>3051</v>
      </c>
      <c r="D1552" t="s">
        <v>3735</v>
      </c>
      <c r="E1552" t="s">
        <v>5528</v>
      </c>
      <c r="F1552" t="s">
        <v>5529</v>
      </c>
      <c r="G1552" t="s">
        <v>5536</v>
      </c>
      <c r="H1552" s="6" t="s">
        <v>8196</v>
      </c>
    </row>
    <row r="1553" spans="1:8" ht="204" x14ac:dyDescent="0.2">
      <c r="A1553">
        <v>1551</v>
      </c>
      <c r="B1553" t="s">
        <v>1611</v>
      </c>
      <c r="C1553" t="s">
        <v>3051</v>
      </c>
      <c r="D1553" t="s">
        <v>3735</v>
      </c>
      <c r="E1553" t="s">
        <v>5528</v>
      </c>
      <c r="F1553" t="s">
        <v>5529</v>
      </c>
      <c r="G1553" t="s">
        <v>5537</v>
      </c>
      <c r="H1553" s="6" t="s">
        <v>8197</v>
      </c>
    </row>
    <row r="1554" spans="1:8" ht="187" x14ac:dyDescent="0.2">
      <c r="A1554">
        <v>1552</v>
      </c>
      <c r="B1554" t="s">
        <v>1611</v>
      </c>
      <c r="C1554" t="s">
        <v>3051</v>
      </c>
      <c r="D1554" t="s">
        <v>3735</v>
      </c>
      <c r="E1554" t="s">
        <v>5528</v>
      </c>
      <c r="F1554" t="s">
        <v>5529</v>
      </c>
      <c r="G1554" t="s">
        <v>5538</v>
      </c>
      <c r="H1554" s="6" t="s">
        <v>8198</v>
      </c>
    </row>
    <row r="1555" spans="1:8" ht="153" x14ac:dyDescent="0.2">
      <c r="A1555">
        <v>1553</v>
      </c>
      <c r="B1555" t="s">
        <v>1611</v>
      </c>
      <c r="C1555" t="s">
        <v>3051</v>
      </c>
      <c r="D1555" t="s">
        <v>3735</v>
      </c>
      <c r="E1555" t="s">
        <v>5539</v>
      </c>
      <c r="F1555" t="s">
        <v>5540</v>
      </c>
      <c r="G1555" t="s">
        <v>5541</v>
      </c>
      <c r="H1555" s="6" t="s">
        <v>8199</v>
      </c>
    </row>
    <row r="1556" spans="1:8" ht="85" x14ac:dyDescent="0.2">
      <c r="A1556">
        <v>1554</v>
      </c>
      <c r="B1556" t="s">
        <v>1611</v>
      </c>
      <c r="C1556" t="s">
        <v>3051</v>
      </c>
      <c r="D1556" t="s">
        <v>3735</v>
      </c>
      <c r="E1556" t="s">
        <v>5539</v>
      </c>
      <c r="F1556" t="s">
        <v>5540</v>
      </c>
      <c r="G1556" t="s">
        <v>5542</v>
      </c>
      <c r="H1556" s="6" t="s">
        <v>8200</v>
      </c>
    </row>
    <row r="1557" spans="1:8" ht="102" x14ac:dyDescent="0.2">
      <c r="A1557">
        <v>1555</v>
      </c>
      <c r="B1557" t="s">
        <v>1611</v>
      </c>
      <c r="C1557" t="s">
        <v>3051</v>
      </c>
      <c r="D1557" t="s">
        <v>3735</v>
      </c>
      <c r="E1557" t="s">
        <v>5539</v>
      </c>
      <c r="F1557" t="s">
        <v>5540</v>
      </c>
      <c r="G1557" t="s">
        <v>5543</v>
      </c>
      <c r="H1557" s="6" t="s">
        <v>8201</v>
      </c>
    </row>
    <row r="1558" spans="1:8" ht="119" x14ac:dyDescent="0.2">
      <c r="A1558">
        <v>1556</v>
      </c>
      <c r="B1558" t="s">
        <v>1611</v>
      </c>
      <c r="C1558" t="s">
        <v>3051</v>
      </c>
      <c r="D1558" t="s">
        <v>3735</v>
      </c>
      <c r="E1558" t="s">
        <v>5539</v>
      </c>
      <c r="F1558" t="s">
        <v>5540</v>
      </c>
      <c r="G1558" t="s">
        <v>5544</v>
      </c>
      <c r="H1558" s="6" t="s">
        <v>8202</v>
      </c>
    </row>
    <row r="1559" spans="1:8" ht="119" x14ac:dyDescent="0.2">
      <c r="A1559">
        <v>1557</v>
      </c>
      <c r="B1559" t="s">
        <v>1611</v>
      </c>
      <c r="C1559" t="s">
        <v>3051</v>
      </c>
      <c r="D1559" t="s">
        <v>3735</v>
      </c>
      <c r="E1559" t="s">
        <v>5539</v>
      </c>
      <c r="F1559" t="s">
        <v>5540</v>
      </c>
      <c r="G1559" t="s">
        <v>5545</v>
      </c>
      <c r="H1559" s="6" t="s">
        <v>8203</v>
      </c>
    </row>
    <row r="1560" spans="1:8" ht="136" x14ac:dyDescent="0.2">
      <c r="A1560">
        <v>1558</v>
      </c>
      <c r="B1560" t="s">
        <v>1611</v>
      </c>
      <c r="C1560" t="s">
        <v>3051</v>
      </c>
      <c r="D1560" t="s">
        <v>3735</v>
      </c>
      <c r="E1560" t="s">
        <v>5539</v>
      </c>
      <c r="F1560" t="s">
        <v>5540</v>
      </c>
      <c r="G1560" t="s">
        <v>5546</v>
      </c>
      <c r="H1560" s="6" t="s">
        <v>8204</v>
      </c>
    </row>
    <row r="1561" spans="1:8" ht="187" x14ac:dyDescent="0.2">
      <c r="A1561">
        <v>1559</v>
      </c>
      <c r="B1561" t="s">
        <v>1611</v>
      </c>
      <c r="C1561" t="s">
        <v>3051</v>
      </c>
      <c r="D1561" t="s">
        <v>3735</v>
      </c>
      <c r="E1561" t="s">
        <v>5539</v>
      </c>
      <c r="F1561" t="s">
        <v>5540</v>
      </c>
      <c r="G1561" t="s">
        <v>5547</v>
      </c>
      <c r="H1561" s="6" t="s">
        <v>8205</v>
      </c>
    </row>
    <row r="1562" spans="1:8" ht="85" x14ac:dyDescent="0.2">
      <c r="A1562">
        <v>1560</v>
      </c>
      <c r="B1562" t="s">
        <v>1611</v>
      </c>
      <c r="C1562" t="s">
        <v>3051</v>
      </c>
      <c r="D1562" t="s">
        <v>3735</v>
      </c>
      <c r="E1562" t="s">
        <v>5539</v>
      </c>
      <c r="F1562" t="s">
        <v>5540</v>
      </c>
      <c r="G1562" t="s">
        <v>5548</v>
      </c>
      <c r="H1562" s="6" t="s">
        <v>8200</v>
      </c>
    </row>
    <row r="1563" spans="1:8" ht="85" x14ac:dyDescent="0.2">
      <c r="A1563">
        <v>1561</v>
      </c>
      <c r="B1563" t="s">
        <v>1611</v>
      </c>
      <c r="C1563" t="s">
        <v>3051</v>
      </c>
      <c r="D1563" t="s">
        <v>3735</v>
      </c>
      <c r="E1563" t="s">
        <v>5539</v>
      </c>
      <c r="F1563" t="s">
        <v>5540</v>
      </c>
      <c r="G1563" t="s">
        <v>5549</v>
      </c>
      <c r="H1563" s="6" t="s">
        <v>8206</v>
      </c>
    </row>
    <row r="1564" spans="1:8" ht="85" x14ac:dyDescent="0.2">
      <c r="A1564">
        <v>1562</v>
      </c>
      <c r="B1564" t="s">
        <v>1611</v>
      </c>
      <c r="C1564" t="s">
        <v>3051</v>
      </c>
      <c r="D1564" t="s">
        <v>3735</v>
      </c>
      <c r="E1564" t="s">
        <v>5539</v>
      </c>
      <c r="F1564" t="s">
        <v>5540</v>
      </c>
      <c r="G1564" t="s">
        <v>5550</v>
      </c>
      <c r="H1564" s="6" t="s">
        <v>8207</v>
      </c>
    </row>
    <row r="1565" spans="1:8" ht="102" x14ac:dyDescent="0.2">
      <c r="A1565">
        <v>1563</v>
      </c>
      <c r="B1565" t="s">
        <v>1611</v>
      </c>
      <c r="C1565" t="s">
        <v>3051</v>
      </c>
      <c r="D1565" t="s">
        <v>3735</v>
      </c>
      <c r="E1565" t="s">
        <v>5539</v>
      </c>
      <c r="F1565" t="s">
        <v>5540</v>
      </c>
      <c r="G1565" t="s">
        <v>5551</v>
      </c>
      <c r="H1565" s="6" t="s">
        <v>8208</v>
      </c>
    </row>
    <row r="1566" spans="1:8" ht="119" x14ac:dyDescent="0.2">
      <c r="A1566">
        <v>1564</v>
      </c>
      <c r="B1566" t="s">
        <v>1611</v>
      </c>
      <c r="C1566" t="s">
        <v>3051</v>
      </c>
      <c r="D1566" t="s">
        <v>3735</v>
      </c>
      <c r="E1566" t="s">
        <v>5539</v>
      </c>
      <c r="F1566" t="s">
        <v>5540</v>
      </c>
      <c r="G1566" t="s">
        <v>5552</v>
      </c>
      <c r="H1566" s="6" t="s">
        <v>8209</v>
      </c>
    </row>
    <row r="1567" spans="1:8" ht="204" x14ac:dyDescent="0.2">
      <c r="A1567">
        <v>1565</v>
      </c>
      <c r="B1567" t="s">
        <v>1611</v>
      </c>
      <c r="C1567" t="s">
        <v>3051</v>
      </c>
      <c r="D1567" t="s">
        <v>3735</v>
      </c>
      <c r="E1567" t="s">
        <v>5539</v>
      </c>
      <c r="F1567" t="s">
        <v>5540</v>
      </c>
      <c r="G1567" t="s">
        <v>5553</v>
      </c>
      <c r="H1567" s="6" t="s">
        <v>8210</v>
      </c>
    </row>
    <row r="1568" spans="1:8" ht="153" x14ac:dyDescent="0.2">
      <c r="A1568">
        <v>1566</v>
      </c>
      <c r="B1568" t="s">
        <v>1611</v>
      </c>
      <c r="C1568" t="s">
        <v>3051</v>
      </c>
      <c r="D1568" t="s">
        <v>3735</v>
      </c>
      <c r="E1568" t="s">
        <v>5539</v>
      </c>
      <c r="F1568" t="s">
        <v>5540</v>
      </c>
      <c r="G1568" t="s">
        <v>5554</v>
      </c>
      <c r="H1568" s="6" t="s">
        <v>8211</v>
      </c>
    </row>
    <row r="1569" spans="1:8" ht="102" x14ac:dyDescent="0.2">
      <c r="A1569">
        <v>1567</v>
      </c>
      <c r="B1569" t="s">
        <v>1611</v>
      </c>
      <c r="C1569" t="s">
        <v>3051</v>
      </c>
      <c r="D1569" t="s">
        <v>3735</v>
      </c>
      <c r="E1569" t="s">
        <v>5539</v>
      </c>
      <c r="F1569" t="s">
        <v>5540</v>
      </c>
      <c r="G1569" t="s">
        <v>5555</v>
      </c>
      <c r="H1569" s="6" t="s">
        <v>8212</v>
      </c>
    </row>
    <row r="1570" spans="1:8" ht="102" x14ac:dyDescent="0.2">
      <c r="A1570">
        <v>1568</v>
      </c>
      <c r="B1570" t="s">
        <v>1611</v>
      </c>
      <c r="C1570" t="s">
        <v>3051</v>
      </c>
      <c r="D1570" t="s">
        <v>3735</v>
      </c>
      <c r="E1570" t="s">
        <v>5539</v>
      </c>
      <c r="F1570" t="s">
        <v>5540</v>
      </c>
      <c r="G1570" t="s">
        <v>5556</v>
      </c>
      <c r="H1570" s="6" t="s">
        <v>8213</v>
      </c>
    </row>
    <row r="1571" spans="1:8" ht="85" x14ac:dyDescent="0.2">
      <c r="A1571">
        <v>1569</v>
      </c>
      <c r="B1571" t="s">
        <v>1611</v>
      </c>
      <c r="C1571" t="s">
        <v>3051</v>
      </c>
      <c r="D1571" t="s">
        <v>3735</v>
      </c>
      <c r="E1571" t="s">
        <v>5539</v>
      </c>
      <c r="F1571" t="s">
        <v>5540</v>
      </c>
      <c r="G1571" t="s">
        <v>5557</v>
      </c>
      <c r="H1571" s="6" t="s">
        <v>8214</v>
      </c>
    </row>
    <row r="1572" spans="1:8" ht="85" x14ac:dyDescent="0.2">
      <c r="A1572">
        <v>1570</v>
      </c>
      <c r="B1572" t="s">
        <v>1611</v>
      </c>
      <c r="C1572" t="s">
        <v>3051</v>
      </c>
      <c r="D1572" t="s">
        <v>3735</v>
      </c>
      <c r="E1572" t="s">
        <v>5539</v>
      </c>
      <c r="F1572" t="s">
        <v>5540</v>
      </c>
      <c r="G1572" t="s">
        <v>5558</v>
      </c>
      <c r="H1572" s="6" t="s">
        <v>8215</v>
      </c>
    </row>
    <row r="1573" spans="1:8" ht="153" x14ac:dyDescent="0.2">
      <c r="A1573">
        <v>1571</v>
      </c>
      <c r="B1573" t="s">
        <v>1611</v>
      </c>
      <c r="C1573" t="s">
        <v>3051</v>
      </c>
      <c r="D1573" t="s">
        <v>3735</v>
      </c>
      <c r="E1573" t="s">
        <v>5539</v>
      </c>
      <c r="F1573" t="s">
        <v>5540</v>
      </c>
      <c r="G1573" t="s">
        <v>5559</v>
      </c>
      <c r="H1573" s="6" t="s">
        <v>8216</v>
      </c>
    </row>
    <row r="1574" spans="1:8" ht="85" x14ac:dyDescent="0.2">
      <c r="A1574">
        <v>1572</v>
      </c>
      <c r="B1574" t="s">
        <v>1611</v>
      </c>
      <c r="C1574" t="s">
        <v>3051</v>
      </c>
      <c r="D1574" t="s">
        <v>3735</v>
      </c>
      <c r="E1574" t="s">
        <v>5539</v>
      </c>
      <c r="F1574" t="s">
        <v>5540</v>
      </c>
      <c r="G1574" t="s">
        <v>5560</v>
      </c>
      <c r="H1574" s="6" t="s">
        <v>8217</v>
      </c>
    </row>
    <row r="1575" spans="1:8" ht="85" x14ac:dyDescent="0.2">
      <c r="A1575">
        <v>1573</v>
      </c>
      <c r="B1575" t="s">
        <v>1611</v>
      </c>
      <c r="C1575" t="s">
        <v>3051</v>
      </c>
      <c r="D1575" t="s">
        <v>3735</v>
      </c>
      <c r="E1575" t="s">
        <v>5539</v>
      </c>
      <c r="F1575" t="s">
        <v>5540</v>
      </c>
      <c r="G1575" t="s">
        <v>5561</v>
      </c>
      <c r="H1575" s="6" t="s">
        <v>8218</v>
      </c>
    </row>
    <row r="1576" spans="1:8" ht="85" x14ac:dyDescent="0.2">
      <c r="A1576">
        <v>1574</v>
      </c>
      <c r="B1576" t="s">
        <v>1611</v>
      </c>
      <c r="C1576" t="s">
        <v>3051</v>
      </c>
      <c r="D1576" t="s">
        <v>3735</v>
      </c>
      <c r="E1576" t="s">
        <v>5539</v>
      </c>
      <c r="F1576" t="s">
        <v>5540</v>
      </c>
      <c r="G1576" t="s">
        <v>5562</v>
      </c>
      <c r="H1576" s="6" t="s">
        <v>8219</v>
      </c>
    </row>
    <row r="1577" spans="1:8" ht="272" x14ac:dyDescent="0.2">
      <c r="A1577">
        <v>1575</v>
      </c>
      <c r="B1577" t="s">
        <v>1611</v>
      </c>
      <c r="C1577" t="s">
        <v>3051</v>
      </c>
      <c r="D1577" t="s">
        <v>3735</v>
      </c>
      <c r="E1577" t="s">
        <v>5563</v>
      </c>
      <c r="F1577" t="s">
        <v>5564</v>
      </c>
      <c r="G1577" t="s">
        <v>5565</v>
      </c>
      <c r="H1577" s="6" t="s">
        <v>8220</v>
      </c>
    </row>
    <row r="1578" spans="1:8" ht="102" x14ac:dyDescent="0.2">
      <c r="A1578">
        <v>1576</v>
      </c>
      <c r="B1578" t="s">
        <v>1611</v>
      </c>
      <c r="C1578" t="s">
        <v>3051</v>
      </c>
      <c r="D1578" t="s">
        <v>3735</v>
      </c>
      <c r="E1578" t="s">
        <v>5563</v>
      </c>
      <c r="F1578" t="s">
        <v>5564</v>
      </c>
      <c r="G1578" t="s">
        <v>5566</v>
      </c>
      <c r="H1578" s="6" t="s">
        <v>8221</v>
      </c>
    </row>
    <row r="1579" spans="1:8" ht="85" x14ac:dyDescent="0.2">
      <c r="A1579">
        <v>1577</v>
      </c>
      <c r="B1579" t="s">
        <v>1611</v>
      </c>
      <c r="C1579" t="s">
        <v>3051</v>
      </c>
      <c r="D1579" t="s">
        <v>3735</v>
      </c>
      <c r="E1579" t="s">
        <v>5563</v>
      </c>
      <c r="F1579" t="s">
        <v>5564</v>
      </c>
      <c r="G1579" t="s">
        <v>5567</v>
      </c>
      <c r="H1579" s="6" t="s">
        <v>8222</v>
      </c>
    </row>
    <row r="1580" spans="1:8" ht="170" x14ac:dyDescent="0.2">
      <c r="A1580">
        <v>1578</v>
      </c>
      <c r="B1580" t="s">
        <v>1611</v>
      </c>
      <c r="C1580" t="s">
        <v>3051</v>
      </c>
      <c r="D1580" t="s">
        <v>3735</v>
      </c>
      <c r="E1580" t="s">
        <v>5563</v>
      </c>
      <c r="F1580" t="s">
        <v>5564</v>
      </c>
      <c r="G1580" t="s">
        <v>5568</v>
      </c>
      <c r="H1580" s="6" t="s">
        <v>8223</v>
      </c>
    </row>
    <row r="1581" spans="1:8" ht="323" x14ac:dyDescent="0.2">
      <c r="A1581">
        <v>1579</v>
      </c>
      <c r="B1581" t="s">
        <v>1611</v>
      </c>
      <c r="C1581" t="s">
        <v>3051</v>
      </c>
      <c r="D1581" t="s">
        <v>3735</v>
      </c>
      <c r="E1581" t="s">
        <v>5563</v>
      </c>
      <c r="F1581" t="s">
        <v>5564</v>
      </c>
      <c r="G1581" t="s">
        <v>5569</v>
      </c>
      <c r="H1581" s="6" t="s">
        <v>8224</v>
      </c>
    </row>
    <row r="1582" spans="1:8" ht="85" x14ac:dyDescent="0.2">
      <c r="A1582">
        <v>1580</v>
      </c>
      <c r="B1582" t="s">
        <v>1611</v>
      </c>
      <c r="C1582" t="s">
        <v>3051</v>
      </c>
      <c r="D1582" t="s">
        <v>3735</v>
      </c>
      <c r="E1582" t="s">
        <v>5563</v>
      </c>
      <c r="F1582" t="s">
        <v>5564</v>
      </c>
      <c r="G1582" t="s">
        <v>5570</v>
      </c>
      <c r="H1582" s="6" t="s">
        <v>8225</v>
      </c>
    </row>
    <row r="1583" spans="1:8" ht="102" x14ac:dyDescent="0.2">
      <c r="A1583">
        <v>1581</v>
      </c>
      <c r="B1583" t="s">
        <v>1611</v>
      </c>
      <c r="C1583" t="s">
        <v>3051</v>
      </c>
      <c r="D1583" t="s">
        <v>3735</v>
      </c>
      <c r="E1583" t="s">
        <v>5563</v>
      </c>
      <c r="F1583" t="s">
        <v>5564</v>
      </c>
      <c r="G1583" t="s">
        <v>5571</v>
      </c>
      <c r="H1583" s="6" t="s">
        <v>8226</v>
      </c>
    </row>
    <row r="1584" spans="1:8" ht="85" x14ac:dyDescent="0.2">
      <c r="A1584">
        <v>1582</v>
      </c>
      <c r="B1584" t="s">
        <v>1611</v>
      </c>
      <c r="C1584" t="s">
        <v>3051</v>
      </c>
      <c r="D1584" t="s">
        <v>3735</v>
      </c>
      <c r="E1584" t="s">
        <v>5563</v>
      </c>
      <c r="F1584" t="s">
        <v>5564</v>
      </c>
      <c r="G1584" t="s">
        <v>5572</v>
      </c>
      <c r="H1584" s="6" t="s">
        <v>8227</v>
      </c>
    </row>
    <row r="1585" spans="1:8" ht="102" x14ac:dyDescent="0.2">
      <c r="A1585">
        <v>1583</v>
      </c>
      <c r="B1585" t="s">
        <v>1611</v>
      </c>
      <c r="C1585" t="s">
        <v>3051</v>
      </c>
      <c r="D1585" t="s">
        <v>3735</v>
      </c>
      <c r="E1585" t="s">
        <v>5563</v>
      </c>
      <c r="F1585" t="s">
        <v>5564</v>
      </c>
      <c r="G1585" t="s">
        <v>5573</v>
      </c>
      <c r="H1585" s="6" t="s">
        <v>8228</v>
      </c>
    </row>
    <row r="1586" spans="1:8" ht="85" x14ac:dyDescent="0.2">
      <c r="A1586">
        <v>1584</v>
      </c>
      <c r="B1586" t="s">
        <v>1611</v>
      </c>
      <c r="C1586" t="s">
        <v>3051</v>
      </c>
      <c r="D1586" t="s">
        <v>3735</v>
      </c>
      <c r="E1586" t="s">
        <v>5563</v>
      </c>
      <c r="F1586" t="s">
        <v>5564</v>
      </c>
      <c r="G1586" t="s">
        <v>5574</v>
      </c>
      <c r="H1586" s="6" t="s">
        <v>8229</v>
      </c>
    </row>
    <row r="1587" spans="1:8" ht="187" x14ac:dyDescent="0.2">
      <c r="A1587">
        <v>1585</v>
      </c>
      <c r="B1587" t="s">
        <v>1611</v>
      </c>
      <c r="C1587" t="s">
        <v>3051</v>
      </c>
      <c r="D1587" t="s">
        <v>3735</v>
      </c>
      <c r="E1587" t="s">
        <v>5563</v>
      </c>
      <c r="F1587" t="s">
        <v>5564</v>
      </c>
      <c r="G1587" t="s">
        <v>5575</v>
      </c>
      <c r="H1587" s="6" t="s">
        <v>8230</v>
      </c>
    </row>
    <row r="1588" spans="1:8" ht="85" x14ac:dyDescent="0.2">
      <c r="A1588">
        <v>1586</v>
      </c>
      <c r="B1588" t="s">
        <v>1611</v>
      </c>
      <c r="C1588" t="s">
        <v>3051</v>
      </c>
      <c r="D1588" t="s">
        <v>3735</v>
      </c>
      <c r="E1588" t="s">
        <v>5563</v>
      </c>
      <c r="F1588" t="s">
        <v>5564</v>
      </c>
      <c r="G1588" t="s">
        <v>5576</v>
      </c>
      <c r="H1588" s="6" t="s">
        <v>8225</v>
      </c>
    </row>
    <row r="1589" spans="1:8" ht="85" x14ac:dyDescent="0.2">
      <c r="A1589">
        <v>1587</v>
      </c>
      <c r="B1589" t="s">
        <v>1611</v>
      </c>
      <c r="C1589" t="s">
        <v>3051</v>
      </c>
      <c r="D1589" t="s">
        <v>3735</v>
      </c>
      <c r="E1589" t="s">
        <v>5563</v>
      </c>
      <c r="F1589" t="s">
        <v>5564</v>
      </c>
      <c r="G1589" t="s">
        <v>5577</v>
      </c>
      <c r="H1589" s="6" t="s">
        <v>8231</v>
      </c>
    </row>
    <row r="1590" spans="1:8" ht="85" x14ac:dyDescent="0.2">
      <c r="A1590">
        <v>1588</v>
      </c>
      <c r="B1590" t="s">
        <v>1611</v>
      </c>
      <c r="C1590" t="s">
        <v>3051</v>
      </c>
      <c r="D1590" t="s">
        <v>3735</v>
      </c>
      <c r="E1590" t="s">
        <v>5563</v>
      </c>
      <c r="F1590" t="s">
        <v>5564</v>
      </c>
      <c r="G1590" t="s">
        <v>5578</v>
      </c>
      <c r="H1590" s="6" t="s">
        <v>8232</v>
      </c>
    </row>
    <row r="1591" spans="1:8" ht="85" x14ac:dyDescent="0.2">
      <c r="A1591">
        <v>1589</v>
      </c>
      <c r="B1591" t="s">
        <v>1611</v>
      </c>
      <c r="C1591" t="s">
        <v>3051</v>
      </c>
      <c r="D1591" t="s">
        <v>3735</v>
      </c>
      <c r="E1591" t="s">
        <v>5563</v>
      </c>
      <c r="F1591" t="s">
        <v>5564</v>
      </c>
      <c r="G1591" t="s">
        <v>5579</v>
      </c>
      <c r="H1591" s="6" t="s">
        <v>8233</v>
      </c>
    </row>
    <row r="1592" spans="1:8" ht="85" x14ac:dyDescent="0.2">
      <c r="A1592">
        <v>1590</v>
      </c>
      <c r="B1592" t="s">
        <v>1611</v>
      </c>
      <c r="C1592" t="s">
        <v>3051</v>
      </c>
      <c r="D1592" t="s">
        <v>3735</v>
      </c>
      <c r="E1592" t="s">
        <v>5563</v>
      </c>
      <c r="F1592" t="s">
        <v>5564</v>
      </c>
      <c r="G1592" t="s">
        <v>5580</v>
      </c>
      <c r="H1592" s="6" t="s">
        <v>8234</v>
      </c>
    </row>
    <row r="1593" spans="1:8" ht="85" x14ac:dyDescent="0.2">
      <c r="A1593">
        <v>1591</v>
      </c>
      <c r="B1593" t="s">
        <v>1611</v>
      </c>
      <c r="C1593" t="s">
        <v>3051</v>
      </c>
      <c r="D1593" t="s">
        <v>3735</v>
      </c>
      <c r="E1593" t="s">
        <v>5563</v>
      </c>
      <c r="F1593" t="s">
        <v>5564</v>
      </c>
      <c r="G1593" t="s">
        <v>5581</v>
      </c>
      <c r="H1593" s="6" t="s">
        <v>8235</v>
      </c>
    </row>
    <row r="1594" spans="1:8" ht="85" x14ac:dyDescent="0.2">
      <c r="A1594">
        <v>1592</v>
      </c>
      <c r="B1594" t="s">
        <v>1611</v>
      </c>
      <c r="C1594" t="s">
        <v>3051</v>
      </c>
      <c r="D1594" t="s">
        <v>3735</v>
      </c>
      <c r="E1594" t="s">
        <v>5563</v>
      </c>
      <c r="F1594" t="s">
        <v>5564</v>
      </c>
      <c r="G1594" t="s">
        <v>5582</v>
      </c>
      <c r="H1594" s="6" t="s">
        <v>8236</v>
      </c>
    </row>
    <row r="1595" spans="1:8" ht="85" x14ac:dyDescent="0.2">
      <c r="A1595">
        <v>1593</v>
      </c>
      <c r="B1595" t="s">
        <v>1611</v>
      </c>
      <c r="C1595" t="s">
        <v>3051</v>
      </c>
      <c r="D1595" t="s">
        <v>3735</v>
      </c>
      <c r="E1595" t="s">
        <v>5563</v>
      </c>
      <c r="F1595" t="s">
        <v>5564</v>
      </c>
      <c r="G1595" t="s">
        <v>5583</v>
      </c>
      <c r="H1595" s="6" t="s">
        <v>8237</v>
      </c>
    </row>
    <row r="1596" spans="1:8" ht="102" x14ac:dyDescent="0.2">
      <c r="A1596">
        <v>1594</v>
      </c>
      <c r="B1596" t="s">
        <v>1611</v>
      </c>
      <c r="C1596" t="s">
        <v>3051</v>
      </c>
      <c r="D1596" t="s">
        <v>3735</v>
      </c>
      <c r="E1596" t="s">
        <v>5584</v>
      </c>
      <c r="F1596" t="s">
        <v>5585</v>
      </c>
      <c r="G1596" t="s">
        <v>5586</v>
      </c>
      <c r="H1596" s="6" t="s">
        <v>8238</v>
      </c>
    </row>
    <row r="1597" spans="1:8" ht="85" x14ac:dyDescent="0.2">
      <c r="A1597">
        <v>1595</v>
      </c>
      <c r="B1597" t="s">
        <v>1611</v>
      </c>
      <c r="C1597" t="s">
        <v>3051</v>
      </c>
      <c r="D1597" t="s">
        <v>3735</v>
      </c>
      <c r="E1597" t="s">
        <v>5584</v>
      </c>
      <c r="F1597" t="s">
        <v>5585</v>
      </c>
      <c r="G1597" t="s">
        <v>5587</v>
      </c>
      <c r="H1597" s="6" t="s">
        <v>8239</v>
      </c>
    </row>
    <row r="1598" spans="1:8" ht="102" x14ac:dyDescent="0.2">
      <c r="A1598">
        <v>1596</v>
      </c>
      <c r="B1598" t="s">
        <v>1611</v>
      </c>
      <c r="C1598" t="s">
        <v>3051</v>
      </c>
      <c r="D1598" t="s">
        <v>3735</v>
      </c>
      <c r="E1598" t="s">
        <v>5584</v>
      </c>
      <c r="F1598" t="s">
        <v>5585</v>
      </c>
      <c r="G1598" t="s">
        <v>5588</v>
      </c>
      <c r="H1598" s="6" t="s">
        <v>8240</v>
      </c>
    </row>
    <row r="1599" spans="1:8" ht="85" x14ac:dyDescent="0.2">
      <c r="A1599">
        <v>1597</v>
      </c>
      <c r="B1599" t="s">
        <v>1611</v>
      </c>
      <c r="C1599" t="s">
        <v>3051</v>
      </c>
      <c r="D1599" t="s">
        <v>3735</v>
      </c>
      <c r="E1599" t="s">
        <v>5584</v>
      </c>
      <c r="F1599" t="s">
        <v>5585</v>
      </c>
      <c r="G1599" t="s">
        <v>5589</v>
      </c>
      <c r="H1599" s="6" t="s">
        <v>8241</v>
      </c>
    </row>
    <row r="1600" spans="1:8" ht="85" x14ac:dyDescent="0.2">
      <c r="A1600">
        <v>1598</v>
      </c>
      <c r="B1600" t="s">
        <v>1611</v>
      </c>
      <c r="C1600" t="s">
        <v>3051</v>
      </c>
      <c r="D1600" t="s">
        <v>3735</v>
      </c>
      <c r="E1600" t="s">
        <v>5584</v>
      </c>
      <c r="F1600" t="s">
        <v>5585</v>
      </c>
      <c r="G1600" t="s">
        <v>5590</v>
      </c>
      <c r="H1600" s="6" t="s">
        <v>8242</v>
      </c>
    </row>
    <row r="1601" spans="1:8" ht="85" x14ac:dyDescent="0.2">
      <c r="A1601">
        <v>1599</v>
      </c>
      <c r="B1601" t="s">
        <v>1611</v>
      </c>
      <c r="C1601" t="s">
        <v>3051</v>
      </c>
      <c r="D1601" t="s">
        <v>3735</v>
      </c>
      <c r="E1601" t="s">
        <v>5584</v>
      </c>
      <c r="F1601" t="s">
        <v>5585</v>
      </c>
      <c r="G1601" t="s">
        <v>5591</v>
      </c>
      <c r="H1601" s="6" t="s">
        <v>8243</v>
      </c>
    </row>
    <row r="1602" spans="1:8" ht="85" x14ac:dyDescent="0.2">
      <c r="A1602">
        <v>1600</v>
      </c>
      <c r="B1602" t="s">
        <v>1611</v>
      </c>
      <c r="C1602" t="s">
        <v>3051</v>
      </c>
      <c r="D1602" t="s">
        <v>3735</v>
      </c>
      <c r="E1602" t="s">
        <v>5584</v>
      </c>
      <c r="F1602" t="s">
        <v>5585</v>
      </c>
      <c r="G1602" t="s">
        <v>5592</v>
      </c>
      <c r="H1602" s="6" t="s">
        <v>8244</v>
      </c>
    </row>
    <row r="1603" spans="1:8" ht="85" x14ac:dyDescent="0.2">
      <c r="A1603">
        <v>1601</v>
      </c>
      <c r="B1603" t="s">
        <v>1611</v>
      </c>
      <c r="C1603" t="s">
        <v>3051</v>
      </c>
      <c r="D1603" t="s">
        <v>3735</v>
      </c>
      <c r="E1603" t="s">
        <v>5593</v>
      </c>
      <c r="F1603" t="s">
        <v>5594</v>
      </c>
      <c r="G1603" t="s">
        <v>5595</v>
      </c>
      <c r="H1603" s="6" t="s">
        <v>8245</v>
      </c>
    </row>
    <row r="1604" spans="1:8" ht="153" x14ac:dyDescent="0.2">
      <c r="A1604">
        <v>1602</v>
      </c>
      <c r="B1604" t="s">
        <v>1611</v>
      </c>
      <c r="C1604" t="s">
        <v>3051</v>
      </c>
      <c r="D1604" t="s">
        <v>3735</v>
      </c>
      <c r="E1604" t="s">
        <v>5596</v>
      </c>
      <c r="F1604" t="s">
        <v>5597</v>
      </c>
      <c r="G1604" t="s">
        <v>5598</v>
      </c>
      <c r="H1604" s="6" t="s">
        <v>8246</v>
      </c>
    </row>
    <row r="1605" spans="1:8" ht="170" x14ac:dyDescent="0.2">
      <c r="A1605">
        <v>1603</v>
      </c>
      <c r="B1605" t="s">
        <v>1611</v>
      </c>
      <c r="C1605" t="s">
        <v>3051</v>
      </c>
      <c r="D1605" t="s">
        <v>3735</v>
      </c>
      <c r="E1605" t="s">
        <v>5596</v>
      </c>
      <c r="F1605" t="s">
        <v>5597</v>
      </c>
      <c r="G1605" t="s">
        <v>5599</v>
      </c>
      <c r="H1605" s="6" t="s">
        <v>8247</v>
      </c>
    </row>
    <row r="1606" spans="1:8" ht="85" x14ac:dyDescent="0.2">
      <c r="A1606">
        <v>1604</v>
      </c>
      <c r="B1606" t="s">
        <v>1611</v>
      </c>
      <c r="C1606" t="s">
        <v>3051</v>
      </c>
      <c r="D1606" t="s">
        <v>3735</v>
      </c>
      <c r="E1606" t="s">
        <v>5596</v>
      </c>
      <c r="F1606" t="s">
        <v>5597</v>
      </c>
      <c r="G1606" t="s">
        <v>5600</v>
      </c>
      <c r="H1606" s="6" t="s">
        <v>8248</v>
      </c>
    </row>
    <row r="1607" spans="1:8" ht="102" x14ac:dyDescent="0.2">
      <c r="A1607">
        <v>1605</v>
      </c>
      <c r="B1607" t="s">
        <v>1611</v>
      </c>
      <c r="C1607" t="s">
        <v>3051</v>
      </c>
      <c r="D1607" t="s">
        <v>3735</v>
      </c>
      <c r="E1607" t="s">
        <v>5596</v>
      </c>
      <c r="F1607" t="s">
        <v>5597</v>
      </c>
      <c r="G1607" t="s">
        <v>5601</v>
      </c>
      <c r="H1607" s="6" t="s">
        <v>8249</v>
      </c>
    </row>
    <row r="1608" spans="1:8" ht="119" x14ac:dyDescent="0.2">
      <c r="A1608">
        <v>1606</v>
      </c>
      <c r="B1608" t="s">
        <v>1611</v>
      </c>
      <c r="C1608" t="s">
        <v>3051</v>
      </c>
      <c r="D1608" t="s">
        <v>3735</v>
      </c>
      <c r="E1608" t="s">
        <v>5596</v>
      </c>
      <c r="F1608" t="s">
        <v>5597</v>
      </c>
      <c r="G1608" t="s">
        <v>5602</v>
      </c>
      <c r="H1608" s="6" t="s">
        <v>8250</v>
      </c>
    </row>
    <row r="1609" spans="1:8" ht="102" x14ac:dyDescent="0.2">
      <c r="A1609">
        <v>1607</v>
      </c>
      <c r="B1609" t="s">
        <v>1611</v>
      </c>
      <c r="C1609" t="s">
        <v>3051</v>
      </c>
      <c r="D1609" t="s">
        <v>3735</v>
      </c>
      <c r="E1609" t="s">
        <v>5596</v>
      </c>
      <c r="F1609" t="s">
        <v>5597</v>
      </c>
      <c r="G1609" t="s">
        <v>5603</v>
      </c>
      <c r="H1609" s="6" t="s">
        <v>8251</v>
      </c>
    </row>
    <row r="1610" spans="1:8" ht="102" x14ac:dyDescent="0.2">
      <c r="A1610">
        <v>1608</v>
      </c>
      <c r="B1610" t="s">
        <v>1611</v>
      </c>
      <c r="C1610" t="s">
        <v>3051</v>
      </c>
      <c r="D1610" t="s">
        <v>3735</v>
      </c>
      <c r="E1610" t="s">
        <v>5596</v>
      </c>
      <c r="F1610" t="s">
        <v>5597</v>
      </c>
      <c r="G1610" t="s">
        <v>5604</v>
      </c>
      <c r="H1610" s="6" t="s">
        <v>8252</v>
      </c>
    </row>
    <row r="1611" spans="1:8" ht="102" x14ac:dyDescent="0.2">
      <c r="A1611">
        <v>1609</v>
      </c>
      <c r="B1611" t="s">
        <v>1611</v>
      </c>
      <c r="C1611" t="s">
        <v>3051</v>
      </c>
      <c r="D1611" t="s">
        <v>3735</v>
      </c>
      <c r="E1611" t="s">
        <v>5596</v>
      </c>
      <c r="F1611" t="s">
        <v>5597</v>
      </c>
      <c r="G1611" t="s">
        <v>5605</v>
      </c>
      <c r="H1611" s="6" t="s">
        <v>8253</v>
      </c>
    </row>
    <row r="1612" spans="1:8" ht="102" x14ac:dyDescent="0.2">
      <c r="A1612">
        <v>1610</v>
      </c>
      <c r="B1612" t="s">
        <v>1611</v>
      </c>
      <c r="C1612" t="s">
        <v>3051</v>
      </c>
      <c r="D1612" t="s">
        <v>3735</v>
      </c>
      <c r="E1612" t="s">
        <v>5596</v>
      </c>
      <c r="F1612" t="s">
        <v>5597</v>
      </c>
      <c r="G1612" t="s">
        <v>5606</v>
      </c>
      <c r="H1612" s="6" t="s">
        <v>8254</v>
      </c>
    </row>
    <row r="1613" spans="1:8" ht="85" x14ac:dyDescent="0.2">
      <c r="A1613">
        <v>1611</v>
      </c>
      <c r="B1613" t="s">
        <v>1611</v>
      </c>
      <c r="C1613" t="s">
        <v>3051</v>
      </c>
      <c r="D1613" t="s">
        <v>3735</v>
      </c>
      <c r="E1613" t="s">
        <v>5596</v>
      </c>
      <c r="F1613" t="s">
        <v>5597</v>
      </c>
      <c r="G1613" t="s">
        <v>5607</v>
      </c>
      <c r="H1613" s="6" t="s">
        <v>8255</v>
      </c>
    </row>
    <row r="1614" spans="1:8" ht="102" x14ac:dyDescent="0.2">
      <c r="A1614">
        <v>1612</v>
      </c>
      <c r="B1614" t="s">
        <v>1611</v>
      </c>
      <c r="C1614" t="s">
        <v>3051</v>
      </c>
      <c r="D1614" t="s">
        <v>3735</v>
      </c>
      <c r="E1614" t="s">
        <v>5596</v>
      </c>
      <c r="F1614" t="s">
        <v>5597</v>
      </c>
      <c r="G1614" t="s">
        <v>5608</v>
      </c>
      <c r="H1614" s="6" t="s">
        <v>8256</v>
      </c>
    </row>
    <row r="1615" spans="1:8" ht="102" x14ac:dyDescent="0.2">
      <c r="A1615">
        <v>1613</v>
      </c>
      <c r="B1615" t="s">
        <v>1611</v>
      </c>
      <c r="C1615" t="s">
        <v>3051</v>
      </c>
      <c r="D1615" t="s">
        <v>3735</v>
      </c>
      <c r="E1615" t="s">
        <v>5596</v>
      </c>
      <c r="F1615" t="s">
        <v>5597</v>
      </c>
      <c r="G1615" t="s">
        <v>5609</v>
      </c>
      <c r="H1615" s="6" t="s">
        <v>8257</v>
      </c>
    </row>
    <row r="1616" spans="1:8" ht="102" x14ac:dyDescent="0.2">
      <c r="A1616">
        <v>1614</v>
      </c>
      <c r="B1616" t="s">
        <v>1611</v>
      </c>
      <c r="C1616" t="s">
        <v>3051</v>
      </c>
      <c r="D1616" t="s">
        <v>3735</v>
      </c>
      <c r="E1616" t="s">
        <v>5596</v>
      </c>
      <c r="F1616" t="s">
        <v>5597</v>
      </c>
      <c r="G1616" t="s">
        <v>5610</v>
      </c>
      <c r="H1616" s="6" t="s">
        <v>8258</v>
      </c>
    </row>
    <row r="1617" spans="1:8" ht="102" x14ac:dyDescent="0.2">
      <c r="A1617">
        <v>1615</v>
      </c>
      <c r="B1617" t="s">
        <v>1611</v>
      </c>
      <c r="C1617" t="s">
        <v>3051</v>
      </c>
      <c r="D1617" t="s">
        <v>3735</v>
      </c>
      <c r="E1617" t="s">
        <v>5596</v>
      </c>
      <c r="F1617" t="s">
        <v>5597</v>
      </c>
      <c r="G1617" t="s">
        <v>5611</v>
      </c>
      <c r="H1617" s="6" t="s">
        <v>8259</v>
      </c>
    </row>
    <row r="1618" spans="1:8" ht="102" x14ac:dyDescent="0.2">
      <c r="A1618">
        <v>1616</v>
      </c>
      <c r="B1618" t="s">
        <v>1611</v>
      </c>
      <c r="C1618" t="s">
        <v>3051</v>
      </c>
      <c r="D1618" t="s">
        <v>3735</v>
      </c>
      <c r="E1618" t="s">
        <v>5596</v>
      </c>
      <c r="F1618" t="s">
        <v>5597</v>
      </c>
      <c r="G1618" t="s">
        <v>5612</v>
      </c>
      <c r="H1618" s="6" t="s">
        <v>8260</v>
      </c>
    </row>
    <row r="1619" spans="1:8" ht="102" x14ac:dyDescent="0.2">
      <c r="A1619">
        <v>1617</v>
      </c>
      <c r="B1619" t="s">
        <v>1611</v>
      </c>
      <c r="C1619" t="s">
        <v>3051</v>
      </c>
      <c r="D1619" t="s">
        <v>3735</v>
      </c>
      <c r="E1619" t="s">
        <v>5596</v>
      </c>
      <c r="F1619" t="s">
        <v>5597</v>
      </c>
      <c r="G1619" t="s">
        <v>5613</v>
      </c>
      <c r="H1619" s="6" t="s">
        <v>8261</v>
      </c>
    </row>
    <row r="1620" spans="1:8" ht="85" x14ac:dyDescent="0.2">
      <c r="A1620">
        <v>1618</v>
      </c>
      <c r="B1620" t="s">
        <v>1611</v>
      </c>
      <c r="C1620" t="s">
        <v>3051</v>
      </c>
      <c r="D1620" t="s">
        <v>3735</v>
      </c>
      <c r="E1620" t="s">
        <v>5596</v>
      </c>
      <c r="F1620" t="s">
        <v>5597</v>
      </c>
      <c r="G1620" t="s">
        <v>5614</v>
      </c>
      <c r="H1620" s="6" t="s">
        <v>8262</v>
      </c>
    </row>
    <row r="1621" spans="1:8" ht="356" x14ac:dyDescent="0.2">
      <c r="A1621">
        <v>1619</v>
      </c>
      <c r="B1621" t="s">
        <v>1611</v>
      </c>
      <c r="C1621" t="s">
        <v>3051</v>
      </c>
      <c r="D1621" t="s">
        <v>3735</v>
      </c>
      <c r="E1621" t="s">
        <v>5615</v>
      </c>
      <c r="F1621" t="s">
        <v>5616</v>
      </c>
      <c r="G1621" t="s">
        <v>5617</v>
      </c>
      <c r="H1621" s="6" t="s">
        <v>8263</v>
      </c>
    </row>
    <row r="1622" spans="1:8" ht="85" x14ac:dyDescent="0.2">
      <c r="A1622">
        <v>1620</v>
      </c>
      <c r="B1622" t="s">
        <v>1611</v>
      </c>
      <c r="C1622" t="s">
        <v>3051</v>
      </c>
      <c r="D1622" t="s">
        <v>3735</v>
      </c>
      <c r="E1622" t="s">
        <v>5615</v>
      </c>
      <c r="F1622" t="s">
        <v>5616</v>
      </c>
      <c r="G1622" t="s">
        <v>5618</v>
      </c>
      <c r="H1622" s="6" t="s">
        <v>8264</v>
      </c>
    </row>
    <row r="1623" spans="1:8" ht="102" x14ac:dyDescent="0.2">
      <c r="A1623">
        <v>1621</v>
      </c>
      <c r="B1623" t="s">
        <v>1611</v>
      </c>
      <c r="C1623" t="s">
        <v>3051</v>
      </c>
      <c r="D1623" t="s">
        <v>3735</v>
      </c>
      <c r="E1623" t="s">
        <v>5615</v>
      </c>
      <c r="F1623" t="s">
        <v>5616</v>
      </c>
      <c r="G1623" t="s">
        <v>5619</v>
      </c>
      <c r="H1623" s="6" t="s">
        <v>8265</v>
      </c>
    </row>
    <row r="1624" spans="1:8" ht="85" x14ac:dyDescent="0.2">
      <c r="A1624">
        <v>1622</v>
      </c>
      <c r="B1624" t="s">
        <v>1611</v>
      </c>
      <c r="C1624" t="s">
        <v>3051</v>
      </c>
      <c r="D1624" t="s">
        <v>3735</v>
      </c>
      <c r="E1624" t="s">
        <v>5615</v>
      </c>
      <c r="F1624" t="s">
        <v>5616</v>
      </c>
      <c r="G1624" t="s">
        <v>5620</v>
      </c>
      <c r="H1624" s="6" t="s">
        <v>8266</v>
      </c>
    </row>
    <row r="1625" spans="1:8" ht="306" x14ac:dyDescent="0.2">
      <c r="A1625">
        <v>1623</v>
      </c>
      <c r="B1625" t="s">
        <v>1611</v>
      </c>
      <c r="C1625" t="s">
        <v>3051</v>
      </c>
      <c r="D1625" t="s">
        <v>3735</v>
      </c>
      <c r="E1625" t="s">
        <v>5615</v>
      </c>
      <c r="F1625" t="s">
        <v>5616</v>
      </c>
      <c r="G1625" t="s">
        <v>5621</v>
      </c>
      <c r="H1625" s="6" t="s">
        <v>8267</v>
      </c>
    </row>
    <row r="1626" spans="1:8" ht="85" x14ac:dyDescent="0.2">
      <c r="A1626">
        <v>1624</v>
      </c>
      <c r="B1626" t="s">
        <v>1611</v>
      </c>
      <c r="C1626" t="s">
        <v>3051</v>
      </c>
      <c r="D1626" t="s">
        <v>3735</v>
      </c>
      <c r="E1626" t="s">
        <v>5615</v>
      </c>
      <c r="F1626" t="s">
        <v>5616</v>
      </c>
      <c r="G1626" t="s">
        <v>5622</v>
      </c>
      <c r="H1626" s="6" t="s">
        <v>8268</v>
      </c>
    </row>
    <row r="1627" spans="1:8" ht="85" x14ac:dyDescent="0.2">
      <c r="A1627">
        <v>1625</v>
      </c>
      <c r="B1627" t="s">
        <v>1611</v>
      </c>
      <c r="C1627" t="s">
        <v>3051</v>
      </c>
      <c r="D1627" t="s">
        <v>3735</v>
      </c>
      <c r="E1627" t="s">
        <v>5615</v>
      </c>
      <c r="F1627" t="s">
        <v>5616</v>
      </c>
      <c r="G1627" t="s">
        <v>5623</v>
      </c>
      <c r="H1627" s="6" t="s">
        <v>8269</v>
      </c>
    </row>
    <row r="1628" spans="1:8" ht="102" x14ac:dyDescent="0.2">
      <c r="A1628">
        <v>1626</v>
      </c>
      <c r="B1628" t="s">
        <v>1611</v>
      </c>
      <c r="C1628" t="s">
        <v>3051</v>
      </c>
      <c r="D1628" t="s">
        <v>3735</v>
      </c>
      <c r="E1628" t="s">
        <v>5615</v>
      </c>
      <c r="F1628" t="s">
        <v>5616</v>
      </c>
      <c r="G1628" t="s">
        <v>5624</v>
      </c>
      <c r="H1628" s="6" t="s">
        <v>8270</v>
      </c>
    </row>
    <row r="1629" spans="1:8" ht="85" x14ac:dyDescent="0.2">
      <c r="A1629">
        <v>1627</v>
      </c>
      <c r="B1629" t="s">
        <v>1611</v>
      </c>
      <c r="C1629" t="s">
        <v>3051</v>
      </c>
      <c r="D1629" t="s">
        <v>3735</v>
      </c>
      <c r="E1629" t="s">
        <v>5615</v>
      </c>
      <c r="F1629" t="s">
        <v>5616</v>
      </c>
      <c r="G1629" t="s">
        <v>5625</v>
      </c>
      <c r="H1629" s="6" t="s">
        <v>8271</v>
      </c>
    </row>
    <row r="1630" spans="1:8" ht="102" x14ac:dyDescent="0.2">
      <c r="A1630">
        <v>1628</v>
      </c>
      <c r="B1630" t="s">
        <v>1611</v>
      </c>
      <c r="C1630" t="s">
        <v>3051</v>
      </c>
      <c r="D1630" t="s">
        <v>3735</v>
      </c>
      <c r="E1630" t="s">
        <v>5615</v>
      </c>
      <c r="F1630" t="s">
        <v>5616</v>
      </c>
      <c r="G1630" t="s">
        <v>5626</v>
      </c>
      <c r="H1630" s="6" t="s">
        <v>8272</v>
      </c>
    </row>
    <row r="1631" spans="1:8" ht="409.6" x14ac:dyDescent="0.2">
      <c r="A1631">
        <v>1629</v>
      </c>
      <c r="B1631" t="s">
        <v>1611</v>
      </c>
      <c r="C1631" t="s">
        <v>3051</v>
      </c>
      <c r="D1631" t="s">
        <v>3735</v>
      </c>
      <c r="E1631" t="s">
        <v>5615</v>
      </c>
      <c r="F1631" t="s">
        <v>5616</v>
      </c>
      <c r="G1631" t="s">
        <v>5627</v>
      </c>
      <c r="H1631" s="6" t="s">
        <v>8273</v>
      </c>
    </row>
    <row r="1632" spans="1:8" ht="85" x14ac:dyDescent="0.2">
      <c r="A1632">
        <v>1630</v>
      </c>
      <c r="B1632" t="s">
        <v>1611</v>
      </c>
      <c r="C1632" t="s">
        <v>3051</v>
      </c>
      <c r="D1632" t="s">
        <v>3735</v>
      </c>
      <c r="E1632" t="s">
        <v>5615</v>
      </c>
      <c r="F1632" t="s">
        <v>5616</v>
      </c>
      <c r="G1632" t="s">
        <v>5628</v>
      </c>
      <c r="H1632" s="6" t="s">
        <v>8274</v>
      </c>
    </row>
    <row r="1633" spans="1:8" ht="119" x14ac:dyDescent="0.2">
      <c r="A1633">
        <v>1631</v>
      </c>
      <c r="B1633" t="s">
        <v>1611</v>
      </c>
      <c r="C1633" t="s">
        <v>3051</v>
      </c>
      <c r="D1633" t="s">
        <v>3735</v>
      </c>
      <c r="E1633" t="s">
        <v>5615</v>
      </c>
      <c r="F1633" t="s">
        <v>5616</v>
      </c>
      <c r="G1633" t="s">
        <v>5629</v>
      </c>
      <c r="H1633" s="6" t="s">
        <v>8275</v>
      </c>
    </row>
    <row r="1634" spans="1:8" ht="102" x14ac:dyDescent="0.2">
      <c r="A1634">
        <v>1632</v>
      </c>
      <c r="B1634" t="s">
        <v>1611</v>
      </c>
      <c r="C1634" t="s">
        <v>3051</v>
      </c>
      <c r="D1634" t="s">
        <v>3735</v>
      </c>
      <c r="E1634" t="s">
        <v>5615</v>
      </c>
      <c r="F1634" t="s">
        <v>5616</v>
      </c>
      <c r="G1634" t="s">
        <v>5630</v>
      </c>
      <c r="H1634" s="6" t="s">
        <v>8276</v>
      </c>
    </row>
    <row r="1635" spans="1:8" ht="102" x14ac:dyDescent="0.2">
      <c r="A1635">
        <v>1633</v>
      </c>
      <c r="B1635" t="s">
        <v>1611</v>
      </c>
      <c r="C1635" t="s">
        <v>3051</v>
      </c>
      <c r="D1635" t="s">
        <v>3735</v>
      </c>
      <c r="E1635" t="s">
        <v>5615</v>
      </c>
      <c r="F1635" t="s">
        <v>5616</v>
      </c>
      <c r="G1635" t="s">
        <v>5631</v>
      </c>
      <c r="H1635" s="6" t="s">
        <v>8277</v>
      </c>
    </row>
    <row r="1636" spans="1:8" ht="102" x14ac:dyDescent="0.2">
      <c r="A1636">
        <v>1634</v>
      </c>
      <c r="B1636" t="s">
        <v>1611</v>
      </c>
      <c r="C1636" t="s">
        <v>3051</v>
      </c>
      <c r="D1636" t="s">
        <v>3735</v>
      </c>
      <c r="E1636" t="s">
        <v>5615</v>
      </c>
      <c r="F1636" t="s">
        <v>5616</v>
      </c>
      <c r="G1636" t="s">
        <v>5632</v>
      </c>
      <c r="H1636" s="6" t="s">
        <v>8278</v>
      </c>
    </row>
    <row r="1637" spans="1:8" ht="85" x14ac:dyDescent="0.2">
      <c r="A1637">
        <v>1635</v>
      </c>
      <c r="B1637" t="s">
        <v>1611</v>
      </c>
      <c r="C1637" t="s">
        <v>3051</v>
      </c>
      <c r="D1637" t="s">
        <v>3735</v>
      </c>
      <c r="E1637" t="s">
        <v>5615</v>
      </c>
      <c r="F1637" t="s">
        <v>5616</v>
      </c>
      <c r="G1637" t="s">
        <v>5633</v>
      </c>
      <c r="H1637" s="6" t="s">
        <v>8279</v>
      </c>
    </row>
    <row r="1638" spans="1:8" ht="372" x14ac:dyDescent="0.2">
      <c r="A1638">
        <v>1636</v>
      </c>
      <c r="B1638" t="s">
        <v>1611</v>
      </c>
      <c r="C1638" t="s">
        <v>3051</v>
      </c>
      <c r="D1638" t="s">
        <v>3735</v>
      </c>
      <c r="E1638" t="s">
        <v>5615</v>
      </c>
      <c r="F1638" t="s">
        <v>5616</v>
      </c>
      <c r="G1638" t="s">
        <v>5634</v>
      </c>
      <c r="H1638" s="6" t="s">
        <v>8280</v>
      </c>
    </row>
    <row r="1639" spans="1:8" ht="85" x14ac:dyDescent="0.2">
      <c r="A1639">
        <v>1637</v>
      </c>
      <c r="B1639" t="s">
        <v>1611</v>
      </c>
      <c r="C1639" t="s">
        <v>3051</v>
      </c>
      <c r="D1639" t="s">
        <v>3735</v>
      </c>
      <c r="E1639" t="s">
        <v>5615</v>
      </c>
      <c r="F1639" t="s">
        <v>5616</v>
      </c>
      <c r="G1639" t="s">
        <v>5635</v>
      </c>
      <c r="H1639" s="6" t="s">
        <v>8281</v>
      </c>
    </row>
    <row r="1640" spans="1:8" ht="102" x14ac:dyDescent="0.2">
      <c r="A1640">
        <v>1638</v>
      </c>
      <c r="B1640" t="s">
        <v>1611</v>
      </c>
      <c r="C1640" t="s">
        <v>3051</v>
      </c>
      <c r="D1640" t="s">
        <v>3735</v>
      </c>
      <c r="E1640" t="s">
        <v>5615</v>
      </c>
      <c r="F1640" t="s">
        <v>5616</v>
      </c>
      <c r="G1640" t="s">
        <v>5636</v>
      </c>
      <c r="H1640" s="6" t="s">
        <v>8282</v>
      </c>
    </row>
    <row r="1641" spans="1:8" ht="102" x14ac:dyDescent="0.2">
      <c r="A1641">
        <v>1639</v>
      </c>
      <c r="B1641" t="s">
        <v>1611</v>
      </c>
      <c r="C1641" t="s">
        <v>3051</v>
      </c>
      <c r="D1641" t="s">
        <v>3735</v>
      </c>
      <c r="E1641" t="s">
        <v>5615</v>
      </c>
      <c r="F1641" t="s">
        <v>5616</v>
      </c>
      <c r="G1641" t="s">
        <v>5637</v>
      </c>
      <c r="H1641" s="6" t="s">
        <v>8283</v>
      </c>
    </row>
    <row r="1642" spans="1:8" ht="238" x14ac:dyDescent="0.2">
      <c r="A1642">
        <v>1640</v>
      </c>
      <c r="B1642" t="s">
        <v>1611</v>
      </c>
      <c r="C1642" t="s">
        <v>3051</v>
      </c>
      <c r="D1642" t="s">
        <v>3735</v>
      </c>
      <c r="E1642" t="s">
        <v>5615</v>
      </c>
      <c r="F1642" t="s">
        <v>5616</v>
      </c>
      <c r="G1642" t="s">
        <v>5638</v>
      </c>
      <c r="H1642" s="6" t="s">
        <v>8284</v>
      </c>
    </row>
    <row r="1643" spans="1:8" ht="85" x14ac:dyDescent="0.2">
      <c r="A1643">
        <v>1641</v>
      </c>
      <c r="B1643" t="s">
        <v>1611</v>
      </c>
      <c r="C1643" t="s">
        <v>3051</v>
      </c>
      <c r="D1643" t="s">
        <v>3735</v>
      </c>
      <c r="E1643" t="s">
        <v>5615</v>
      </c>
      <c r="F1643" t="s">
        <v>5616</v>
      </c>
      <c r="G1643" t="s">
        <v>5639</v>
      </c>
      <c r="H1643" s="6" t="s">
        <v>8285</v>
      </c>
    </row>
    <row r="1644" spans="1:8" ht="85" x14ac:dyDescent="0.2">
      <c r="A1644">
        <v>1642</v>
      </c>
      <c r="B1644" t="s">
        <v>1611</v>
      </c>
      <c r="C1644" t="s">
        <v>3051</v>
      </c>
      <c r="D1644" t="s">
        <v>3735</v>
      </c>
      <c r="E1644" t="s">
        <v>5615</v>
      </c>
      <c r="F1644" t="s">
        <v>5616</v>
      </c>
      <c r="G1644" t="s">
        <v>5640</v>
      </c>
      <c r="H1644" s="6" t="s">
        <v>8286</v>
      </c>
    </row>
    <row r="1645" spans="1:8" ht="85" x14ac:dyDescent="0.2">
      <c r="A1645">
        <v>1643</v>
      </c>
      <c r="B1645" t="s">
        <v>1611</v>
      </c>
      <c r="C1645" t="s">
        <v>3051</v>
      </c>
      <c r="D1645" t="s">
        <v>3735</v>
      </c>
      <c r="E1645" t="s">
        <v>5615</v>
      </c>
      <c r="F1645" t="s">
        <v>5616</v>
      </c>
      <c r="G1645" t="s">
        <v>5641</v>
      </c>
      <c r="H1645" s="6" t="s">
        <v>8287</v>
      </c>
    </row>
    <row r="1646" spans="1:8" ht="102" x14ac:dyDescent="0.2">
      <c r="A1646">
        <v>1644</v>
      </c>
      <c r="B1646" t="s">
        <v>1611</v>
      </c>
      <c r="C1646" t="s">
        <v>3051</v>
      </c>
      <c r="D1646" t="s">
        <v>3735</v>
      </c>
      <c r="E1646" t="s">
        <v>5615</v>
      </c>
      <c r="F1646" t="s">
        <v>5616</v>
      </c>
      <c r="G1646" t="s">
        <v>5642</v>
      </c>
      <c r="H1646" s="6" t="s">
        <v>8288</v>
      </c>
    </row>
    <row r="1647" spans="1:8" ht="119" x14ac:dyDescent="0.2">
      <c r="A1647">
        <v>1645</v>
      </c>
      <c r="B1647" t="s">
        <v>1611</v>
      </c>
      <c r="C1647" t="s">
        <v>3051</v>
      </c>
      <c r="D1647" t="s">
        <v>3735</v>
      </c>
      <c r="E1647" t="s">
        <v>5615</v>
      </c>
      <c r="F1647" t="s">
        <v>5616</v>
      </c>
      <c r="G1647" t="s">
        <v>5643</v>
      </c>
      <c r="H1647" s="6" t="s">
        <v>8289</v>
      </c>
    </row>
    <row r="1648" spans="1:8" ht="119" x14ac:dyDescent="0.2">
      <c r="A1648">
        <v>1646</v>
      </c>
      <c r="B1648" t="s">
        <v>1611</v>
      </c>
      <c r="C1648" t="s">
        <v>3051</v>
      </c>
      <c r="D1648" t="s">
        <v>3735</v>
      </c>
      <c r="E1648" t="s">
        <v>5615</v>
      </c>
      <c r="F1648" t="s">
        <v>5616</v>
      </c>
      <c r="G1648" t="s">
        <v>5644</v>
      </c>
      <c r="H1648" s="6" t="s">
        <v>8290</v>
      </c>
    </row>
    <row r="1649" spans="1:8" ht="119" x14ac:dyDescent="0.2">
      <c r="A1649">
        <v>1647</v>
      </c>
      <c r="B1649" t="s">
        <v>1611</v>
      </c>
      <c r="C1649" t="s">
        <v>3051</v>
      </c>
      <c r="D1649" t="s">
        <v>3735</v>
      </c>
      <c r="E1649" t="s">
        <v>5615</v>
      </c>
      <c r="F1649" t="s">
        <v>5616</v>
      </c>
      <c r="G1649" t="s">
        <v>5645</v>
      </c>
      <c r="H1649" s="6" t="s">
        <v>8291</v>
      </c>
    </row>
    <row r="1650" spans="1:8" ht="85" x14ac:dyDescent="0.2">
      <c r="A1650">
        <v>1648</v>
      </c>
      <c r="B1650" t="s">
        <v>1611</v>
      </c>
      <c r="C1650" t="s">
        <v>3051</v>
      </c>
      <c r="D1650" t="s">
        <v>3735</v>
      </c>
      <c r="E1650" t="s">
        <v>5615</v>
      </c>
      <c r="F1650" t="s">
        <v>5616</v>
      </c>
      <c r="G1650" t="s">
        <v>5646</v>
      </c>
      <c r="H1650" s="6" t="s">
        <v>8292</v>
      </c>
    </row>
    <row r="1651" spans="1:8" ht="187" x14ac:dyDescent="0.2">
      <c r="A1651">
        <v>1649</v>
      </c>
      <c r="B1651" t="s">
        <v>1611</v>
      </c>
      <c r="C1651" t="s">
        <v>3051</v>
      </c>
      <c r="D1651" t="s">
        <v>3735</v>
      </c>
      <c r="E1651" t="s">
        <v>5647</v>
      </c>
      <c r="F1651" t="s">
        <v>5648</v>
      </c>
      <c r="G1651" t="s">
        <v>5649</v>
      </c>
      <c r="H1651" s="6" t="s">
        <v>8293</v>
      </c>
    </row>
    <row r="1652" spans="1:8" ht="85" x14ac:dyDescent="0.2">
      <c r="A1652">
        <v>1650</v>
      </c>
      <c r="B1652" t="s">
        <v>1611</v>
      </c>
      <c r="C1652" t="s">
        <v>3051</v>
      </c>
      <c r="D1652" t="s">
        <v>3735</v>
      </c>
      <c r="E1652" t="s">
        <v>5647</v>
      </c>
      <c r="F1652" t="s">
        <v>5648</v>
      </c>
      <c r="G1652" t="s">
        <v>5650</v>
      </c>
      <c r="H1652" s="6" t="s">
        <v>8294</v>
      </c>
    </row>
    <row r="1653" spans="1:8" ht="102" x14ac:dyDescent="0.2">
      <c r="A1653">
        <v>1651</v>
      </c>
      <c r="B1653" t="s">
        <v>1611</v>
      </c>
      <c r="C1653" t="s">
        <v>3051</v>
      </c>
      <c r="D1653" t="s">
        <v>3735</v>
      </c>
      <c r="E1653" t="s">
        <v>5647</v>
      </c>
      <c r="F1653" t="s">
        <v>5648</v>
      </c>
      <c r="G1653" t="s">
        <v>5651</v>
      </c>
      <c r="H1653" s="6" t="s">
        <v>8295</v>
      </c>
    </row>
    <row r="1654" spans="1:8" ht="119" x14ac:dyDescent="0.2">
      <c r="A1654">
        <v>1652</v>
      </c>
      <c r="B1654" t="s">
        <v>1611</v>
      </c>
      <c r="C1654" t="s">
        <v>3051</v>
      </c>
      <c r="D1654" t="s">
        <v>3735</v>
      </c>
      <c r="E1654" t="s">
        <v>5647</v>
      </c>
      <c r="F1654" t="s">
        <v>5648</v>
      </c>
      <c r="G1654" t="s">
        <v>5652</v>
      </c>
      <c r="H1654" s="6" t="s">
        <v>8296</v>
      </c>
    </row>
    <row r="1655" spans="1:8" ht="170" x14ac:dyDescent="0.2">
      <c r="A1655">
        <v>1653</v>
      </c>
      <c r="B1655" t="s">
        <v>1611</v>
      </c>
      <c r="C1655" t="s">
        <v>3051</v>
      </c>
      <c r="D1655" t="s">
        <v>3735</v>
      </c>
      <c r="E1655" t="s">
        <v>5653</v>
      </c>
      <c r="F1655" t="s">
        <v>5654</v>
      </c>
      <c r="G1655" t="s">
        <v>5655</v>
      </c>
      <c r="H1655" s="6" t="s">
        <v>8297</v>
      </c>
    </row>
    <row r="1656" spans="1:8" ht="85" x14ac:dyDescent="0.2">
      <c r="A1656">
        <v>1654</v>
      </c>
      <c r="B1656" t="s">
        <v>1611</v>
      </c>
      <c r="C1656" t="s">
        <v>3051</v>
      </c>
      <c r="D1656" t="s">
        <v>3735</v>
      </c>
      <c r="E1656" t="s">
        <v>5653</v>
      </c>
      <c r="F1656" t="s">
        <v>5654</v>
      </c>
      <c r="G1656" t="s">
        <v>5656</v>
      </c>
      <c r="H1656" s="6" t="s">
        <v>8298</v>
      </c>
    </row>
    <row r="1657" spans="1:8" ht="102" x14ac:dyDescent="0.2">
      <c r="A1657">
        <v>1655</v>
      </c>
      <c r="B1657" t="s">
        <v>1611</v>
      </c>
      <c r="C1657" t="s">
        <v>3051</v>
      </c>
      <c r="D1657" t="s">
        <v>3735</v>
      </c>
      <c r="E1657" t="s">
        <v>5653</v>
      </c>
      <c r="F1657" t="s">
        <v>5654</v>
      </c>
      <c r="G1657" t="s">
        <v>5657</v>
      </c>
      <c r="H1657" s="6" t="s">
        <v>8299</v>
      </c>
    </row>
    <row r="1658" spans="1:8" ht="102" x14ac:dyDescent="0.2">
      <c r="A1658">
        <v>1656</v>
      </c>
      <c r="B1658" t="s">
        <v>1611</v>
      </c>
      <c r="C1658" t="s">
        <v>3051</v>
      </c>
      <c r="D1658" t="s">
        <v>3735</v>
      </c>
      <c r="E1658" t="s">
        <v>5653</v>
      </c>
      <c r="F1658" t="s">
        <v>5654</v>
      </c>
      <c r="G1658" t="s">
        <v>5658</v>
      </c>
      <c r="H1658" s="6" t="s">
        <v>8300</v>
      </c>
    </row>
    <row r="1659" spans="1:8" ht="119" x14ac:dyDescent="0.2">
      <c r="A1659">
        <v>1657</v>
      </c>
      <c r="B1659" t="s">
        <v>1611</v>
      </c>
      <c r="C1659" t="s">
        <v>3051</v>
      </c>
      <c r="D1659" t="s">
        <v>3735</v>
      </c>
      <c r="E1659" t="s">
        <v>5653</v>
      </c>
      <c r="F1659" t="s">
        <v>5654</v>
      </c>
      <c r="G1659" t="s">
        <v>5659</v>
      </c>
      <c r="H1659" s="6" t="s">
        <v>8301</v>
      </c>
    </row>
    <row r="1660" spans="1:8" ht="119" x14ac:dyDescent="0.2">
      <c r="A1660">
        <v>1658</v>
      </c>
      <c r="B1660" t="s">
        <v>1611</v>
      </c>
      <c r="C1660" t="s">
        <v>3051</v>
      </c>
      <c r="D1660" t="s">
        <v>3735</v>
      </c>
      <c r="E1660" t="s">
        <v>5653</v>
      </c>
      <c r="F1660" t="s">
        <v>5654</v>
      </c>
      <c r="G1660" t="s">
        <v>5660</v>
      </c>
      <c r="H1660" s="6" t="s">
        <v>8302</v>
      </c>
    </row>
    <row r="1661" spans="1:8" ht="238" x14ac:dyDescent="0.2">
      <c r="A1661">
        <v>1659</v>
      </c>
      <c r="B1661" t="s">
        <v>1611</v>
      </c>
      <c r="C1661" t="s">
        <v>3051</v>
      </c>
      <c r="D1661" t="s">
        <v>3735</v>
      </c>
      <c r="E1661" t="s">
        <v>5653</v>
      </c>
      <c r="F1661" t="s">
        <v>5654</v>
      </c>
      <c r="G1661" t="s">
        <v>5661</v>
      </c>
      <c r="H1661" s="6" t="s">
        <v>8303</v>
      </c>
    </row>
    <row r="1662" spans="1:8" ht="85" x14ac:dyDescent="0.2">
      <c r="A1662">
        <v>1660</v>
      </c>
      <c r="B1662" t="s">
        <v>1611</v>
      </c>
      <c r="C1662" t="s">
        <v>3051</v>
      </c>
      <c r="D1662" t="s">
        <v>3735</v>
      </c>
      <c r="E1662" t="s">
        <v>5653</v>
      </c>
      <c r="F1662" t="s">
        <v>5654</v>
      </c>
      <c r="G1662" t="s">
        <v>5662</v>
      </c>
      <c r="H1662" s="6" t="s">
        <v>8304</v>
      </c>
    </row>
    <row r="1663" spans="1:8" ht="119" x14ac:dyDescent="0.2">
      <c r="A1663">
        <v>1661</v>
      </c>
      <c r="B1663" t="s">
        <v>1611</v>
      </c>
      <c r="C1663" t="s">
        <v>3051</v>
      </c>
      <c r="D1663" t="s">
        <v>3735</v>
      </c>
      <c r="E1663" t="s">
        <v>5653</v>
      </c>
      <c r="F1663" t="s">
        <v>5654</v>
      </c>
      <c r="G1663" t="s">
        <v>5663</v>
      </c>
      <c r="H1663" s="6" t="s">
        <v>8305</v>
      </c>
    </row>
    <row r="1664" spans="1:8" ht="102" x14ac:dyDescent="0.2">
      <c r="A1664">
        <v>1662</v>
      </c>
      <c r="B1664" t="s">
        <v>1611</v>
      </c>
      <c r="C1664" t="s">
        <v>3051</v>
      </c>
      <c r="D1664" t="s">
        <v>3735</v>
      </c>
      <c r="E1664" t="s">
        <v>5653</v>
      </c>
      <c r="F1664" t="s">
        <v>5654</v>
      </c>
      <c r="G1664" t="s">
        <v>5664</v>
      </c>
      <c r="H1664" s="6" t="s">
        <v>8306</v>
      </c>
    </row>
    <row r="1665" spans="1:8" ht="85" x14ac:dyDescent="0.2">
      <c r="A1665">
        <v>1663</v>
      </c>
      <c r="B1665" t="s">
        <v>1611</v>
      </c>
      <c r="C1665" t="s">
        <v>3051</v>
      </c>
      <c r="D1665" t="s">
        <v>3735</v>
      </c>
      <c r="E1665" t="s">
        <v>5653</v>
      </c>
      <c r="F1665" t="s">
        <v>5654</v>
      </c>
      <c r="G1665" t="s">
        <v>5665</v>
      </c>
      <c r="H1665" s="6" t="s">
        <v>8307</v>
      </c>
    </row>
    <row r="1666" spans="1:8" ht="85" x14ac:dyDescent="0.2">
      <c r="A1666">
        <v>1664</v>
      </c>
      <c r="B1666" t="s">
        <v>1611</v>
      </c>
      <c r="C1666" t="s">
        <v>3051</v>
      </c>
      <c r="D1666" t="s">
        <v>3735</v>
      </c>
      <c r="E1666" t="s">
        <v>5653</v>
      </c>
      <c r="F1666" t="s">
        <v>5654</v>
      </c>
      <c r="G1666" t="s">
        <v>5666</v>
      </c>
      <c r="H1666" s="6" t="s">
        <v>8308</v>
      </c>
    </row>
    <row r="1667" spans="1:8" ht="85" x14ac:dyDescent="0.2">
      <c r="A1667">
        <v>1665</v>
      </c>
      <c r="B1667" t="s">
        <v>1611</v>
      </c>
      <c r="C1667" t="s">
        <v>3051</v>
      </c>
      <c r="D1667" t="s">
        <v>3735</v>
      </c>
      <c r="E1667" t="s">
        <v>5653</v>
      </c>
      <c r="F1667" t="s">
        <v>5654</v>
      </c>
      <c r="G1667" t="s">
        <v>5667</v>
      </c>
      <c r="H1667" s="6" t="s">
        <v>8309</v>
      </c>
    </row>
    <row r="1668" spans="1:8" ht="136" x14ac:dyDescent="0.2">
      <c r="A1668">
        <v>1666</v>
      </c>
      <c r="B1668" t="s">
        <v>1611</v>
      </c>
      <c r="C1668" t="s">
        <v>3051</v>
      </c>
      <c r="D1668" t="s">
        <v>3735</v>
      </c>
      <c r="E1668" t="s">
        <v>5653</v>
      </c>
      <c r="F1668" t="s">
        <v>5654</v>
      </c>
      <c r="G1668" t="s">
        <v>5668</v>
      </c>
      <c r="H1668" s="6" t="s">
        <v>8310</v>
      </c>
    </row>
    <row r="1669" spans="1:8" ht="102" x14ac:dyDescent="0.2">
      <c r="A1669">
        <v>1667</v>
      </c>
      <c r="B1669" t="s">
        <v>1611</v>
      </c>
      <c r="C1669" t="s">
        <v>3051</v>
      </c>
      <c r="D1669" t="s">
        <v>3735</v>
      </c>
      <c r="E1669" t="s">
        <v>5653</v>
      </c>
      <c r="F1669" t="s">
        <v>5654</v>
      </c>
      <c r="G1669" t="s">
        <v>5669</v>
      </c>
      <c r="H1669" s="6" t="s">
        <v>8311</v>
      </c>
    </row>
    <row r="1670" spans="1:8" ht="85" x14ac:dyDescent="0.2">
      <c r="A1670">
        <v>1668</v>
      </c>
      <c r="B1670" t="s">
        <v>1611</v>
      </c>
      <c r="C1670" t="s">
        <v>3051</v>
      </c>
      <c r="D1670" t="s">
        <v>3735</v>
      </c>
      <c r="E1670" t="s">
        <v>5653</v>
      </c>
      <c r="F1670" t="s">
        <v>5654</v>
      </c>
      <c r="G1670" t="s">
        <v>5670</v>
      </c>
      <c r="H1670" s="6" t="s">
        <v>8312</v>
      </c>
    </row>
    <row r="1671" spans="1:8" ht="102" x14ac:dyDescent="0.2">
      <c r="A1671">
        <v>1669</v>
      </c>
      <c r="B1671" t="s">
        <v>1611</v>
      </c>
      <c r="C1671" t="s">
        <v>3051</v>
      </c>
      <c r="D1671" t="s">
        <v>3735</v>
      </c>
      <c r="E1671" t="s">
        <v>5653</v>
      </c>
      <c r="F1671" t="s">
        <v>5654</v>
      </c>
      <c r="G1671" t="s">
        <v>5671</v>
      </c>
      <c r="H1671" s="6" t="s">
        <v>8313</v>
      </c>
    </row>
    <row r="1672" spans="1:8" ht="204" x14ac:dyDescent="0.2">
      <c r="A1672">
        <v>1670</v>
      </c>
      <c r="B1672" t="s">
        <v>1611</v>
      </c>
      <c r="C1672" t="s">
        <v>3051</v>
      </c>
      <c r="D1672" t="s">
        <v>3735</v>
      </c>
      <c r="E1672" t="s">
        <v>5653</v>
      </c>
      <c r="F1672" t="s">
        <v>5654</v>
      </c>
      <c r="G1672" t="s">
        <v>5672</v>
      </c>
      <c r="H1672" s="6" t="s">
        <v>8314</v>
      </c>
    </row>
    <row r="1673" spans="1:8" ht="85" x14ac:dyDescent="0.2">
      <c r="A1673">
        <v>1671</v>
      </c>
      <c r="B1673" t="s">
        <v>1611</v>
      </c>
      <c r="C1673" t="s">
        <v>3051</v>
      </c>
      <c r="D1673" t="s">
        <v>3735</v>
      </c>
      <c r="E1673" t="s">
        <v>5653</v>
      </c>
      <c r="F1673" t="s">
        <v>5654</v>
      </c>
      <c r="G1673" t="s">
        <v>5673</v>
      </c>
      <c r="H1673" s="6" t="s">
        <v>8304</v>
      </c>
    </row>
    <row r="1674" spans="1:8" ht="119" x14ac:dyDescent="0.2">
      <c r="A1674">
        <v>1672</v>
      </c>
      <c r="B1674" t="s">
        <v>1611</v>
      </c>
      <c r="C1674" t="s">
        <v>3051</v>
      </c>
      <c r="D1674" t="s">
        <v>3735</v>
      </c>
      <c r="E1674" t="s">
        <v>5653</v>
      </c>
      <c r="F1674" t="s">
        <v>5654</v>
      </c>
      <c r="G1674" t="s">
        <v>5674</v>
      </c>
      <c r="H1674" s="6" t="s">
        <v>8305</v>
      </c>
    </row>
    <row r="1675" spans="1:8" ht="85" x14ac:dyDescent="0.2">
      <c r="A1675">
        <v>1673</v>
      </c>
      <c r="B1675" t="s">
        <v>1611</v>
      </c>
      <c r="C1675" t="s">
        <v>3051</v>
      </c>
      <c r="D1675" t="s">
        <v>3735</v>
      </c>
      <c r="E1675" t="s">
        <v>5653</v>
      </c>
      <c r="F1675" t="s">
        <v>5654</v>
      </c>
      <c r="G1675" t="s">
        <v>5675</v>
      </c>
      <c r="H1675" s="6" t="s">
        <v>8315</v>
      </c>
    </row>
    <row r="1676" spans="1:8" ht="85" x14ac:dyDescent="0.2">
      <c r="A1676">
        <v>1674</v>
      </c>
      <c r="B1676" t="s">
        <v>1611</v>
      </c>
      <c r="C1676" t="s">
        <v>3051</v>
      </c>
      <c r="D1676" t="s">
        <v>3735</v>
      </c>
      <c r="E1676" t="s">
        <v>5653</v>
      </c>
      <c r="F1676" t="s">
        <v>5654</v>
      </c>
      <c r="G1676" t="s">
        <v>5676</v>
      </c>
      <c r="H1676" s="6" t="s">
        <v>8316</v>
      </c>
    </row>
    <row r="1677" spans="1:8" ht="85" x14ac:dyDescent="0.2">
      <c r="A1677">
        <v>1675</v>
      </c>
      <c r="B1677" t="s">
        <v>1611</v>
      </c>
      <c r="C1677" t="s">
        <v>3051</v>
      </c>
      <c r="D1677" t="s">
        <v>3735</v>
      </c>
      <c r="E1677" t="s">
        <v>5653</v>
      </c>
      <c r="F1677" t="s">
        <v>5654</v>
      </c>
      <c r="G1677" t="s">
        <v>5677</v>
      </c>
      <c r="H1677" s="6" t="s">
        <v>8317</v>
      </c>
    </row>
    <row r="1678" spans="1:8" ht="238" x14ac:dyDescent="0.2">
      <c r="A1678">
        <v>1676</v>
      </c>
      <c r="B1678" t="s">
        <v>1611</v>
      </c>
      <c r="C1678" t="s">
        <v>3051</v>
      </c>
      <c r="D1678" t="s">
        <v>3735</v>
      </c>
      <c r="E1678" t="s">
        <v>5678</v>
      </c>
      <c r="F1678" t="s">
        <v>4384</v>
      </c>
      <c r="G1678" t="s">
        <v>5679</v>
      </c>
      <c r="H1678" s="6" t="s">
        <v>8318</v>
      </c>
    </row>
    <row r="1679" spans="1:8" ht="102" x14ac:dyDescent="0.2">
      <c r="A1679">
        <v>1677</v>
      </c>
      <c r="B1679" t="s">
        <v>1611</v>
      </c>
      <c r="C1679" t="s">
        <v>3051</v>
      </c>
      <c r="D1679" t="s">
        <v>3735</v>
      </c>
      <c r="E1679" t="s">
        <v>5678</v>
      </c>
      <c r="F1679" t="s">
        <v>4384</v>
      </c>
      <c r="G1679" t="s">
        <v>5680</v>
      </c>
      <c r="H1679" s="6" t="s">
        <v>8319</v>
      </c>
    </row>
    <row r="1680" spans="1:8" ht="102" x14ac:dyDescent="0.2">
      <c r="A1680">
        <v>1678</v>
      </c>
      <c r="B1680" t="s">
        <v>1611</v>
      </c>
      <c r="C1680" t="s">
        <v>3051</v>
      </c>
      <c r="D1680" t="s">
        <v>3735</v>
      </c>
      <c r="E1680" t="s">
        <v>5678</v>
      </c>
      <c r="F1680" t="s">
        <v>4384</v>
      </c>
      <c r="G1680" t="s">
        <v>5681</v>
      </c>
      <c r="H1680" s="6" t="s">
        <v>8320</v>
      </c>
    </row>
    <row r="1681" spans="1:8" ht="85" x14ac:dyDescent="0.2">
      <c r="A1681">
        <v>1679</v>
      </c>
      <c r="B1681" t="s">
        <v>1611</v>
      </c>
      <c r="C1681" t="s">
        <v>3051</v>
      </c>
      <c r="D1681" t="s">
        <v>3735</v>
      </c>
      <c r="E1681" t="s">
        <v>5678</v>
      </c>
      <c r="F1681" t="s">
        <v>4384</v>
      </c>
      <c r="G1681" t="s">
        <v>5682</v>
      </c>
      <c r="H1681" s="6" t="s">
        <v>8321</v>
      </c>
    </row>
    <row r="1682" spans="1:8" ht="119" x14ac:dyDescent="0.2">
      <c r="A1682">
        <v>1680</v>
      </c>
      <c r="B1682" t="s">
        <v>1611</v>
      </c>
      <c r="C1682" t="s">
        <v>3051</v>
      </c>
      <c r="D1682" t="s">
        <v>3735</v>
      </c>
      <c r="E1682" t="s">
        <v>5678</v>
      </c>
      <c r="F1682" t="s">
        <v>4384</v>
      </c>
      <c r="G1682" t="s">
        <v>5683</v>
      </c>
      <c r="H1682" s="6" t="s">
        <v>8322</v>
      </c>
    </row>
    <row r="1683" spans="1:8" ht="102" x14ac:dyDescent="0.2">
      <c r="A1683">
        <v>1681</v>
      </c>
      <c r="B1683" t="s">
        <v>1611</v>
      </c>
      <c r="C1683" t="s">
        <v>3051</v>
      </c>
      <c r="D1683" t="s">
        <v>3735</v>
      </c>
      <c r="E1683" t="s">
        <v>5678</v>
      </c>
      <c r="F1683" t="s">
        <v>4384</v>
      </c>
      <c r="G1683" t="s">
        <v>5684</v>
      </c>
      <c r="H1683" s="6" t="s">
        <v>8323</v>
      </c>
    </row>
    <row r="1684" spans="1:8" ht="187" x14ac:dyDescent="0.2">
      <c r="A1684">
        <v>1682</v>
      </c>
      <c r="B1684" t="s">
        <v>1611</v>
      </c>
      <c r="C1684" t="s">
        <v>3051</v>
      </c>
      <c r="D1684" t="s">
        <v>3735</v>
      </c>
      <c r="E1684" t="s">
        <v>5678</v>
      </c>
      <c r="F1684" t="s">
        <v>4384</v>
      </c>
      <c r="G1684" t="s">
        <v>5685</v>
      </c>
      <c r="H1684" s="6" t="s">
        <v>8324</v>
      </c>
    </row>
    <row r="1685" spans="1:8" ht="85" x14ac:dyDescent="0.2">
      <c r="A1685">
        <v>1683</v>
      </c>
      <c r="B1685" t="s">
        <v>1611</v>
      </c>
      <c r="C1685" t="s">
        <v>3051</v>
      </c>
      <c r="D1685" t="s">
        <v>3735</v>
      </c>
      <c r="E1685" t="s">
        <v>5678</v>
      </c>
      <c r="F1685" t="s">
        <v>4384</v>
      </c>
      <c r="G1685" t="s">
        <v>5686</v>
      </c>
      <c r="H1685" s="6" t="s">
        <v>8325</v>
      </c>
    </row>
    <row r="1686" spans="1:8" ht="102" x14ac:dyDescent="0.2">
      <c r="A1686">
        <v>1684</v>
      </c>
      <c r="B1686" t="s">
        <v>1611</v>
      </c>
      <c r="C1686" t="s">
        <v>3051</v>
      </c>
      <c r="D1686" t="s">
        <v>3735</v>
      </c>
      <c r="E1686" t="s">
        <v>5678</v>
      </c>
      <c r="F1686" t="s">
        <v>4384</v>
      </c>
      <c r="G1686" t="s">
        <v>5687</v>
      </c>
      <c r="H1686" s="6" t="s">
        <v>8326</v>
      </c>
    </row>
    <row r="1687" spans="1:8" ht="119" x14ac:dyDescent="0.2">
      <c r="A1687">
        <v>1685</v>
      </c>
      <c r="B1687" t="s">
        <v>1611</v>
      </c>
      <c r="C1687" t="s">
        <v>3051</v>
      </c>
      <c r="D1687" t="s">
        <v>3735</v>
      </c>
      <c r="E1687" t="s">
        <v>5678</v>
      </c>
      <c r="F1687" t="s">
        <v>4384</v>
      </c>
      <c r="G1687" t="s">
        <v>5688</v>
      </c>
      <c r="H1687" s="6" t="s">
        <v>8327</v>
      </c>
    </row>
    <row r="1688" spans="1:8" ht="85" x14ac:dyDescent="0.2">
      <c r="A1688">
        <v>1686</v>
      </c>
      <c r="B1688" t="s">
        <v>1611</v>
      </c>
      <c r="C1688" t="s">
        <v>3051</v>
      </c>
      <c r="D1688" t="s">
        <v>3735</v>
      </c>
      <c r="E1688" t="s">
        <v>5678</v>
      </c>
      <c r="F1688" t="s">
        <v>4384</v>
      </c>
      <c r="G1688" t="s">
        <v>5689</v>
      </c>
      <c r="H1688" s="6" t="s">
        <v>8328</v>
      </c>
    </row>
    <row r="1689" spans="1:8" ht="85" x14ac:dyDescent="0.2">
      <c r="A1689">
        <v>1687</v>
      </c>
      <c r="B1689" t="s">
        <v>1611</v>
      </c>
      <c r="C1689" t="s">
        <v>3051</v>
      </c>
      <c r="D1689" t="s">
        <v>3735</v>
      </c>
      <c r="E1689" t="s">
        <v>5678</v>
      </c>
      <c r="F1689" t="s">
        <v>4384</v>
      </c>
      <c r="G1689" t="s">
        <v>5690</v>
      </c>
      <c r="H1689" s="6" t="s">
        <v>8329</v>
      </c>
    </row>
    <row r="1690" spans="1:8" ht="102" x14ac:dyDescent="0.2">
      <c r="A1690">
        <v>1688</v>
      </c>
      <c r="B1690" t="s">
        <v>1611</v>
      </c>
      <c r="C1690" t="s">
        <v>3051</v>
      </c>
      <c r="D1690" t="s">
        <v>3735</v>
      </c>
      <c r="E1690" t="s">
        <v>5678</v>
      </c>
      <c r="F1690" t="s">
        <v>4384</v>
      </c>
      <c r="G1690" t="s">
        <v>5691</v>
      </c>
      <c r="H1690" s="6" t="s">
        <v>8330</v>
      </c>
    </row>
    <row r="1691" spans="1:8" ht="204" x14ac:dyDescent="0.2">
      <c r="A1691">
        <v>1689</v>
      </c>
      <c r="B1691" t="s">
        <v>1611</v>
      </c>
      <c r="C1691" t="s">
        <v>3051</v>
      </c>
      <c r="D1691" t="s">
        <v>3735</v>
      </c>
      <c r="E1691" t="s">
        <v>5678</v>
      </c>
      <c r="F1691" t="s">
        <v>4384</v>
      </c>
      <c r="G1691" t="s">
        <v>5692</v>
      </c>
      <c r="H1691" s="6" t="s">
        <v>8331</v>
      </c>
    </row>
    <row r="1692" spans="1:8" ht="102" x14ac:dyDescent="0.2">
      <c r="A1692">
        <v>1690</v>
      </c>
      <c r="B1692" t="s">
        <v>1611</v>
      </c>
      <c r="C1692" t="s">
        <v>3051</v>
      </c>
      <c r="D1692" t="s">
        <v>3735</v>
      </c>
      <c r="E1692" t="s">
        <v>5678</v>
      </c>
      <c r="F1692" t="s">
        <v>4384</v>
      </c>
      <c r="G1692" t="s">
        <v>5693</v>
      </c>
      <c r="H1692" s="6" t="s">
        <v>8332</v>
      </c>
    </row>
    <row r="1693" spans="1:8" ht="102" x14ac:dyDescent="0.2">
      <c r="A1693">
        <v>1691</v>
      </c>
      <c r="B1693" t="s">
        <v>1611</v>
      </c>
      <c r="C1693" t="s">
        <v>3051</v>
      </c>
      <c r="D1693" t="s">
        <v>3735</v>
      </c>
      <c r="E1693" t="s">
        <v>5678</v>
      </c>
      <c r="F1693" t="s">
        <v>4384</v>
      </c>
      <c r="G1693" t="s">
        <v>5694</v>
      </c>
      <c r="H1693" s="6" t="s">
        <v>8333</v>
      </c>
    </row>
    <row r="1694" spans="1:8" ht="119" x14ac:dyDescent="0.2">
      <c r="A1694">
        <v>1692</v>
      </c>
      <c r="B1694" t="s">
        <v>1611</v>
      </c>
      <c r="C1694" t="s">
        <v>3051</v>
      </c>
      <c r="D1694" t="s">
        <v>3735</v>
      </c>
      <c r="E1694" t="s">
        <v>5678</v>
      </c>
      <c r="F1694" t="s">
        <v>4384</v>
      </c>
      <c r="G1694" t="s">
        <v>5695</v>
      </c>
      <c r="H1694" s="6" t="s">
        <v>8334</v>
      </c>
    </row>
    <row r="1695" spans="1:8" ht="119" x14ac:dyDescent="0.2">
      <c r="A1695">
        <v>1693</v>
      </c>
      <c r="B1695" t="s">
        <v>1611</v>
      </c>
      <c r="C1695" t="s">
        <v>3051</v>
      </c>
      <c r="D1695" t="s">
        <v>3735</v>
      </c>
      <c r="E1695" t="s">
        <v>5678</v>
      </c>
      <c r="F1695" t="s">
        <v>4384</v>
      </c>
      <c r="G1695" t="s">
        <v>5696</v>
      </c>
      <c r="H1695" s="6" t="s">
        <v>8335</v>
      </c>
    </row>
    <row r="1696" spans="1:8" ht="102" x14ac:dyDescent="0.2">
      <c r="A1696">
        <v>1694</v>
      </c>
      <c r="B1696" t="s">
        <v>1611</v>
      </c>
      <c r="C1696" t="s">
        <v>3051</v>
      </c>
      <c r="D1696" t="s">
        <v>3735</v>
      </c>
      <c r="E1696" t="s">
        <v>5678</v>
      </c>
      <c r="F1696" t="s">
        <v>4384</v>
      </c>
      <c r="G1696" t="s">
        <v>5697</v>
      </c>
      <c r="H1696" s="6" t="s">
        <v>8336</v>
      </c>
    </row>
    <row r="1697" spans="1:8" ht="85" x14ac:dyDescent="0.2">
      <c r="A1697">
        <v>1695</v>
      </c>
      <c r="B1697" t="s">
        <v>1611</v>
      </c>
      <c r="C1697" t="s">
        <v>3051</v>
      </c>
      <c r="D1697" t="s">
        <v>3735</v>
      </c>
      <c r="E1697" t="s">
        <v>5678</v>
      </c>
      <c r="F1697" t="s">
        <v>4384</v>
      </c>
      <c r="G1697" t="s">
        <v>5698</v>
      </c>
      <c r="H1697" s="6" t="s">
        <v>8337</v>
      </c>
    </row>
    <row r="1698" spans="1:8" ht="102" x14ac:dyDescent="0.2">
      <c r="A1698">
        <v>1696</v>
      </c>
      <c r="B1698" t="s">
        <v>1611</v>
      </c>
      <c r="C1698" t="s">
        <v>3051</v>
      </c>
      <c r="D1698" t="s">
        <v>3735</v>
      </c>
      <c r="E1698" t="s">
        <v>5678</v>
      </c>
      <c r="F1698" t="s">
        <v>4384</v>
      </c>
      <c r="G1698" t="s">
        <v>5699</v>
      </c>
      <c r="H1698" s="6" t="s">
        <v>8338</v>
      </c>
    </row>
    <row r="1699" spans="1:8" ht="119" x14ac:dyDescent="0.2">
      <c r="A1699">
        <v>1697</v>
      </c>
      <c r="B1699" t="s">
        <v>1611</v>
      </c>
      <c r="C1699" t="s">
        <v>3051</v>
      </c>
      <c r="D1699" t="s">
        <v>3735</v>
      </c>
      <c r="E1699" t="s">
        <v>5678</v>
      </c>
      <c r="F1699" t="s">
        <v>4384</v>
      </c>
      <c r="G1699" t="s">
        <v>5700</v>
      </c>
      <c r="H1699" s="6" t="s">
        <v>8339</v>
      </c>
    </row>
    <row r="1700" spans="1:8" ht="136" x14ac:dyDescent="0.2">
      <c r="A1700">
        <v>1698</v>
      </c>
      <c r="B1700" t="s">
        <v>1611</v>
      </c>
      <c r="C1700" t="s">
        <v>3051</v>
      </c>
      <c r="D1700" t="s">
        <v>3735</v>
      </c>
      <c r="E1700" t="s">
        <v>5678</v>
      </c>
      <c r="F1700" t="s">
        <v>4384</v>
      </c>
      <c r="G1700" t="s">
        <v>5701</v>
      </c>
      <c r="H1700" s="6" t="s">
        <v>8340</v>
      </c>
    </row>
    <row r="1701" spans="1:8" ht="409.6" x14ac:dyDescent="0.2">
      <c r="A1701">
        <v>1699</v>
      </c>
      <c r="B1701" t="s">
        <v>1611</v>
      </c>
      <c r="C1701" t="s">
        <v>3051</v>
      </c>
      <c r="D1701" t="s">
        <v>3735</v>
      </c>
      <c r="E1701" t="s">
        <v>5678</v>
      </c>
      <c r="F1701" t="s">
        <v>4384</v>
      </c>
      <c r="G1701" t="s">
        <v>5702</v>
      </c>
      <c r="H1701" s="6" t="s">
        <v>8341</v>
      </c>
    </row>
    <row r="1702" spans="1:8" ht="102" x14ac:dyDescent="0.2">
      <c r="A1702">
        <v>1700</v>
      </c>
      <c r="B1702" t="s">
        <v>1611</v>
      </c>
      <c r="C1702" t="s">
        <v>3051</v>
      </c>
      <c r="D1702" t="s">
        <v>3735</v>
      </c>
      <c r="E1702" t="s">
        <v>5678</v>
      </c>
      <c r="F1702" t="s">
        <v>4384</v>
      </c>
      <c r="G1702" t="s">
        <v>5703</v>
      </c>
      <c r="H1702" s="6" t="s">
        <v>8342</v>
      </c>
    </row>
    <row r="1703" spans="1:8" ht="153" x14ac:dyDescent="0.2">
      <c r="A1703">
        <v>1701</v>
      </c>
      <c r="B1703" t="s">
        <v>1611</v>
      </c>
      <c r="C1703" t="s">
        <v>3051</v>
      </c>
      <c r="D1703" t="s">
        <v>3735</v>
      </c>
      <c r="E1703" t="s">
        <v>5678</v>
      </c>
      <c r="F1703" t="s">
        <v>4384</v>
      </c>
      <c r="G1703" t="s">
        <v>5704</v>
      </c>
      <c r="H1703" s="6" t="s">
        <v>8343</v>
      </c>
    </row>
    <row r="1704" spans="1:8" ht="153" x14ac:dyDescent="0.2">
      <c r="A1704">
        <v>1702</v>
      </c>
      <c r="B1704" t="s">
        <v>1611</v>
      </c>
      <c r="C1704" t="s">
        <v>3051</v>
      </c>
      <c r="D1704" t="s">
        <v>3735</v>
      </c>
      <c r="E1704" t="s">
        <v>5678</v>
      </c>
      <c r="F1704" t="s">
        <v>4384</v>
      </c>
      <c r="G1704" t="s">
        <v>5705</v>
      </c>
      <c r="H1704" s="6" t="s">
        <v>8344</v>
      </c>
    </row>
    <row r="1705" spans="1:8" ht="119" x14ac:dyDescent="0.2">
      <c r="A1705">
        <v>1703</v>
      </c>
      <c r="B1705" t="s">
        <v>1611</v>
      </c>
      <c r="C1705" t="s">
        <v>3051</v>
      </c>
      <c r="D1705" t="s">
        <v>3735</v>
      </c>
      <c r="E1705" t="s">
        <v>5678</v>
      </c>
      <c r="F1705" t="s">
        <v>4384</v>
      </c>
      <c r="G1705" t="s">
        <v>5706</v>
      </c>
      <c r="H1705" s="6" t="s">
        <v>8345</v>
      </c>
    </row>
    <row r="1706" spans="1:8" ht="102" x14ac:dyDescent="0.2">
      <c r="A1706">
        <v>1704</v>
      </c>
      <c r="B1706" t="s">
        <v>1611</v>
      </c>
      <c r="C1706" t="s">
        <v>3051</v>
      </c>
      <c r="D1706" t="s">
        <v>3735</v>
      </c>
      <c r="E1706" t="s">
        <v>5678</v>
      </c>
      <c r="F1706" t="s">
        <v>4384</v>
      </c>
      <c r="G1706" t="s">
        <v>5707</v>
      </c>
      <c r="H1706" s="6" t="s">
        <v>8346</v>
      </c>
    </row>
    <row r="1707" spans="1:8" ht="102" x14ac:dyDescent="0.2">
      <c r="A1707">
        <v>1705</v>
      </c>
      <c r="B1707" t="s">
        <v>1611</v>
      </c>
      <c r="C1707" t="s">
        <v>3051</v>
      </c>
      <c r="D1707" t="s">
        <v>3735</v>
      </c>
      <c r="E1707" t="s">
        <v>5678</v>
      </c>
      <c r="F1707" t="s">
        <v>4384</v>
      </c>
      <c r="G1707" t="s">
        <v>5708</v>
      </c>
      <c r="H1707" s="6" t="s">
        <v>8347</v>
      </c>
    </row>
    <row r="1708" spans="1:8" ht="187" x14ac:dyDescent="0.2">
      <c r="A1708">
        <v>1706</v>
      </c>
      <c r="B1708" t="s">
        <v>1611</v>
      </c>
      <c r="C1708" t="s">
        <v>3051</v>
      </c>
      <c r="D1708" t="s">
        <v>3735</v>
      </c>
      <c r="E1708" t="s">
        <v>5709</v>
      </c>
      <c r="F1708" t="s">
        <v>4407</v>
      </c>
      <c r="G1708" t="s">
        <v>5710</v>
      </c>
      <c r="H1708" s="6" t="s">
        <v>8348</v>
      </c>
    </row>
    <row r="1709" spans="1:8" ht="119" x14ac:dyDescent="0.2">
      <c r="A1709">
        <v>1707</v>
      </c>
      <c r="B1709" t="s">
        <v>1611</v>
      </c>
      <c r="C1709" t="s">
        <v>3051</v>
      </c>
      <c r="D1709" t="s">
        <v>3735</v>
      </c>
      <c r="E1709" t="s">
        <v>5709</v>
      </c>
      <c r="F1709" t="s">
        <v>4407</v>
      </c>
      <c r="G1709" t="s">
        <v>5711</v>
      </c>
      <c r="H1709" s="6" t="s">
        <v>8349</v>
      </c>
    </row>
    <row r="1710" spans="1:8" ht="136" x14ac:dyDescent="0.2">
      <c r="A1710">
        <v>1708</v>
      </c>
      <c r="B1710" t="s">
        <v>1611</v>
      </c>
      <c r="C1710" t="s">
        <v>3051</v>
      </c>
      <c r="D1710" t="s">
        <v>3735</v>
      </c>
      <c r="E1710" t="s">
        <v>5709</v>
      </c>
      <c r="F1710" t="s">
        <v>4407</v>
      </c>
      <c r="G1710" t="s">
        <v>5712</v>
      </c>
      <c r="H1710" s="6" t="s">
        <v>8350</v>
      </c>
    </row>
    <row r="1711" spans="1:8" ht="119" x14ac:dyDescent="0.2">
      <c r="A1711">
        <v>1709</v>
      </c>
      <c r="B1711" t="s">
        <v>1611</v>
      </c>
      <c r="C1711" t="s">
        <v>3051</v>
      </c>
      <c r="D1711" t="s">
        <v>3735</v>
      </c>
      <c r="E1711" t="s">
        <v>5709</v>
      </c>
      <c r="F1711" t="s">
        <v>4407</v>
      </c>
      <c r="G1711" t="s">
        <v>5713</v>
      </c>
      <c r="H1711" s="6" t="s">
        <v>8351</v>
      </c>
    </row>
    <row r="1712" spans="1:8" ht="85" x14ac:dyDescent="0.2">
      <c r="A1712">
        <v>1710</v>
      </c>
      <c r="B1712" t="s">
        <v>1611</v>
      </c>
      <c r="C1712" t="s">
        <v>3051</v>
      </c>
      <c r="D1712" t="s">
        <v>3735</v>
      </c>
      <c r="E1712" t="s">
        <v>5709</v>
      </c>
      <c r="F1712" t="s">
        <v>4407</v>
      </c>
      <c r="G1712" t="s">
        <v>5714</v>
      </c>
      <c r="H1712" s="6" t="s">
        <v>8352</v>
      </c>
    </row>
    <row r="1713" spans="1:8" ht="85" x14ac:dyDescent="0.2">
      <c r="A1713">
        <v>1711</v>
      </c>
      <c r="B1713" t="s">
        <v>1611</v>
      </c>
      <c r="C1713" t="s">
        <v>3051</v>
      </c>
      <c r="D1713" t="s">
        <v>3735</v>
      </c>
      <c r="E1713" t="s">
        <v>5709</v>
      </c>
      <c r="F1713" t="s">
        <v>4407</v>
      </c>
      <c r="G1713" t="s">
        <v>5715</v>
      </c>
      <c r="H1713" s="6" t="s">
        <v>8353</v>
      </c>
    </row>
    <row r="1714" spans="1:8" ht="85" x14ac:dyDescent="0.2">
      <c r="A1714">
        <v>1712</v>
      </c>
      <c r="B1714" t="s">
        <v>1611</v>
      </c>
      <c r="C1714" t="s">
        <v>3051</v>
      </c>
      <c r="D1714" t="s">
        <v>3735</v>
      </c>
      <c r="E1714" t="s">
        <v>5709</v>
      </c>
      <c r="F1714" t="s">
        <v>4407</v>
      </c>
      <c r="G1714" t="s">
        <v>5716</v>
      </c>
      <c r="H1714" s="6" t="s">
        <v>8354</v>
      </c>
    </row>
    <row r="1715" spans="1:8" ht="204" x14ac:dyDescent="0.2">
      <c r="A1715">
        <v>1713</v>
      </c>
      <c r="B1715" t="s">
        <v>1611</v>
      </c>
      <c r="C1715" t="s">
        <v>3051</v>
      </c>
      <c r="D1715" t="s">
        <v>3735</v>
      </c>
      <c r="E1715" t="s">
        <v>5709</v>
      </c>
      <c r="F1715" t="s">
        <v>4407</v>
      </c>
      <c r="G1715" t="s">
        <v>5717</v>
      </c>
      <c r="H1715" s="6" t="s">
        <v>8355</v>
      </c>
    </row>
    <row r="1716" spans="1:8" ht="102" x14ac:dyDescent="0.2">
      <c r="A1716">
        <v>1714</v>
      </c>
      <c r="B1716" t="s">
        <v>1611</v>
      </c>
      <c r="C1716" t="s">
        <v>3051</v>
      </c>
      <c r="D1716" t="s">
        <v>3735</v>
      </c>
      <c r="E1716" t="s">
        <v>5709</v>
      </c>
      <c r="F1716" t="s">
        <v>4407</v>
      </c>
      <c r="G1716" t="s">
        <v>5718</v>
      </c>
      <c r="H1716" s="6" t="s">
        <v>8356</v>
      </c>
    </row>
    <row r="1717" spans="1:8" ht="102" x14ac:dyDescent="0.2">
      <c r="A1717">
        <v>1715</v>
      </c>
      <c r="B1717" t="s">
        <v>1611</v>
      </c>
      <c r="C1717" t="s">
        <v>3051</v>
      </c>
      <c r="D1717" t="s">
        <v>3735</v>
      </c>
      <c r="E1717" t="s">
        <v>5709</v>
      </c>
      <c r="F1717" t="s">
        <v>4407</v>
      </c>
      <c r="G1717" t="s">
        <v>5719</v>
      </c>
      <c r="H1717" s="6" t="s">
        <v>8357</v>
      </c>
    </row>
    <row r="1718" spans="1:8" ht="119" x14ac:dyDescent="0.2">
      <c r="A1718">
        <v>1716</v>
      </c>
      <c r="B1718" t="s">
        <v>1611</v>
      </c>
      <c r="C1718" t="s">
        <v>3051</v>
      </c>
      <c r="D1718" t="s">
        <v>3735</v>
      </c>
      <c r="E1718" t="s">
        <v>5709</v>
      </c>
      <c r="F1718" t="s">
        <v>4407</v>
      </c>
      <c r="G1718" t="s">
        <v>5720</v>
      </c>
      <c r="H1718" s="6" t="s">
        <v>8358</v>
      </c>
    </row>
    <row r="1719" spans="1:8" ht="102" x14ac:dyDescent="0.2">
      <c r="A1719">
        <v>1717</v>
      </c>
      <c r="B1719" t="s">
        <v>1611</v>
      </c>
      <c r="C1719" t="s">
        <v>3051</v>
      </c>
      <c r="D1719" t="s">
        <v>3735</v>
      </c>
      <c r="E1719" t="s">
        <v>5709</v>
      </c>
      <c r="F1719" t="s">
        <v>4407</v>
      </c>
      <c r="G1719" t="s">
        <v>5721</v>
      </c>
      <c r="H1719" s="6" t="s">
        <v>8359</v>
      </c>
    </row>
    <row r="1720" spans="1:8" ht="85" x14ac:dyDescent="0.2">
      <c r="A1720">
        <v>1718</v>
      </c>
      <c r="B1720" t="s">
        <v>1611</v>
      </c>
      <c r="C1720" t="s">
        <v>3051</v>
      </c>
      <c r="D1720" t="s">
        <v>3735</v>
      </c>
      <c r="E1720" t="s">
        <v>5709</v>
      </c>
      <c r="F1720" t="s">
        <v>4407</v>
      </c>
      <c r="G1720" t="s">
        <v>5722</v>
      </c>
      <c r="H1720" s="6" t="s">
        <v>8360</v>
      </c>
    </row>
    <row r="1721" spans="1:8" ht="85" x14ac:dyDescent="0.2">
      <c r="A1721">
        <v>1719</v>
      </c>
      <c r="B1721" t="s">
        <v>1611</v>
      </c>
      <c r="C1721" t="s">
        <v>3051</v>
      </c>
      <c r="D1721" t="s">
        <v>3735</v>
      </c>
      <c r="E1721" t="s">
        <v>5709</v>
      </c>
      <c r="F1721" t="s">
        <v>4407</v>
      </c>
      <c r="G1721" t="s">
        <v>5723</v>
      </c>
      <c r="H1721" s="6" t="s">
        <v>8361</v>
      </c>
    </row>
    <row r="1722" spans="1:8" ht="102" x14ac:dyDescent="0.2">
      <c r="A1722">
        <v>1720</v>
      </c>
      <c r="B1722" t="s">
        <v>1611</v>
      </c>
      <c r="C1722" t="s">
        <v>3051</v>
      </c>
      <c r="D1722" t="s">
        <v>3735</v>
      </c>
      <c r="E1722" t="s">
        <v>5709</v>
      </c>
      <c r="F1722" t="s">
        <v>4407</v>
      </c>
      <c r="G1722" t="s">
        <v>5724</v>
      </c>
      <c r="H1722" s="6" t="s">
        <v>8362</v>
      </c>
    </row>
    <row r="1723" spans="1:8" ht="102" x14ac:dyDescent="0.2">
      <c r="A1723">
        <v>1721</v>
      </c>
      <c r="B1723" t="s">
        <v>1611</v>
      </c>
      <c r="C1723" t="s">
        <v>3051</v>
      </c>
      <c r="D1723" t="s">
        <v>3735</v>
      </c>
      <c r="E1723" t="s">
        <v>5709</v>
      </c>
      <c r="F1723" t="s">
        <v>4407</v>
      </c>
      <c r="G1723" t="s">
        <v>5725</v>
      </c>
      <c r="H1723" s="6" t="s">
        <v>8363</v>
      </c>
    </row>
    <row r="1724" spans="1:8" ht="409.6" x14ac:dyDescent="0.2">
      <c r="A1724">
        <v>1722</v>
      </c>
      <c r="B1724" t="s">
        <v>1611</v>
      </c>
      <c r="C1724" t="s">
        <v>3051</v>
      </c>
      <c r="D1724" t="s">
        <v>3735</v>
      </c>
      <c r="E1724" t="s">
        <v>5709</v>
      </c>
      <c r="F1724" t="s">
        <v>4407</v>
      </c>
      <c r="G1724" t="s">
        <v>5726</v>
      </c>
      <c r="H1724" s="6" t="s">
        <v>8364</v>
      </c>
    </row>
    <row r="1725" spans="1:8" ht="119" x14ac:dyDescent="0.2">
      <c r="A1725">
        <v>1723</v>
      </c>
      <c r="B1725" t="s">
        <v>1611</v>
      </c>
      <c r="C1725" t="s">
        <v>3051</v>
      </c>
      <c r="D1725" t="s">
        <v>3735</v>
      </c>
      <c r="E1725" t="s">
        <v>5709</v>
      </c>
      <c r="F1725" t="s">
        <v>4407</v>
      </c>
      <c r="G1725" t="s">
        <v>5727</v>
      </c>
      <c r="H1725" s="6" t="s">
        <v>8349</v>
      </c>
    </row>
    <row r="1726" spans="1:8" ht="136" x14ac:dyDescent="0.2">
      <c r="A1726">
        <v>1724</v>
      </c>
      <c r="B1726" t="s">
        <v>1611</v>
      </c>
      <c r="C1726" t="s">
        <v>3051</v>
      </c>
      <c r="D1726" t="s">
        <v>3735</v>
      </c>
      <c r="E1726" t="s">
        <v>5709</v>
      </c>
      <c r="F1726" t="s">
        <v>4407</v>
      </c>
      <c r="G1726" t="s">
        <v>5728</v>
      </c>
      <c r="H1726" s="6" t="s">
        <v>8350</v>
      </c>
    </row>
    <row r="1727" spans="1:8" ht="119" x14ac:dyDescent="0.2">
      <c r="A1727">
        <v>1725</v>
      </c>
      <c r="B1727" t="s">
        <v>1611</v>
      </c>
      <c r="C1727" t="s">
        <v>3051</v>
      </c>
      <c r="D1727" t="s">
        <v>3735</v>
      </c>
      <c r="E1727" t="s">
        <v>5709</v>
      </c>
      <c r="F1727" t="s">
        <v>4407</v>
      </c>
      <c r="G1727" t="s">
        <v>5729</v>
      </c>
      <c r="H1727" s="6" t="s">
        <v>8365</v>
      </c>
    </row>
    <row r="1728" spans="1:8" ht="102" x14ac:dyDescent="0.2">
      <c r="A1728">
        <v>1726</v>
      </c>
      <c r="B1728" t="s">
        <v>1611</v>
      </c>
      <c r="C1728" t="s">
        <v>3051</v>
      </c>
      <c r="D1728" t="s">
        <v>3735</v>
      </c>
      <c r="E1728" t="s">
        <v>5709</v>
      </c>
      <c r="F1728" t="s">
        <v>4407</v>
      </c>
      <c r="G1728" t="s">
        <v>5730</v>
      </c>
      <c r="H1728" s="6" t="s">
        <v>8366</v>
      </c>
    </row>
    <row r="1729" spans="1:8" ht="85" x14ac:dyDescent="0.2">
      <c r="A1729">
        <v>1727</v>
      </c>
      <c r="B1729" t="s">
        <v>1611</v>
      </c>
      <c r="C1729" t="s">
        <v>3051</v>
      </c>
      <c r="D1729" t="s">
        <v>3735</v>
      </c>
      <c r="E1729" t="s">
        <v>5709</v>
      </c>
      <c r="F1729" t="s">
        <v>4407</v>
      </c>
      <c r="G1729" t="s">
        <v>5731</v>
      </c>
      <c r="H1729" s="6" t="s">
        <v>8367</v>
      </c>
    </row>
    <row r="1730" spans="1:8" ht="85" x14ac:dyDescent="0.2">
      <c r="A1730">
        <v>1728</v>
      </c>
      <c r="B1730" t="s">
        <v>1611</v>
      </c>
      <c r="C1730" t="s">
        <v>3051</v>
      </c>
      <c r="D1730" t="s">
        <v>3735</v>
      </c>
      <c r="E1730" t="s">
        <v>5709</v>
      </c>
      <c r="F1730" t="s">
        <v>4407</v>
      </c>
      <c r="G1730" t="s">
        <v>5732</v>
      </c>
      <c r="H1730" s="6" t="s">
        <v>8368</v>
      </c>
    </row>
    <row r="1731" spans="1:8" ht="409.6" x14ac:dyDescent="0.2">
      <c r="A1731">
        <v>1729</v>
      </c>
      <c r="B1731" t="s">
        <v>1611</v>
      </c>
      <c r="C1731" t="s">
        <v>3051</v>
      </c>
      <c r="D1731" t="s">
        <v>3735</v>
      </c>
      <c r="E1731" t="s">
        <v>5709</v>
      </c>
      <c r="F1731" t="s">
        <v>4407</v>
      </c>
      <c r="G1731" t="s">
        <v>5733</v>
      </c>
      <c r="H1731" s="6" t="s">
        <v>8369</v>
      </c>
    </row>
    <row r="1732" spans="1:8" ht="119" x14ac:dyDescent="0.2">
      <c r="A1732">
        <v>1730</v>
      </c>
      <c r="B1732" t="s">
        <v>1611</v>
      </c>
      <c r="C1732" t="s">
        <v>3051</v>
      </c>
      <c r="D1732" t="s">
        <v>3735</v>
      </c>
      <c r="E1732" t="s">
        <v>5709</v>
      </c>
      <c r="F1732" t="s">
        <v>4407</v>
      </c>
      <c r="G1732" t="s">
        <v>5734</v>
      </c>
      <c r="H1732" s="6" t="s">
        <v>8349</v>
      </c>
    </row>
    <row r="1733" spans="1:8" ht="136" x14ac:dyDescent="0.2">
      <c r="A1733">
        <v>1731</v>
      </c>
      <c r="B1733" t="s">
        <v>1611</v>
      </c>
      <c r="C1733" t="s">
        <v>3051</v>
      </c>
      <c r="D1733" t="s">
        <v>3735</v>
      </c>
      <c r="E1733" t="s">
        <v>5709</v>
      </c>
      <c r="F1733" t="s">
        <v>4407</v>
      </c>
      <c r="G1733" t="s">
        <v>5735</v>
      </c>
      <c r="H1733" s="6" t="s">
        <v>8370</v>
      </c>
    </row>
    <row r="1734" spans="1:8" ht="119" x14ac:dyDescent="0.2">
      <c r="A1734">
        <v>1732</v>
      </c>
      <c r="B1734" t="s">
        <v>1611</v>
      </c>
      <c r="C1734" t="s">
        <v>3051</v>
      </c>
      <c r="D1734" t="s">
        <v>3735</v>
      </c>
      <c r="E1734" t="s">
        <v>5709</v>
      </c>
      <c r="F1734" t="s">
        <v>4407</v>
      </c>
      <c r="G1734" t="s">
        <v>5736</v>
      </c>
      <c r="H1734" s="6" t="s">
        <v>8365</v>
      </c>
    </row>
    <row r="1735" spans="1:8" ht="102" x14ac:dyDescent="0.2">
      <c r="A1735">
        <v>1733</v>
      </c>
      <c r="B1735" t="s">
        <v>1611</v>
      </c>
      <c r="C1735" t="s">
        <v>3051</v>
      </c>
      <c r="D1735" t="s">
        <v>3735</v>
      </c>
      <c r="E1735" t="s">
        <v>5709</v>
      </c>
      <c r="F1735" t="s">
        <v>4407</v>
      </c>
      <c r="G1735" t="s">
        <v>5737</v>
      </c>
      <c r="H1735" s="6" t="s">
        <v>8366</v>
      </c>
    </row>
    <row r="1736" spans="1:8" ht="102" x14ac:dyDescent="0.2">
      <c r="A1736">
        <v>1734</v>
      </c>
      <c r="B1736" t="s">
        <v>1611</v>
      </c>
      <c r="C1736" t="s">
        <v>3051</v>
      </c>
      <c r="D1736" t="s">
        <v>3735</v>
      </c>
      <c r="E1736" t="s">
        <v>5709</v>
      </c>
      <c r="F1736" t="s">
        <v>4407</v>
      </c>
      <c r="G1736" t="s">
        <v>5738</v>
      </c>
      <c r="H1736" s="6" t="s">
        <v>8371</v>
      </c>
    </row>
    <row r="1737" spans="1:8" ht="102" x14ac:dyDescent="0.2">
      <c r="A1737">
        <v>1735</v>
      </c>
      <c r="B1737" t="s">
        <v>1611</v>
      </c>
      <c r="C1737" t="s">
        <v>3051</v>
      </c>
      <c r="D1737" t="s">
        <v>3735</v>
      </c>
      <c r="E1737" t="s">
        <v>5709</v>
      </c>
      <c r="F1737" t="s">
        <v>4407</v>
      </c>
      <c r="G1737" t="s">
        <v>5739</v>
      </c>
      <c r="H1737" s="6" t="s">
        <v>8372</v>
      </c>
    </row>
    <row r="1738" spans="1:8" ht="204" x14ac:dyDescent="0.2">
      <c r="A1738">
        <v>1736</v>
      </c>
      <c r="B1738" t="s">
        <v>1611</v>
      </c>
      <c r="C1738" t="s">
        <v>3051</v>
      </c>
      <c r="D1738" t="s">
        <v>3735</v>
      </c>
      <c r="E1738" t="s">
        <v>5709</v>
      </c>
      <c r="F1738" t="s">
        <v>4407</v>
      </c>
      <c r="G1738" t="s">
        <v>5740</v>
      </c>
      <c r="H1738" s="6" t="s">
        <v>8373</v>
      </c>
    </row>
    <row r="1739" spans="1:8" ht="102" x14ac:dyDescent="0.2">
      <c r="A1739">
        <v>1737</v>
      </c>
      <c r="B1739" t="s">
        <v>1611</v>
      </c>
      <c r="C1739" t="s">
        <v>3051</v>
      </c>
      <c r="D1739" t="s">
        <v>3735</v>
      </c>
      <c r="E1739" t="s">
        <v>5709</v>
      </c>
      <c r="F1739" t="s">
        <v>4407</v>
      </c>
      <c r="G1739" t="s">
        <v>5741</v>
      </c>
      <c r="H1739" s="6" t="s">
        <v>8374</v>
      </c>
    </row>
    <row r="1740" spans="1:8" ht="102" x14ac:dyDescent="0.2">
      <c r="A1740">
        <v>1738</v>
      </c>
      <c r="B1740" t="s">
        <v>1611</v>
      </c>
      <c r="C1740" t="s">
        <v>3051</v>
      </c>
      <c r="D1740" t="s">
        <v>3735</v>
      </c>
      <c r="E1740" t="s">
        <v>5709</v>
      </c>
      <c r="F1740" t="s">
        <v>4407</v>
      </c>
      <c r="G1740" t="s">
        <v>5742</v>
      </c>
      <c r="H1740" s="6" t="s">
        <v>8375</v>
      </c>
    </row>
    <row r="1741" spans="1:8" ht="119" x14ac:dyDescent="0.2">
      <c r="A1741">
        <v>1739</v>
      </c>
      <c r="B1741" t="s">
        <v>1611</v>
      </c>
      <c r="C1741" t="s">
        <v>3051</v>
      </c>
      <c r="D1741" t="s">
        <v>3735</v>
      </c>
      <c r="E1741" t="s">
        <v>5709</v>
      </c>
      <c r="F1741" t="s">
        <v>4407</v>
      </c>
      <c r="G1741" t="s">
        <v>5743</v>
      </c>
      <c r="H1741" s="6" t="s">
        <v>8376</v>
      </c>
    </row>
    <row r="1742" spans="1:8" ht="119" x14ac:dyDescent="0.2">
      <c r="A1742">
        <v>1740</v>
      </c>
      <c r="B1742" t="s">
        <v>1611</v>
      </c>
      <c r="C1742" t="s">
        <v>3051</v>
      </c>
      <c r="D1742" t="s">
        <v>3735</v>
      </c>
      <c r="E1742" t="s">
        <v>5709</v>
      </c>
      <c r="F1742" t="s">
        <v>4407</v>
      </c>
      <c r="G1742" t="s">
        <v>5744</v>
      </c>
      <c r="H1742" s="6" t="s">
        <v>8377</v>
      </c>
    </row>
    <row r="1743" spans="1:8" ht="85" x14ac:dyDescent="0.2">
      <c r="A1743">
        <v>1741</v>
      </c>
      <c r="B1743" t="s">
        <v>1611</v>
      </c>
      <c r="C1743" t="s">
        <v>3051</v>
      </c>
      <c r="D1743" t="s">
        <v>3735</v>
      </c>
      <c r="E1743" t="s">
        <v>5709</v>
      </c>
      <c r="F1743" t="s">
        <v>4407</v>
      </c>
      <c r="G1743" t="s">
        <v>5745</v>
      </c>
      <c r="H1743" s="6" t="s">
        <v>8378</v>
      </c>
    </row>
    <row r="1744" spans="1:8" ht="102" x14ac:dyDescent="0.2">
      <c r="A1744">
        <v>1742</v>
      </c>
      <c r="B1744" t="s">
        <v>1611</v>
      </c>
      <c r="C1744" t="s">
        <v>3051</v>
      </c>
      <c r="D1744" t="s">
        <v>3735</v>
      </c>
      <c r="E1744" t="s">
        <v>5709</v>
      </c>
      <c r="F1744" t="s">
        <v>4407</v>
      </c>
      <c r="G1744" t="s">
        <v>5746</v>
      </c>
      <c r="H1744" s="6" t="s">
        <v>8379</v>
      </c>
    </row>
    <row r="1745" spans="1:8" ht="204" x14ac:dyDescent="0.2">
      <c r="A1745">
        <v>1743</v>
      </c>
      <c r="B1745" t="s">
        <v>1611</v>
      </c>
      <c r="C1745" t="s">
        <v>3051</v>
      </c>
      <c r="D1745" t="s">
        <v>3735</v>
      </c>
      <c r="E1745" t="s">
        <v>5709</v>
      </c>
      <c r="F1745" t="s">
        <v>4407</v>
      </c>
      <c r="G1745" t="s">
        <v>5747</v>
      </c>
      <c r="H1745" s="6" t="s">
        <v>8380</v>
      </c>
    </row>
    <row r="1746" spans="1:8" ht="119" x14ac:dyDescent="0.2">
      <c r="A1746">
        <v>1744</v>
      </c>
      <c r="B1746" t="s">
        <v>1611</v>
      </c>
      <c r="C1746" t="s">
        <v>3051</v>
      </c>
      <c r="D1746" t="s">
        <v>3735</v>
      </c>
      <c r="E1746" t="s">
        <v>5709</v>
      </c>
      <c r="F1746" t="s">
        <v>4407</v>
      </c>
      <c r="G1746" t="s">
        <v>5748</v>
      </c>
      <c r="H1746" s="6" t="s">
        <v>8349</v>
      </c>
    </row>
    <row r="1747" spans="1:8" ht="136" x14ac:dyDescent="0.2">
      <c r="A1747">
        <v>1745</v>
      </c>
      <c r="B1747" t="s">
        <v>1611</v>
      </c>
      <c r="C1747" t="s">
        <v>3051</v>
      </c>
      <c r="D1747" t="s">
        <v>3735</v>
      </c>
      <c r="E1747" t="s">
        <v>5709</v>
      </c>
      <c r="F1747" t="s">
        <v>4407</v>
      </c>
      <c r="G1747" t="s">
        <v>5749</v>
      </c>
      <c r="H1747" s="6" t="s">
        <v>8350</v>
      </c>
    </row>
    <row r="1748" spans="1:8" ht="119" x14ac:dyDescent="0.2">
      <c r="A1748">
        <v>1746</v>
      </c>
      <c r="B1748" t="s">
        <v>1611</v>
      </c>
      <c r="C1748" t="s">
        <v>3051</v>
      </c>
      <c r="D1748" t="s">
        <v>3735</v>
      </c>
      <c r="E1748" t="s">
        <v>5709</v>
      </c>
      <c r="F1748" t="s">
        <v>4407</v>
      </c>
      <c r="G1748" t="s">
        <v>5750</v>
      </c>
      <c r="H1748" s="6" t="s">
        <v>8381</v>
      </c>
    </row>
    <row r="1749" spans="1:8" ht="102" x14ac:dyDescent="0.2">
      <c r="A1749">
        <v>1747</v>
      </c>
      <c r="B1749" t="s">
        <v>1611</v>
      </c>
      <c r="C1749" t="s">
        <v>3051</v>
      </c>
      <c r="D1749" t="s">
        <v>3735</v>
      </c>
      <c r="E1749" t="s">
        <v>5709</v>
      </c>
      <c r="F1749" t="s">
        <v>4407</v>
      </c>
      <c r="G1749" t="s">
        <v>5751</v>
      </c>
      <c r="H1749" s="6" t="s">
        <v>8382</v>
      </c>
    </row>
    <row r="1750" spans="1:8" ht="204" x14ac:dyDescent="0.2">
      <c r="A1750">
        <v>1748</v>
      </c>
      <c r="B1750" t="s">
        <v>1611</v>
      </c>
      <c r="C1750" t="s">
        <v>3051</v>
      </c>
      <c r="D1750" t="s">
        <v>3735</v>
      </c>
      <c r="E1750" t="s">
        <v>5709</v>
      </c>
      <c r="F1750" t="s">
        <v>4407</v>
      </c>
      <c r="G1750" t="s">
        <v>5752</v>
      </c>
      <c r="H1750" s="6" t="s">
        <v>8383</v>
      </c>
    </row>
    <row r="1751" spans="1:8" ht="119" x14ac:dyDescent="0.2">
      <c r="A1751">
        <v>1749</v>
      </c>
      <c r="B1751" t="s">
        <v>1611</v>
      </c>
      <c r="C1751" t="s">
        <v>3051</v>
      </c>
      <c r="D1751" t="s">
        <v>3735</v>
      </c>
      <c r="E1751" t="s">
        <v>5709</v>
      </c>
      <c r="F1751" t="s">
        <v>4407</v>
      </c>
      <c r="G1751" t="s">
        <v>5753</v>
      </c>
      <c r="H1751" s="6" t="s">
        <v>8349</v>
      </c>
    </row>
    <row r="1752" spans="1:8" ht="136" x14ac:dyDescent="0.2">
      <c r="A1752">
        <v>1750</v>
      </c>
      <c r="B1752" t="s">
        <v>1611</v>
      </c>
      <c r="C1752" t="s">
        <v>3051</v>
      </c>
      <c r="D1752" t="s">
        <v>3735</v>
      </c>
      <c r="E1752" t="s">
        <v>5709</v>
      </c>
      <c r="F1752" t="s">
        <v>4407</v>
      </c>
      <c r="G1752" t="s">
        <v>5754</v>
      </c>
      <c r="H1752" s="6" t="s">
        <v>8370</v>
      </c>
    </row>
    <row r="1753" spans="1:8" ht="119" x14ac:dyDescent="0.2">
      <c r="A1753">
        <v>1751</v>
      </c>
      <c r="B1753" t="s">
        <v>1611</v>
      </c>
      <c r="C1753" t="s">
        <v>3051</v>
      </c>
      <c r="D1753" t="s">
        <v>3735</v>
      </c>
      <c r="E1753" t="s">
        <v>5709</v>
      </c>
      <c r="F1753" t="s">
        <v>4407</v>
      </c>
      <c r="G1753" t="s">
        <v>5755</v>
      </c>
      <c r="H1753" s="6" t="s">
        <v>8381</v>
      </c>
    </row>
    <row r="1754" spans="1:8" ht="306" x14ac:dyDescent="0.2">
      <c r="A1754">
        <v>1752</v>
      </c>
      <c r="B1754" t="s">
        <v>1611</v>
      </c>
      <c r="C1754" t="s">
        <v>3051</v>
      </c>
      <c r="D1754" t="s">
        <v>3735</v>
      </c>
      <c r="E1754" t="s">
        <v>5709</v>
      </c>
      <c r="F1754" t="s">
        <v>4407</v>
      </c>
      <c r="G1754" t="s">
        <v>5756</v>
      </c>
      <c r="H1754" s="6" t="s">
        <v>8384</v>
      </c>
    </row>
    <row r="1755" spans="1:8" ht="119" x14ac:dyDescent="0.2">
      <c r="A1755">
        <v>1753</v>
      </c>
      <c r="B1755" t="s">
        <v>1611</v>
      </c>
      <c r="C1755" t="s">
        <v>3051</v>
      </c>
      <c r="D1755" t="s">
        <v>3735</v>
      </c>
      <c r="E1755" t="s">
        <v>5709</v>
      </c>
      <c r="F1755" t="s">
        <v>4407</v>
      </c>
      <c r="G1755" t="s">
        <v>5757</v>
      </c>
      <c r="H1755" s="6" t="s">
        <v>8349</v>
      </c>
    </row>
    <row r="1756" spans="1:8" ht="136" x14ac:dyDescent="0.2">
      <c r="A1756">
        <v>1754</v>
      </c>
      <c r="B1756" t="s">
        <v>1611</v>
      </c>
      <c r="C1756" t="s">
        <v>3051</v>
      </c>
      <c r="D1756" t="s">
        <v>3735</v>
      </c>
      <c r="E1756" t="s">
        <v>5709</v>
      </c>
      <c r="F1756" t="s">
        <v>4407</v>
      </c>
      <c r="G1756" t="s">
        <v>5758</v>
      </c>
      <c r="H1756" s="6" t="s">
        <v>8385</v>
      </c>
    </row>
    <row r="1757" spans="1:8" ht="119" x14ac:dyDescent="0.2">
      <c r="A1757">
        <v>1755</v>
      </c>
      <c r="B1757" t="s">
        <v>1611</v>
      </c>
      <c r="C1757" t="s">
        <v>3051</v>
      </c>
      <c r="D1757" t="s">
        <v>3735</v>
      </c>
      <c r="E1757" t="s">
        <v>5709</v>
      </c>
      <c r="F1757" t="s">
        <v>4407</v>
      </c>
      <c r="G1757" t="s">
        <v>5759</v>
      </c>
      <c r="H1757" s="6" t="s">
        <v>8386</v>
      </c>
    </row>
    <row r="1758" spans="1:8" ht="85" x14ac:dyDescent="0.2">
      <c r="A1758">
        <v>1756</v>
      </c>
      <c r="B1758" t="s">
        <v>1611</v>
      </c>
      <c r="C1758" t="s">
        <v>3051</v>
      </c>
      <c r="D1758" t="s">
        <v>3735</v>
      </c>
      <c r="E1758" t="s">
        <v>5709</v>
      </c>
      <c r="F1758" t="s">
        <v>4407</v>
      </c>
      <c r="G1758" t="s">
        <v>5760</v>
      </c>
      <c r="H1758" s="6" t="s">
        <v>8387</v>
      </c>
    </row>
    <row r="1759" spans="1:8" ht="102" x14ac:dyDescent="0.2">
      <c r="A1759">
        <v>1757</v>
      </c>
      <c r="B1759" t="s">
        <v>1611</v>
      </c>
      <c r="C1759" t="s">
        <v>3051</v>
      </c>
      <c r="D1759" t="s">
        <v>3735</v>
      </c>
      <c r="E1759" t="s">
        <v>5709</v>
      </c>
      <c r="F1759" t="s">
        <v>4407</v>
      </c>
      <c r="G1759" t="s">
        <v>5761</v>
      </c>
      <c r="H1759" s="6" t="s">
        <v>8388</v>
      </c>
    </row>
    <row r="1760" spans="1:8" ht="187" x14ac:dyDescent="0.2">
      <c r="A1760">
        <v>1758</v>
      </c>
      <c r="B1760" t="s">
        <v>1611</v>
      </c>
      <c r="C1760" t="s">
        <v>3051</v>
      </c>
      <c r="D1760" t="s">
        <v>3735</v>
      </c>
      <c r="E1760" t="s">
        <v>5709</v>
      </c>
      <c r="F1760" t="s">
        <v>4407</v>
      </c>
      <c r="G1760" t="s">
        <v>5762</v>
      </c>
      <c r="H1760" s="6" t="s">
        <v>8389</v>
      </c>
    </row>
    <row r="1761" spans="1:8" ht="102" x14ac:dyDescent="0.2">
      <c r="A1761">
        <v>1759</v>
      </c>
      <c r="B1761" t="s">
        <v>1611</v>
      </c>
      <c r="C1761" t="s">
        <v>3051</v>
      </c>
      <c r="D1761" t="s">
        <v>3735</v>
      </c>
      <c r="E1761" t="s">
        <v>5709</v>
      </c>
      <c r="F1761" t="s">
        <v>4407</v>
      </c>
      <c r="G1761" t="s">
        <v>5763</v>
      </c>
      <c r="H1761" s="6" t="s">
        <v>7227</v>
      </c>
    </row>
    <row r="1762" spans="1:8" ht="119" x14ac:dyDescent="0.2">
      <c r="A1762">
        <v>1760</v>
      </c>
      <c r="B1762" t="s">
        <v>1611</v>
      </c>
      <c r="C1762" t="s">
        <v>3051</v>
      </c>
      <c r="D1762" t="s">
        <v>3735</v>
      </c>
      <c r="E1762" t="s">
        <v>5709</v>
      </c>
      <c r="F1762" t="s">
        <v>4407</v>
      </c>
      <c r="G1762" t="s">
        <v>5764</v>
      </c>
      <c r="H1762" s="6" t="s">
        <v>8390</v>
      </c>
    </row>
    <row r="1763" spans="1:8" ht="119" x14ac:dyDescent="0.2">
      <c r="A1763">
        <v>1761</v>
      </c>
      <c r="B1763" t="s">
        <v>1611</v>
      </c>
      <c r="C1763" t="s">
        <v>3051</v>
      </c>
      <c r="D1763" t="s">
        <v>3735</v>
      </c>
      <c r="E1763" t="s">
        <v>5709</v>
      </c>
      <c r="F1763" t="s">
        <v>4407</v>
      </c>
      <c r="G1763" t="s">
        <v>5765</v>
      </c>
      <c r="H1763" s="6" t="s">
        <v>8386</v>
      </c>
    </row>
    <row r="1764" spans="1:8" ht="85" x14ac:dyDescent="0.2">
      <c r="A1764">
        <v>1762</v>
      </c>
      <c r="B1764" t="s">
        <v>1611</v>
      </c>
      <c r="C1764" t="s">
        <v>3051</v>
      </c>
      <c r="D1764" t="s">
        <v>3735</v>
      </c>
      <c r="E1764" t="s">
        <v>5709</v>
      </c>
      <c r="F1764" t="s">
        <v>4407</v>
      </c>
      <c r="G1764" t="s">
        <v>5766</v>
      </c>
      <c r="H1764" s="6" t="s">
        <v>8391</v>
      </c>
    </row>
    <row r="1765" spans="1:8" ht="102" x14ac:dyDescent="0.2">
      <c r="A1765">
        <v>1763</v>
      </c>
      <c r="B1765" t="s">
        <v>1611</v>
      </c>
      <c r="C1765" t="s">
        <v>3051</v>
      </c>
      <c r="D1765" t="s">
        <v>3735</v>
      </c>
      <c r="E1765" t="s">
        <v>5709</v>
      </c>
      <c r="F1765" t="s">
        <v>4407</v>
      </c>
      <c r="G1765" t="s">
        <v>5767</v>
      </c>
      <c r="H1765" s="6" t="s">
        <v>8392</v>
      </c>
    </row>
    <row r="1766" spans="1:8" ht="170" x14ac:dyDescent="0.2">
      <c r="A1766">
        <v>1764</v>
      </c>
      <c r="B1766" t="s">
        <v>1611</v>
      </c>
      <c r="C1766" t="s">
        <v>3051</v>
      </c>
      <c r="D1766" t="s">
        <v>3735</v>
      </c>
      <c r="E1766" t="s">
        <v>5709</v>
      </c>
      <c r="F1766" t="s">
        <v>4407</v>
      </c>
      <c r="G1766" t="s">
        <v>5768</v>
      </c>
      <c r="H1766" s="6" t="s">
        <v>8393</v>
      </c>
    </row>
    <row r="1767" spans="1:8" ht="136" x14ac:dyDescent="0.2">
      <c r="A1767">
        <v>1765</v>
      </c>
      <c r="B1767" t="s">
        <v>1611</v>
      </c>
      <c r="C1767" t="s">
        <v>3051</v>
      </c>
      <c r="D1767" t="s">
        <v>3735</v>
      </c>
      <c r="E1767" t="s">
        <v>5709</v>
      </c>
      <c r="F1767" t="s">
        <v>4407</v>
      </c>
      <c r="G1767" t="s">
        <v>5769</v>
      </c>
      <c r="H1767" s="6" t="s">
        <v>8394</v>
      </c>
    </row>
    <row r="1768" spans="1:8" ht="238" x14ac:dyDescent="0.2">
      <c r="A1768">
        <v>1766</v>
      </c>
      <c r="B1768" t="s">
        <v>1611</v>
      </c>
      <c r="C1768" t="s">
        <v>3051</v>
      </c>
      <c r="D1768" t="s">
        <v>3735</v>
      </c>
      <c r="E1768" t="s">
        <v>5709</v>
      </c>
      <c r="F1768" t="s">
        <v>4407</v>
      </c>
      <c r="G1768" t="s">
        <v>5770</v>
      </c>
      <c r="H1768" s="6" t="s">
        <v>8395</v>
      </c>
    </row>
    <row r="1769" spans="1:8" ht="102" x14ac:dyDescent="0.2">
      <c r="A1769">
        <v>1767</v>
      </c>
      <c r="B1769" t="s">
        <v>1611</v>
      </c>
      <c r="C1769" t="s">
        <v>3051</v>
      </c>
      <c r="D1769" t="s">
        <v>3735</v>
      </c>
      <c r="E1769" t="s">
        <v>5709</v>
      </c>
      <c r="F1769" t="s">
        <v>4407</v>
      </c>
      <c r="G1769" t="s">
        <v>5771</v>
      </c>
      <c r="H1769" s="6" t="s">
        <v>8396</v>
      </c>
    </row>
    <row r="1770" spans="1:8" ht="119" x14ac:dyDescent="0.2">
      <c r="A1770">
        <v>1768</v>
      </c>
      <c r="B1770" t="s">
        <v>1611</v>
      </c>
      <c r="C1770" t="s">
        <v>3051</v>
      </c>
      <c r="D1770" t="s">
        <v>3735</v>
      </c>
      <c r="E1770" t="s">
        <v>5709</v>
      </c>
      <c r="F1770" t="s">
        <v>4407</v>
      </c>
      <c r="G1770" t="s">
        <v>5772</v>
      </c>
      <c r="H1770" s="6" t="s">
        <v>8397</v>
      </c>
    </row>
    <row r="1771" spans="1:8" ht="119" x14ac:dyDescent="0.2">
      <c r="A1771">
        <v>1769</v>
      </c>
      <c r="B1771" t="s">
        <v>1611</v>
      </c>
      <c r="C1771" t="s">
        <v>3051</v>
      </c>
      <c r="D1771" t="s">
        <v>3735</v>
      </c>
      <c r="E1771" t="s">
        <v>5709</v>
      </c>
      <c r="F1771" t="s">
        <v>4407</v>
      </c>
      <c r="G1771" t="s">
        <v>5773</v>
      </c>
      <c r="H1771" s="6" t="s">
        <v>8398</v>
      </c>
    </row>
    <row r="1772" spans="1:8" ht="85" x14ac:dyDescent="0.2">
      <c r="A1772">
        <v>1770</v>
      </c>
      <c r="B1772" t="s">
        <v>1611</v>
      </c>
      <c r="C1772" t="s">
        <v>3051</v>
      </c>
      <c r="D1772" t="s">
        <v>3735</v>
      </c>
      <c r="E1772" t="s">
        <v>5709</v>
      </c>
      <c r="F1772" t="s">
        <v>4407</v>
      </c>
      <c r="G1772" t="s">
        <v>5774</v>
      </c>
      <c r="H1772" s="6" t="s">
        <v>8399</v>
      </c>
    </row>
    <row r="1773" spans="1:8" ht="119" x14ac:dyDescent="0.2">
      <c r="A1773">
        <v>1771</v>
      </c>
      <c r="B1773" t="s">
        <v>1611</v>
      </c>
      <c r="C1773" t="s">
        <v>3051</v>
      </c>
      <c r="D1773" t="s">
        <v>3735</v>
      </c>
      <c r="E1773" t="s">
        <v>5709</v>
      </c>
      <c r="F1773" t="s">
        <v>4407</v>
      </c>
      <c r="G1773" t="s">
        <v>5775</v>
      </c>
      <c r="H1773" s="6" t="s">
        <v>8400</v>
      </c>
    </row>
    <row r="1774" spans="1:8" ht="187" x14ac:dyDescent="0.2">
      <c r="A1774">
        <v>1772</v>
      </c>
      <c r="B1774" t="s">
        <v>1611</v>
      </c>
      <c r="C1774" t="s">
        <v>3051</v>
      </c>
      <c r="D1774" t="s">
        <v>3735</v>
      </c>
      <c r="E1774" t="s">
        <v>5709</v>
      </c>
      <c r="F1774" t="s">
        <v>4407</v>
      </c>
      <c r="G1774" t="s">
        <v>5776</v>
      </c>
      <c r="H1774" s="6" t="s">
        <v>8401</v>
      </c>
    </row>
    <row r="1775" spans="1:8" ht="119" x14ac:dyDescent="0.2">
      <c r="A1775">
        <v>1773</v>
      </c>
      <c r="B1775" t="s">
        <v>1611</v>
      </c>
      <c r="C1775" t="s">
        <v>3051</v>
      </c>
      <c r="D1775" t="s">
        <v>3735</v>
      </c>
      <c r="E1775" t="s">
        <v>5709</v>
      </c>
      <c r="F1775" t="s">
        <v>4407</v>
      </c>
      <c r="G1775" t="s">
        <v>5777</v>
      </c>
      <c r="H1775" s="6" t="s">
        <v>8402</v>
      </c>
    </row>
    <row r="1776" spans="1:8" ht="187" x14ac:dyDescent="0.2">
      <c r="A1776">
        <v>1774</v>
      </c>
      <c r="B1776" t="s">
        <v>1611</v>
      </c>
      <c r="C1776" t="s">
        <v>3051</v>
      </c>
      <c r="D1776" t="s">
        <v>3735</v>
      </c>
      <c r="E1776" t="s">
        <v>5778</v>
      </c>
      <c r="F1776" t="s">
        <v>4498</v>
      </c>
      <c r="G1776" t="s">
        <v>5779</v>
      </c>
      <c r="H1776" s="6" t="s">
        <v>8403</v>
      </c>
    </row>
    <row r="1777" spans="1:8" ht="136" x14ac:dyDescent="0.2">
      <c r="A1777">
        <v>1775</v>
      </c>
      <c r="B1777" t="s">
        <v>1611</v>
      </c>
      <c r="C1777" t="s">
        <v>3051</v>
      </c>
      <c r="D1777" t="s">
        <v>3735</v>
      </c>
      <c r="E1777" t="s">
        <v>5778</v>
      </c>
      <c r="F1777" t="s">
        <v>4498</v>
      </c>
      <c r="G1777" t="s">
        <v>5780</v>
      </c>
      <c r="H1777" s="6" t="s">
        <v>8404</v>
      </c>
    </row>
    <row r="1778" spans="1:8" ht="85" x14ac:dyDescent="0.2">
      <c r="A1778">
        <v>1776</v>
      </c>
      <c r="B1778" t="s">
        <v>1611</v>
      </c>
      <c r="C1778" t="s">
        <v>3051</v>
      </c>
      <c r="D1778" t="s">
        <v>3735</v>
      </c>
      <c r="E1778" t="s">
        <v>5778</v>
      </c>
      <c r="F1778" t="s">
        <v>4498</v>
      </c>
      <c r="G1778" t="s">
        <v>5781</v>
      </c>
      <c r="H1778" s="6" t="s">
        <v>8405</v>
      </c>
    </row>
    <row r="1779" spans="1:8" ht="102" x14ac:dyDescent="0.2">
      <c r="A1779">
        <v>1777</v>
      </c>
      <c r="B1779" t="s">
        <v>1611</v>
      </c>
      <c r="C1779" t="s">
        <v>3051</v>
      </c>
      <c r="D1779" t="s">
        <v>3735</v>
      </c>
      <c r="E1779" t="s">
        <v>5778</v>
      </c>
      <c r="F1779" t="s">
        <v>4498</v>
      </c>
      <c r="G1779" t="s">
        <v>5782</v>
      </c>
      <c r="H1779" s="6" t="s">
        <v>8406</v>
      </c>
    </row>
    <row r="1780" spans="1:8" ht="187" x14ac:dyDescent="0.2">
      <c r="A1780">
        <v>1778</v>
      </c>
      <c r="B1780" t="s">
        <v>1611</v>
      </c>
      <c r="C1780" t="s">
        <v>3051</v>
      </c>
      <c r="D1780" t="s">
        <v>3735</v>
      </c>
      <c r="E1780" t="s">
        <v>5778</v>
      </c>
      <c r="F1780" t="s">
        <v>4498</v>
      </c>
      <c r="G1780" t="s">
        <v>5783</v>
      </c>
      <c r="H1780" s="6" t="s">
        <v>8407</v>
      </c>
    </row>
    <row r="1781" spans="1:8" ht="85" x14ac:dyDescent="0.2">
      <c r="A1781">
        <v>1779</v>
      </c>
      <c r="B1781" t="s">
        <v>1611</v>
      </c>
      <c r="C1781" t="s">
        <v>3051</v>
      </c>
      <c r="D1781" t="s">
        <v>3735</v>
      </c>
      <c r="E1781" t="s">
        <v>5778</v>
      </c>
      <c r="F1781" t="s">
        <v>4498</v>
      </c>
      <c r="G1781" t="s">
        <v>5784</v>
      </c>
      <c r="H1781" s="6" t="s">
        <v>8408</v>
      </c>
    </row>
    <row r="1782" spans="1:8" ht="102" x14ac:dyDescent="0.2">
      <c r="A1782">
        <v>1780</v>
      </c>
      <c r="B1782" t="s">
        <v>1611</v>
      </c>
      <c r="C1782" t="s">
        <v>3051</v>
      </c>
      <c r="D1782" t="s">
        <v>3735</v>
      </c>
      <c r="E1782" t="s">
        <v>5778</v>
      </c>
      <c r="F1782" t="s">
        <v>4498</v>
      </c>
      <c r="G1782" t="s">
        <v>5785</v>
      </c>
      <c r="H1782" s="6" t="s">
        <v>8409</v>
      </c>
    </row>
    <row r="1783" spans="1:8" ht="102" x14ac:dyDescent="0.2">
      <c r="A1783">
        <v>1781</v>
      </c>
      <c r="B1783" t="s">
        <v>1611</v>
      </c>
      <c r="C1783" t="s">
        <v>3051</v>
      </c>
      <c r="D1783" t="s">
        <v>3735</v>
      </c>
      <c r="E1783" t="s">
        <v>5778</v>
      </c>
      <c r="F1783" t="s">
        <v>4498</v>
      </c>
      <c r="G1783" t="s">
        <v>5786</v>
      </c>
      <c r="H1783" s="6" t="s">
        <v>8410</v>
      </c>
    </row>
    <row r="1784" spans="1:8" ht="102" x14ac:dyDescent="0.2">
      <c r="A1784">
        <v>1782</v>
      </c>
      <c r="B1784" t="s">
        <v>1611</v>
      </c>
      <c r="C1784" t="s">
        <v>3051</v>
      </c>
      <c r="D1784" t="s">
        <v>3735</v>
      </c>
      <c r="E1784" t="s">
        <v>5778</v>
      </c>
      <c r="F1784" t="s">
        <v>4498</v>
      </c>
      <c r="G1784" t="s">
        <v>5787</v>
      </c>
      <c r="H1784" s="6" t="s">
        <v>8411</v>
      </c>
    </row>
    <row r="1785" spans="1:8" ht="85" x14ac:dyDescent="0.2">
      <c r="A1785">
        <v>1783</v>
      </c>
      <c r="B1785" t="s">
        <v>1611</v>
      </c>
      <c r="C1785" t="s">
        <v>3051</v>
      </c>
      <c r="D1785" t="s">
        <v>3735</v>
      </c>
      <c r="E1785" t="s">
        <v>5778</v>
      </c>
      <c r="F1785" t="s">
        <v>4498</v>
      </c>
      <c r="G1785" t="s">
        <v>5788</v>
      </c>
      <c r="H1785" s="6" t="s">
        <v>8412</v>
      </c>
    </row>
    <row r="1786" spans="1:8" ht="272" x14ac:dyDescent="0.2">
      <c r="A1786">
        <v>1784</v>
      </c>
      <c r="B1786" t="s">
        <v>1611</v>
      </c>
      <c r="C1786" t="s">
        <v>3051</v>
      </c>
      <c r="D1786" t="s">
        <v>3735</v>
      </c>
      <c r="E1786" t="s">
        <v>5778</v>
      </c>
      <c r="F1786" t="s">
        <v>4498</v>
      </c>
      <c r="G1786" t="s">
        <v>5789</v>
      </c>
      <c r="H1786" s="6" t="s">
        <v>8413</v>
      </c>
    </row>
    <row r="1787" spans="1:8" ht="102" x14ac:dyDescent="0.2">
      <c r="A1787">
        <v>1785</v>
      </c>
      <c r="B1787" t="s">
        <v>1611</v>
      </c>
      <c r="C1787" t="s">
        <v>3051</v>
      </c>
      <c r="D1787" t="s">
        <v>3735</v>
      </c>
      <c r="E1787" t="s">
        <v>5778</v>
      </c>
      <c r="F1787" t="s">
        <v>4498</v>
      </c>
      <c r="G1787" t="s">
        <v>5790</v>
      </c>
      <c r="H1787" s="6" t="s">
        <v>8414</v>
      </c>
    </row>
    <row r="1788" spans="1:8" ht="102" x14ac:dyDescent="0.2">
      <c r="A1788">
        <v>1786</v>
      </c>
      <c r="B1788" t="s">
        <v>1611</v>
      </c>
      <c r="C1788" t="s">
        <v>3051</v>
      </c>
      <c r="D1788" t="s">
        <v>3735</v>
      </c>
      <c r="E1788" t="s">
        <v>5778</v>
      </c>
      <c r="F1788" t="s">
        <v>4498</v>
      </c>
      <c r="G1788" t="s">
        <v>5791</v>
      </c>
      <c r="H1788" s="6" t="s">
        <v>8415</v>
      </c>
    </row>
    <row r="1789" spans="1:8" ht="102" x14ac:dyDescent="0.2">
      <c r="A1789">
        <v>1787</v>
      </c>
      <c r="B1789" t="s">
        <v>1611</v>
      </c>
      <c r="C1789" t="s">
        <v>3051</v>
      </c>
      <c r="D1789" t="s">
        <v>3735</v>
      </c>
      <c r="E1789" t="s">
        <v>5778</v>
      </c>
      <c r="F1789" t="s">
        <v>4498</v>
      </c>
      <c r="G1789" t="s">
        <v>5792</v>
      </c>
      <c r="H1789" s="6" t="s">
        <v>8416</v>
      </c>
    </row>
    <row r="1790" spans="1:8" ht="102" x14ac:dyDescent="0.2">
      <c r="A1790">
        <v>1788</v>
      </c>
      <c r="B1790" t="s">
        <v>1611</v>
      </c>
      <c r="C1790" t="s">
        <v>3051</v>
      </c>
      <c r="D1790" t="s">
        <v>3735</v>
      </c>
      <c r="E1790" t="s">
        <v>5778</v>
      </c>
      <c r="F1790" t="s">
        <v>4498</v>
      </c>
      <c r="G1790" t="s">
        <v>5793</v>
      </c>
      <c r="H1790" s="6" t="s">
        <v>8417</v>
      </c>
    </row>
    <row r="1791" spans="1:8" ht="102" x14ac:dyDescent="0.2">
      <c r="A1791">
        <v>1789</v>
      </c>
      <c r="B1791" t="s">
        <v>1611</v>
      </c>
      <c r="C1791" t="s">
        <v>3051</v>
      </c>
      <c r="D1791" t="s">
        <v>3735</v>
      </c>
      <c r="E1791" t="s">
        <v>5778</v>
      </c>
      <c r="F1791" t="s">
        <v>4498</v>
      </c>
      <c r="G1791" t="s">
        <v>5794</v>
      </c>
      <c r="H1791" s="6" t="s">
        <v>8418</v>
      </c>
    </row>
    <row r="1792" spans="1:8" ht="119" x14ac:dyDescent="0.2">
      <c r="A1792">
        <v>1790</v>
      </c>
      <c r="B1792" t="s">
        <v>1611</v>
      </c>
      <c r="C1792" t="s">
        <v>3051</v>
      </c>
      <c r="D1792" t="s">
        <v>3735</v>
      </c>
      <c r="E1792" t="s">
        <v>5778</v>
      </c>
      <c r="F1792" t="s">
        <v>4498</v>
      </c>
      <c r="G1792" t="s">
        <v>5795</v>
      </c>
      <c r="H1792" s="6" t="s">
        <v>8419</v>
      </c>
    </row>
    <row r="1793" spans="1:8" ht="119" x14ac:dyDescent="0.2">
      <c r="A1793">
        <v>1791</v>
      </c>
      <c r="B1793" t="s">
        <v>1611</v>
      </c>
      <c r="C1793" t="s">
        <v>3051</v>
      </c>
      <c r="D1793" t="s">
        <v>3735</v>
      </c>
      <c r="E1793" t="s">
        <v>5778</v>
      </c>
      <c r="F1793" t="s">
        <v>4498</v>
      </c>
      <c r="G1793" t="s">
        <v>5796</v>
      </c>
      <c r="H1793" s="6" t="s">
        <v>8420</v>
      </c>
    </row>
    <row r="1794" spans="1:8" ht="356" x14ac:dyDescent="0.2">
      <c r="A1794">
        <v>1792</v>
      </c>
      <c r="B1794" t="s">
        <v>1611</v>
      </c>
      <c r="C1794" t="s">
        <v>3051</v>
      </c>
      <c r="D1794" t="s">
        <v>3735</v>
      </c>
      <c r="E1794" t="s">
        <v>5778</v>
      </c>
      <c r="F1794" t="s">
        <v>4498</v>
      </c>
      <c r="G1794" t="s">
        <v>5797</v>
      </c>
      <c r="H1794" s="6" t="s">
        <v>8421</v>
      </c>
    </row>
    <row r="1795" spans="1:8" ht="102" x14ac:dyDescent="0.2">
      <c r="A1795">
        <v>1793</v>
      </c>
      <c r="B1795" t="s">
        <v>1611</v>
      </c>
      <c r="C1795" t="s">
        <v>3051</v>
      </c>
      <c r="D1795" t="s">
        <v>3735</v>
      </c>
      <c r="E1795" t="s">
        <v>5778</v>
      </c>
      <c r="F1795" t="s">
        <v>4498</v>
      </c>
      <c r="G1795" t="s">
        <v>5798</v>
      </c>
      <c r="H1795" s="6" t="s">
        <v>8414</v>
      </c>
    </row>
    <row r="1796" spans="1:8" ht="102" x14ac:dyDescent="0.2">
      <c r="A1796">
        <v>1794</v>
      </c>
      <c r="B1796" t="s">
        <v>1611</v>
      </c>
      <c r="C1796" t="s">
        <v>3051</v>
      </c>
      <c r="D1796" t="s">
        <v>3735</v>
      </c>
      <c r="E1796" t="s">
        <v>5778</v>
      </c>
      <c r="F1796" t="s">
        <v>4498</v>
      </c>
      <c r="G1796" t="s">
        <v>5799</v>
      </c>
      <c r="H1796" s="6" t="s">
        <v>8415</v>
      </c>
    </row>
    <row r="1797" spans="1:8" ht="102" x14ac:dyDescent="0.2">
      <c r="A1797">
        <v>1795</v>
      </c>
      <c r="B1797" t="s">
        <v>1611</v>
      </c>
      <c r="C1797" t="s">
        <v>3051</v>
      </c>
      <c r="D1797" t="s">
        <v>3735</v>
      </c>
      <c r="E1797" t="s">
        <v>5778</v>
      </c>
      <c r="F1797" t="s">
        <v>4498</v>
      </c>
      <c r="G1797" t="s">
        <v>5800</v>
      </c>
      <c r="H1797" s="6" t="s">
        <v>8422</v>
      </c>
    </row>
    <row r="1798" spans="1:8" ht="85" x14ac:dyDescent="0.2">
      <c r="A1798">
        <v>1796</v>
      </c>
      <c r="B1798" t="s">
        <v>1611</v>
      </c>
      <c r="C1798" t="s">
        <v>3051</v>
      </c>
      <c r="D1798" t="s">
        <v>3735</v>
      </c>
      <c r="E1798" t="s">
        <v>5778</v>
      </c>
      <c r="F1798" t="s">
        <v>4498</v>
      </c>
      <c r="G1798" t="s">
        <v>5801</v>
      </c>
      <c r="H1798" s="6" t="s">
        <v>8423</v>
      </c>
    </row>
    <row r="1799" spans="1:8" ht="85" x14ac:dyDescent="0.2">
      <c r="A1799">
        <v>1797</v>
      </c>
      <c r="B1799" t="s">
        <v>1611</v>
      </c>
      <c r="C1799" t="s">
        <v>3051</v>
      </c>
      <c r="D1799" t="s">
        <v>3735</v>
      </c>
      <c r="E1799" t="s">
        <v>5778</v>
      </c>
      <c r="F1799" t="s">
        <v>4498</v>
      </c>
      <c r="G1799" t="s">
        <v>5802</v>
      </c>
      <c r="H1799" s="6" t="s">
        <v>8424</v>
      </c>
    </row>
    <row r="1800" spans="1:8" ht="85" x14ac:dyDescent="0.2">
      <c r="A1800">
        <v>1798</v>
      </c>
      <c r="B1800" t="s">
        <v>1611</v>
      </c>
      <c r="C1800" t="s">
        <v>3051</v>
      </c>
      <c r="D1800" t="s">
        <v>3735</v>
      </c>
      <c r="E1800" t="s">
        <v>5778</v>
      </c>
      <c r="F1800" t="s">
        <v>4498</v>
      </c>
      <c r="G1800" t="s">
        <v>5803</v>
      </c>
      <c r="H1800" s="6" t="s">
        <v>8425</v>
      </c>
    </row>
    <row r="1801" spans="1:8" ht="306" x14ac:dyDescent="0.2">
      <c r="A1801">
        <v>1799</v>
      </c>
      <c r="B1801" t="s">
        <v>1611</v>
      </c>
      <c r="C1801" t="s">
        <v>3051</v>
      </c>
      <c r="D1801" t="s">
        <v>3735</v>
      </c>
      <c r="E1801" t="s">
        <v>5804</v>
      </c>
      <c r="F1801" t="s">
        <v>4505</v>
      </c>
      <c r="G1801" t="s">
        <v>5805</v>
      </c>
      <c r="H1801" s="6" t="s">
        <v>8426</v>
      </c>
    </row>
    <row r="1802" spans="1:8" ht="204" x14ac:dyDescent="0.2">
      <c r="A1802">
        <v>1800</v>
      </c>
      <c r="B1802" t="s">
        <v>1611</v>
      </c>
      <c r="C1802" t="s">
        <v>3051</v>
      </c>
      <c r="D1802" t="s">
        <v>3735</v>
      </c>
      <c r="E1802" t="s">
        <v>5804</v>
      </c>
      <c r="F1802" t="s">
        <v>4505</v>
      </c>
      <c r="G1802" t="s">
        <v>5806</v>
      </c>
      <c r="H1802" s="6" t="s">
        <v>8427</v>
      </c>
    </row>
    <row r="1803" spans="1:8" ht="170" x14ac:dyDescent="0.2">
      <c r="A1803">
        <v>1801</v>
      </c>
      <c r="B1803" t="s">
        <v>1611</v>
      </c>
      <c r="C1803" t="s">
        <v>3051</v>
      </c>
      <c r="D1803" t="s">
        <v>3735</v>
      </c>
      <c r="E1803" t="s">
        <v>5804</v>
      </c>
      <c r="F1803" t="s">
        <v>4505</v>
      </c>
      <c r="G1803" t="s">
        <v>5807</v>
      </c>
      <c r="H1803" s="6" t="s">
        <v>8428</v>
      </c>
    </row>
    <row r="1804" spans="1:8" ht="187" x14ac:dyDescent="0.2">
      <c r="A1804">
        <v>1802</v>
      </c>
      <c r="B1804" t="s">
        <v>1611</v>
      </c>
      <c r="C1804" t="s">
        <v>3051</v>
      </c>
      <c r="D1804" t="s">
        <v>3735</v>
      </c>
      <c r="E1804" t="s">
        <v>5804</v>
      </c>
      <c r="F1804" t="s">
        <v>4505</v>
      </c>
      <c r="G1804" t="s">
        <v>5808</v>
      </c>
      <c r="H1804" s="6" t="s">
        <v>8429</v>
      </c>
    </row>
    <row r="1805" spans="1:8" ht="85" x14ac:dyDescent="0.2">
      <c r="A1805">
        <v>1803</v>
      </c>
      <c r="B1805" t="s">
        <v>1611</v>
      </c>
      <c r="C1805" t="s">
        <v>3051</v>
      </c>
      <c r="D1805" t="s">
        <v>3735</v>
      </c>
      <c r="E1805" t="s">
        <v>5804</v>
      </c>
      <c r="F1805" t="s">
        <v>4505</v>
      </c>
      <c r="G1805" t="s">
        <v>5809</v>
      </c>
      <c r="H1805" s="6" t="s">
        <v>8430</v>
      </c>
    </row>
    <row r="1806" spans="1:8" ht="102" x14ac:dyDescent="0.2">
      <c r="A1806">
        <v>1804</v>
      </c>
      <c r="B1806" t="s">
        <v>1611</v>
      </c>
      <c r="C1806" t="s">
        <v>3051</v>
      </c>
      <c r="D1806" t="s">
        <v>3735</v>
      </c>
      <c r="E1806" t="s">
        <v>5804</v>
      </c>
      <c r="F1806" t="s">
        <v>4505</v>
      </c>
      <c r="G1806" t="s">
        <v>5810</v>
      </c>
      <c r="H1806" s="6" t="s">
        <v>8431</v>
      </c>
    </row>
    <row r="1807" spans="1:8" ht="119" x14ac:dyDescent="0.2">
      <c r="A1807">
        <v>1805</v>
      </c>
      <c r="B1807" t="s">
        <v>1611</v>
      </c>
      <c r="C1807" t="s">
        <v>3051</v>
      </c>
      <c r="D1807" t="s">
        <v>3735</v>
      </c>
      <c r="E1807" t="s">
        <v>5804</v>
      </c>
      <c r="F1807" t="s">
        <v>4505</v>
      </c>
      <c r="G1807" t="s">
        <v>5811</v>
      </c>
      <c r="H1807" s="6" t="s">
        <v>8432</v>
      </c>
    </row>
    <row r="1808" spans="1:8" ht="85" x14ac:dyDescent="0.2">
      <c r="A1808">
        <v>1806</v>
      </c>
      <c r="B1808" t="s">
        <v>1611</v>
      </c>
      <c r="C1808" t="s">
        <v>3051</v>
      </c>
      <c r="D1808" t="s">
        <v>3735</v>
      </c>
      <c r="E1808" t="s">
        <v>5804</v>
      </c>
      <c r="F1808" t="s">
        <v>4505</v>
      </c>
      <c r="G1808" t="s">
        <v>5812</v>
      </c>
      <c r="H1808" s="6" t="s">
        <v>8433</v>
      </c>
    </row>
    <row r="1809" spans="1:8" ht="85" x14ac:dyDescent="0.2">
      <c r="A1809">
        <v>1807</v>
      </c>
      <c r="B1809" t="s">
        <v>1611</v>
      </c>
      <c r="C1809" t="s">
        <v>3051</v>
      </c>
      <c r="D1809" t="s">
        <v>3735</v>
      </c>
      <c r="E1809" t="s">
        <v>5804</v>
      </c>
      <c r="F1809" t="s">
        <v>4505</v>
      </c>
      <c r="G1809" t="s">
        <v>5813</v>
      </c>
      <c r="H1809" s="6" t="s">
        <v>8434</v>
      </c>
    </row>
    <row r="1810" spans="1:8" ht="221" x14ac:dyDescent="0.2">
      <c r="A1810">
        <v>1808</v>
      </c>
      <c r="B1810" t="s">
        <v>1611</v>
      </c>
      <c r="C1810" t="s">
        <v>3051</v>
      </c>
      <c r="D1810" t="s">
        <v>3735</v>
      </c>
      <c r="E1810" t="s">
        <v>5804</v>
      </c>
      <c r="F1810" t="s">
        <v>4505</v>
      </c>
      <c r="G1810" t="s">
        <v>5814</v>
      </c>
      <c r="H1810" s="6" t="s">
        <v>8435</v>
      </c>
    </row>
    <row r="1811" spans="1:8" ht="119" x14ac:dyDescent="0.2">
      <c r="A1811">
        <v>1809</v>
      </c>
      <c r="B1811" t="s">
        <v>1611</v>
      </c>
      <c r="C1811" t="s">
        <v>3051</v>
      </c>
      <c r="D1811" t="s">
        <v>3735</v>
      </c>
      <c r="E1811" t="s">
        <v>5804</v>
      </c>
      <c r="F1811" t="s">
        <v>4505</v>
      </c>
      <c r="G1811" t="s">
        <v>5815</v>
      </c>
      <c r="H1811" s="6" t="s">
        <v>8436</v>
      </c>
    </row>
    <row r="1812" spans="1:8" ht="238" x14ac:dyDescent="0.2">
      <c r="A1812">
        <v>1810</v>
      </c>
      <c r="B1812" t="s">
        <v>1611</v>
      </c>
      <c r="C1812" t="s">
        <v>3051</v>
      </c>
      <c r="D1812" t="s">
        <v>3735</v>
      </c>
      <c r="E1812" t="s">
        <v>5804</v>
      </c>
      <c r="F1812" t="s">
        <v>4505</v>
      </c>
      <c r="G1812" t="s">
        <v>5816</v>
      </c>
      <c r="H1812" s="6" t="s">
        <v>8437</v>
      </c>
    </row>
    <row r="1813" spans="1:8" ht="119" x14ac:dyDescent="0.2">
      <c r="A1813">
        <v>1811</v>
      </c>
      <c r="B1813" t="s">
        <v>1611</v>
      </c>
      <c r="C1813" t="s">
        <v>3051</v>
      </c>
      <c r="D1813" t="s">
        <v>3735</v>
      </c>
      <c r="E1813" t="s">
        <v>5804</v>
      </c>
      <c r="F1813" t="s">
        <v>4505</v>
      </c>
      <c r="G1813" t="s">
        <v>5817</v>
      </c>
      <c r="H1813" s="6" t="s">
        <v>8438</v>
      </c>
    </row>
    <row r="1814" spans="1:8" ht="85" x14ac:dyDescent="0.2">
      <c r="A1814">
        <v>1812</v>
      </c>
      <c r="B1814" t="s">
        <v>1611</v>
      </c>
      <c r="C1814" t="s">
        <v>3051</v>
      </c>
      <c r="D1814" t="s">
        <v>3735</v>
      </c>
      <c r="E1814" t="s">
        <v>5804</v>
      </c>
      <c r="F1814" t="s">
        <v>4505</v>
      </c>
      <c r="G1814" t="s">
        <v>5818</v>
      </c>
      <c r="H1814" s="6" t="s">
        <v>8439</v>
      </c>
    </row>
    <row r="1815" spans="1:8" ht="238" x14ac:dyDescent="0.2">
      <c r="A1815">
        <v>1813</v>
      </c>
      <c r="B1815" t="s">
        <v>1611</v>
      </c>
      <c r="C1815" t="s">
        <v>3051</v>
      </c>
      <c r="D1815" t="s">
        <v>3735</v>
      </c>
      <c r="E1815" t="s">
        <v>5804</v>
      </c>
      <c r="F1815" t="s">
        <v>4505</v>
      </c>
      <c r="G1815" t="s">
        <v>5819</v>
      </c>
      <c r="H1815" s="6" t="s">
        <v>8440</v>
      </c>
    </row>
    <row r="1816" spans="1:8" ht="119" x14ac:dyDescent="0.2">
      <c r="A1816">
        <v>1814</v>
      </c>
      <c r="B1816" t="s">
        <v>1611</v>
      </c>
      <c r="C1816" t="s">
        <v>3051</v>
      </c>
      <c r="D1816" t="s">
        <v>3735</v>
      </c>
      <c r="E1816" t="s">
        <v>5804</v>
      </c>
      <c r="F1816" t="s">
        <v>4505</v>
      </c>
      <c r="G1816" t="s">
        <v>5820</v>
      </c>
      <c r="H1816" s="6" t="s">
        <v>8438</v>
      </c>
    </row>
    <row r="1817" spans="1:8" ht="136" x14ac:dyDescent="0.2">
      <c r="A1817">
        <v>1815</v>
      </c>
      <c r="B1817" t="s">
        <v>1611</v>
      </c>
      <c r="C1817" t="s">
        <v>3051</v>
      </c>
      <c r="D1817" t="s">
        <v>3735</v>
      </c>
      <c r="E1817" t="s">
        <v>5804</v>
      </c>
      <c r="F1817" t="s">
        <v>4505</v>
      </c>
      <c r="G1817" t="s">
        <v>5821</v>
      </c>
      <c r="H1817" s="6" t="s">
        <v>8441</v>
      </c>
    </row>
    <row r="1818" spans="1:8" ht="102" x14ac:dyDescent="0.2">
      <c r="A1818">
        <v>1816</v>
      </c>
      <c r="B1818" t="s">
        <v>1611</v>
      </c>
      <c r="C1818" t="s">
        <v>3051</v>
      </c>
      <c r="D1818" t="s">
        <v>3735</v>
      </c>
      <c r="E1818" t="s">
        <v>5804</v>
      </c>
      <c r="F1818" t="s">
        <v>4505</v>
      </c>
      <c r="G1818" t="s">
        <v>5822</v>
      </c>
      <c r="H1818" s="6" t="s">
        <v>8442</v>
      </c>
    </row>
    <row r="1819" spans="1:8" ht="85" x14ac:dyDescent="0.2">
      <c r="A1819">
        <v>1817</v>
      </c>
      <c r="B1819" t="s">
        <v>1611</v>
      </c>
      <c r="C1819" t="s">
        <v>3051</v>
      </c>
      <c r="D1819" t="s">
        <v>3735</v>
      </c>
      <c r="E1819" t="s">
        <v>5804</v>
      </c>
      <c r="F1819" t="s">
        <v>4505</v>
      </c>
      <c r="G1819" t="s">
        <v>5823</v>
      </c>
      <c r="H1819" s="6" t="s">
        <v>8443</v>
      </c>
    </row>
    <row r="1820" spans="1:8" ht="221" x14ac:dyDescent="0.2">
      <c r="A1820">
        <v>1818</v>
      </c>
      <c r="B1820" t="s">
        <v>1611</v>
      </c>
      <c r="C1820" t="s">
        <v>3051</v>
      </c>
      <c r="D1820" t="s">
        <v>3735</v>
      </c>
      <c r="E1820" t="s">
        <v>5804</v>
      </c>
      <c r="F1820" t="s">
        <v>4505</v>
      </c>
      <c r="G1820" t="s">
        <v>5824</v>
      </c>
      <c r="H1820" s="6" t="s">
        <v>8444</v>
      </c>
    </row>
    <row r="1821" spans="1:8" ht="153" x14ac:dyDescent="0.2">
      <c r="A1821">
        <v>1819</v>
      </c>
      <c r="B1821" t="s">
        <v>1611</v>
      </c>
      <c r="C1821" t="s">
        <v>3051</v>
      </c>
      <c r="D1821" t="s">
        <v>3735</v>
      </c>
      <c r="E1821" t="s">
        <v>5804</v>
      </c>
      <c r="F1821" t="s">
        <v>4505</v>
      </c>
      <c r="G1821" t="s">
        <v>5825</v>
      </c>
      <c r="H1821" s="6" t="s">
        <v>8445</v>
      </c>
    </row>
    <row r="1822" spans="1:8" ht="119" x14ac:dyDescent="0.2">
      <c r="A1822">
        <v>1820</v>
      </c>
      <c r="B1822" t="s">
        <v>1611</v>
      </c>
      <c r="C1822" t="s">
        <v>3051</v>
      </c>
      <c r="D1822" t="s">
        <v>3735</v>
      </c>
      <c r="E1822" t="s">
        <v>5804</v>
      </c>
      <c r="F1822" t="s">
        <v>4505</v>
      </c>
      <c r="G1822" t="s">
        <v>5826</v>
      </c>
      <c r="H1822" s="6" t="s">
        <v>8446</v>
      </c>
    </row>
    <row r="1823" spans="1:8" ht="204" x14ac:dyDescent="0.2">
      <c r="A1823">
        <v>1821</v>
      </c>
      <c r="B1823" t="s">
        <v>1611</v>
      </c>
      <c r="C1823" t="s">
        <v>3051</v>
      </c>
      <c r="D1823" t="s">
        <v>3735</v>
      </c>
      <c r="E1823" t="s">
        <v>5804</v>
      </c>
      <c r="F1823" t="s">
        <v>4505</v>
      </c>
      <c r="G1823" t="s">
        <v>5827</v>
      </c>
      <c r="H1823" s="6" t="s">
        <v>8447</v>
      </c>
    </row>
    <row r="1824" spans="1:8" ht="102" x14ac:dyDescent="0.2">
      <c r="A1824">
        <v>1822</v>
      </c>
      <c r="B1824" t="s">
        <v>1611</v>
      </c>
      <c r="C1824" t="s">
        <v>3051</v>
      </c>
      <c r="D1824" t="s">
        <v>3735</v>
      </c>
      <c r="E1824" t="s">
        <v>5804</v>
      </c>
      <c r="F1824" t="s">
        <v>4505</v>
      </c>
      <c r="G1824" t="s">
        <v>5828</v>
      </c>
      <c r="H1824" s="6" t="s">
        <v>8448</v>
      </c>
    </row>
    <row r="1825" spans="1:8" ht="102" x14ac:dyDescent="0.2">
      <c r="A1825">
        <v>1823</v>
      </c>
      <c r="B1825" t="s">
        <v>1611</v>
      </c>
      <c r="C1825" t="s">
        <v>3051</v>
      </c>
      <c r="D1825" t="s">
        <v>3735</v>
      </c>
      <c r="E1825" t="s">
        <v>5804</v>
      </c>
      <c r="F1825" t="s">
        <v>4505</v>
      </c>
      <c r="G1825" t="s">
        <v>5829</v>
      </c>
      <c r="H1825" s="6" t="s">
        <v>8449</v>
      </c>
    </row>
    <row r="1826" spans="1:8" ht="119" x14ac:dyDescent="0.2">
      <c r="A1826">
        <v>1824</v>
      </c>
      <c r="B1826" t="s">
        <v>1611</v>
      </c>
      <c r="C1826" t="s">
        <v>3051</v>
      </c>
      <c r="D1826" t="s">
        <v>3735</v>
      </c>
      <c r="E1826" t="s">
        <v>5804</v>
      </c>
      <c r="F1826" t="s">
        <v>4505</v>
      </c>
      <c r="G1826" t="s">
        <v>5830</v>
      </c>
      <c r="H1826" s="6" t="s">
        <v>8450</v>
      </c>
    </row>
    <row r="1827" spans="1:8" ht="102" x14ac:dyDescent="0.2">
      <c r="A1827">
        <v>1825</v>
      </c>
      <c r="B1827" t="s">
        <v>1611</v>
      </c>
      <c r="C1827" t="s">
        <v>3051</v>
      </c>
      <c r="D1827" t="s">
        <v>3735</v>
      </c>
      <c r="E1827" t="s">
        <v>5804</v>
      </c>
      <c r="F1827" t="s">
        <v>4505</v>
      </c>
      <c r="G1827" t="s">
        <v>5831</v>
      </c>
      <c r="H1827" s="6" t="s">
        <v>8451</v>
      </c>
    </row>
    <row r="1828" spans="1:8" ht="102" x14ac:dyDescent="0.2">
      <c r="A1828">
        <v>1826</v>
      </c>
      <c r="B1828" t="s">
        <v>1611</v>
      </c>
      <c r="C1828" t="s">
        <v>3051</v>
      </c>
      <c r="D1828" t="s">
        <v>3735</v>
      </c>
      <c r="E1828" t="s">
        <v>5804</v>
      </c>
      <c r="F1828" t="s">
        <v>4505</v>
      </c>
      <c r="G1828" t="s">
        <v>5832</v>
      </c>
      <c r="H1828" s="6" t="s">
        <v>8452</v>
      </c>
    </row>
    <row r="1829" spans="1:8" ht="204" x14ac:dyDescent="0.2">
      <c r="A1829">
        <v>1827</v>
      </c>
      <c r="B1829" t="s">
        <v>1611</v>
      </c>
      <c r="C1829" t="s">
        <v>3051</v>
      </c>
      <c r="D1829" t="s">
        <v>3735</v>
      </c>
      <c r="E1829" t="s">
        <v>5804</v>
      </c>
      <c r="F1829" t="s">
        <v>4505</v>
      </c>
      <c r="G1829" t="s">
        <v>5833</v>
      </c>
      <c r="H1829" s="6" t="s">
        <v>8453</v>
      </c>
    </row>
    <row r="1830" spans="1:8" ht="85" x14ac:dyDescent="0.2">
      <c r="A1830">
        <v>1828</v>
      </c>
      <c r="B1830" t="s">
        <v>1611</v>
      </c>
      <c r="C1830" t="s">
        <v>3051</v>
      </c>
      <c r="D1830" t="s">
        <v>3735</v>
      </c>
      <c r="E1830" t="s">
        <v>5804</v>
      </c>
      <c r="F1830" t="s">
        <v>4505</v>
      </c>
      <c r="G1830" t="s">
        <v>5834</v>
      </c>
      <c r="H1830" s="6" t="s">
        <v>8454</v>
      </c>
    </row>
    <row r="1831" spans="1:8" ht="102" x14ac:dyDescent="0.2">
      <c r="A1831">
        <v>1829</v>
      </c>
      <c r="B1831" t="s">
        <v>1611</v>
      </c>
      <c r="C1831" t="s">
        <v>3051</v>
      </c>
      <c r="D1831" t="s">
        <v>3735</v>
      </c>
      <c r="E1831" t="s">
        <v>5804</v>
      </c>
      <c r="F1831" t="s">
        <v>4505</v>
      </c>
      <c r="G1831" t="s">
        <v>5835</v>
      </c>
      <c r="H1831" s="6" t="s">
        <v>8449</v>
      </c>
    </row>
    <row r="1832" spans="1:8" ht="119" x14ac:dyDescent="0.2">
      <c r="A1832">
        <v>1830</v>
      </c>
      <c r="B1832" t="s">
        <v>1611</v>
      </c>
      <c r="C1832" t="s">
        <v>3051</v>
      </c>
      <c r="D1832" t="s">
        <v>3735</v>
      </c>
      <c r="E1832" t="s">
        <v>5804</v>
      </c>
      <c r="F1832" t="s">
        <v>4505</v>
      </c>
      <c r="G1832" t="s">
        <v>5836</v>
      </c>
      <c r="H1832" s="6" t="s">
        <v>8450</v>
      </c>
    </row>
    <row r="1833" spans="1:8" ht="85" x14ac:dyDescent="0.2">
      <c r="A1833">
        <v>1831</v>
      </c>
      <c r="B1833" t="s">
        <v>1611</v>
      </c>
      <c r="C1833" t="s">
        <v>3051</v>
      </c>
      <c r="D1833" t="s">
        <v>3735</v>
      </c>
      <c r="E1833" t="s">
        <v>5804</v>
      </c>
      <c r="F1833" t="s">
        <v>4505</v>
      </c>
      <c r="G1833" t="s">
        <v>5837</v>
      </c>
      <c r="H1833" s="6" t="s">
        <v>8455</v>
      </c>
    </row>
    <row r="1834" spans="1:8" ht="136" x14ac:dyDescent="0.2">
      <c r="A1834">
        <v>1832</v>
      </c>
      <c r="B1834" t="s">
        <v>1611</v>
      </c>
      <c r="C1834" t="s">
        <v>3051</v>
      </c>
      <c r="D1834" t="s">
        <v>3735</v>
      </c>
      <c r="E1834" t="s">
        <v>5804</v>
      </c>
      <c r="F1834" t="s">
        <v>4505</v>
      </c>
      <c r="G1834" t="s">
        <v>5838</v>
      </c>
      <c r="H1834" s="6" t="s">
        <v>8456</v>
      </c>
    </row>
    <row r="1835" spans="1:8" ht="85" x14ac:dyDescent="0.2">
      <c r="A1835">
        <v>1833</v>
      </c>
      <c r="B1835" t="s">
        <v>1611</v>
      </c>
      <c r="C1835" t="s">
        <v>3051</v>
      </c>
      <c r="D1835" t="s">
        <v>3735</v>
      </c>
      <c r="E1835" t="s">
        <v>5804</v>
      </c>
      <c r="F1835" t="s">
        <v>4505</v>
      </c>
      <c r="G1835" t="s">
        <v>5839</v>
      </c>
      <c r="H1835" s="6" t="s">
        <v>8457</v>
      </c>
    </row>
    <row r="1836" spans="1:8" ht="85" x14ac:dyDescent="0.2">
      <c r="A1836">
        <v>1834</v>
      </c>
      <c r="B1836" t="s">
        <v>1611</v>
      </c>
      <c r="C1836" t="s">
        <v>3051</v>
      </c>
      <c r="D1836" t="s">
        <v>3735</v>
      </c>
      <c r="E1836" t="s">
        <v>5804</v>
      </c>
      <c r="F1836" t="s">
        <v>4505</v>
      </c>
      <c r="G1836" t="s">
        <v>5840</v>
      </c>
      <c r="H1836" s="6" t="s">
        <v>8458</v>
      </c>
    </row>
    <row r="1837" spans="1:8" ht="85" x14ac:dyDescent="0.2">
      <c r="A1837">
        <v>1835</v>
      </c>
      <c r="B1837" t="s">
        <v>1611</v>
      </c>
      <c r="C1837" t="s">
        <v>3051</v>
      </c>
      <c r="D1837" t="s">
        <v>3735</v>
      </c>
      <c r="E1837" t="s">
        <v>5804</v>
      </c>
      <c r="F1837" t="s">
        <v>4505</v>
      </c>
      <c r="G1837" t="s">
        <v>5841</v>
      </c>
      <c r="H1837" s="6" t="s">
        <v>8425</v>
      </c>
    </row>
    <row r="1838" spans="1:8" ht="170" x14ac:dyDescent="0.2">
      <c r="A1838">
        <v>1836</v>
      </c>
      <c r="B1838" t="s">
        <v>1611</v>
      </c>
      <c r="C1838" t="s">
        <v>3051</v>
      </c>
      <c r="D1838" t="s">
        <v>3735</v>
      </c>
      <c r="E1838" t="s">
        <v>5804</v>
      </c>
      <c r="F1838" t="s">
        <v>4505</v>
      </c>
      <c r="G1838" t="s">
        <v>5842</v>
      </c>
      <c r="H1838" s="6" t="s">
        <v>8459</v>
      </c>
    </row>
    <row r="1839" spans="1:8" ht="119" x14ac:dyDescent="0.2">
      <c r="A1839">
        <v>1837</v>
      </c>
      <c r="B1839" t="s">
        <v>1611</v>
      </c>
      <c r="C1839" t="s">
        <v>3051</v>
      </c>
      <c r="D1839" t="s">
        <v>3735</v>
      </c>
      <c r="E1839" t="s">
        <v>5804</v>
      </c>
      <c r="F1839" t="s">
        <v>4505</v>
      </c>
      <c r="G1839" t="s">
        <v>5843</v>
      </c>
      <c r="H1839" s="6" t="s">
        <v>8460</v>
      </c>
    </row>
    <row r="1840" spans="1:8" ht="119" x14ac:dyDescent="0.2">
      <c r="A1840">
        <v>1838</v>
      </c>
      <c r="B1840" t="s">
        <v>1611</v>
      </c>
      <c r="C1840" t="s">
        <v>3051</v>
      </c>
      <c r="D1840" t="s">
        <v>3735</v>
      </c>
      <c r="E1840" t="s">
        <v>5804</v>
      </c>
      <c r="F1840" t="s">
        <v>4505</v>
      </c>
      <c r="G1840" t="s">
        <v>5844</v>
      </c>
      <c r="H1840" s="6" t="s">
        <v>8461</v>
      </c>
    </row>
    <row r="1841" spans="1:8" ht="85" x14ac:dyDescent="0.2">
      <c r="A1841">
        <v>1839</v>
      </c>
      <c r="B1841" t="s">
        <v>1611</v>
      </c>
      <c r="C1841" t="s">
        <v>3051</v>
      </c>
      <c r="D1841" t="s">
        <v>3735</v>
      </c>
      <c r="E1841" t="s">
        <v>5804</v>
      </c>
      <c r="F1841" t="s">
        <v>4505</v>
      </c>
      <c r="G1841" t="s">
        <v>5845</v>
      </c>
      <c r="H1841" s="6" t="s">
        <v>8462</v>
      </c>
    </row>
    <row r="1842" spans="1:8" ht="85" x14ac:dyDescent="0.2">
      <c r="A1842">
        <v>1840</v>
      </c>
      <c r="B1842" t="s">
        <v>1611</v>
      </c>
      <c r="C1842" t="s">
        <v>3051</v>
      </c>
      <c r="D1842" t="s">
        <v>3735</v>
      </c>
      <c r="E1842" t="s">
        <v>5804</v>
      </c>
      <c r="F1842" t="s">
        <v>4505</v>
      </c>
      <c r="G1842" t="s">
        <v>5846</v>
      </c>
      <c r="H1842" s="6" t="s">
        <v>8463</v>
      </c>
    </row>
    <row r="1843" spans="1:8" ht="102" x14ac:dyDescent="0.2">
      <c r="A1843">
        <v>1841</v>
      </c>
      <c r="B1843" t="s">
        <v>1611</v>
      </c>
      <c r="C1843" t="s">
        <v>3051</v>
      </c>
      <c r="D1843" t="s">
        <v>3735</v>
      </c>
      <c r="E1843" t="s">
        <v>5804</v>
      </c>
      <c r="F1843" t="s">
        <v>4505</v>
      </c>
      <c r="G1843" t="s">
        <v>5847</v>
      </c>
      <c r="H1843" s="6" t="s">
        <v>8464</v>
      </c>
    </row>
    <row r="1844" spans="1:8" ht="119" x14ac:dyDescent="0.2">
      <c r="A1844">
        <v>1842</v>
      </c>
      <c r="B1844" t="s">
        <v>1611</v>
      </c>
      <c r="C1844" t="s">
        <v>3051</v>
      </c>
      <c r="D1844" t="s">
        <v>3735</v>
      </c>
      <c r="E1844" t="s">
        <v>5804</v>
      </c>
      <c r="F1844" t="s">
        <v>4505</v>
      </c>
      <c r="G1844" t="s">
        <v>5848</v>
      </c>
      <c r="H1844" s="6" t="s">
        <v>8465</v>
      </c>
    </row>
    <row r="1845" spans="1:8" ht="85" x14ac:dyDescent="0.2">
      <c r="A1845">
        <v>1843</v>
      </c>
      <c r="B1845" t="s">
        <v>1611</v>
      </c>
      <c r="C1845" t="s">
        <v>3051</v>
      </c>
      <c r="D1845" t="s">
        <v>3735</v>
      </c>
      <c r="E1845" t="s">
        <v>5804</v>
      </c>
      <c r="F1845" t="s">
        <v>4505</v>
      </c>
      <c r="G1845" t="s">
        <v>5849</v>
      </c>
      <c r="H1845" s="6" t="s">
        <v>8466</v>
      </c>
    </row>
    <row r="1846" spans="1:8" ht="85" x14ac:dyDescent="0.2">
      <c r="A1846">
        <v>1844</v>
      </c>
      <c r="B1846" t="s">
        <v>1611</v>
      </c>
      <c r="C1846" t="s">
        <v>3051</v>
      </c>
      <c r="D1846" t="s">
        <v>3735</v>
      </c>
      <c r="E1846" t="s">
        <v>5804</v>
      </c>
      <c r="F1846" t="s">
        <v>4505</v>
      </c>
      <c r="G1846" t="s">
        <v>5850</v>
      </c>
      <c r="H1846" s="6" t="s">
        <v>8467</v>
      </c>
    </row>
    <row r="1847" spans="1:8" ht="85" x14ac:dyDescent="0.2">
      <c r="A1847">
        <v>1845</v>
      </c>
      <c r="B1847" t="s">
        <v>1611</v>
      </c>
      <c r="C1847" t="s">
        <v>3051</v>
      </c>
      <c r="D1847" t="s">
        <v>3735</v>
      </c>
      <c r="E1847" t="s">
        <v>5804</v>
      </c>
      <c r="F1847" t="s">
        <v>4505</v>
      </c>
      <c r="G1847" t="s">
        <v>5851</v>
      </c>
      <c r="H1847" s="6" t="s">
        <v>8468</v>
      </c>
    </row>
    <row r="1848" spans="1:8" ht="409.6" x14ac:dyDescent="0.2">
      <c r="A1848">
        <v>1846</v>
      </c>
      <c r="B1848" t="s">
        <v>1611</v>
      </c>
      <c r="C1848" t="s">
        <v>3051</v>
      </c>
      <c r="D1848" t="s">
        <v>3735</v>
      </c>
      <c r="E1848" t="s">
        <v>5804</v>
      </c>
      <c r="F1848" t="s">
        <v>4505</v>
      </c>
      <c r="G1848" t="s">
        <v>5852</v>
      </c>
      <c r="H1848" s="6" t="s">
        <v>8469</v>
      </c>
    </row>
    <row r="1849" spans="1:8" ht="102" x14ac:dyDescent="0.2">
      <c r="A1849">
        <v>1847</v>
      </c>
      <c r="B1849" t="s">
        <v>1611</v>
      </c>
      <c r="C1849" t="s">
        <v>3051</v>
      </c>
      <c r="D1849" t="s">
        <v>3735</v>
      </c>
      <c r="E1849" t="s">
        <v>5804</v>
      </c>
      <c r="F1849" t="s">
        <v>4505</v>
      </c>
      <c r="G1849" t="s">
        <v>5853</v>
      </c>
      <c r="H1849" s="6" t="s">
        <v>8470</v>
      </c>
    </row>
    <row r="1850" spans="1:8" ht="102" x14ac:dyDescent="0.2">
      <c r="A1850">
        <v>1848</v>
      </c>
      <c r="B1850" t="s">
        <v>1611</v>
      </c>
      <c r="C1850" t="s">
        <v>3051</v>
      </c>
      <c r="D1850" t="s">
        <v>3735</v>
      </c>
      <c r="E1850" t="s">
        <v>5804</v>
      </c>
      <c r="F1850" t="s">
        <v>4505</v>
      </c>
      <c r="G1850" t="s">
        <v>5854</v>
      </c>
      <c r="H1850" s="6" t="s">
        <v>8471</v>
      </c>
    </row>
    <row r="1851" spans="1:8" ht="102" x14ac:dyDescent="0.2">
      <c r="A1851">
        <v>1849</v>
      </c>
      <c r="B1851" t="s">
        <v>1611</v>
      </c>
      <c r="C1851" t="s">
        <v>3051</v>
      </c>
      <c r="D1851" t="s">
        <v>3735</v>
      </c>
      <c r="E1851" t="s">
        <v>5804</v>
      </c>
      <c r="F1851" t="s">
        <v>4505</v>
      </c>
      <c r="G1851" t="s">
        <v>5855</v>
      </c>
      <c r="H1851" s="6" t="s">
        <v>8472</v>
      </c>
    </row>
    <row r="1852" spans="1:8" ht="85" x14ac:dyDescent="0.2">
      <c r="A1852">
        <v>1850</v>
      </c>
      <c r="B1852" t="s">
        <v>1611</v>
      </c>
      <c r="C1852" t="s">
        <v>3051</v>
      </c>
      <c r="D1852" t="s">
        <v>3735</v>
      </c>
      <c r="E1852" t="s">
        <v>5804</v>
      </c>
      <c r="F1852" t="s">
        <v>4505</v>
      </c>
      <c r="G1852" t="s">
        <v>5856</v>
      </c>
      <c r="H1852" s="6" t="s">
        <v>8473</v>
      </c>
    </row>
    <row r="1853" spans="1:8" ht="102" x14ac:dyDescent="0.2">
      <c r="A1853">
        <v>1851</v>
      </c>
      <c r="B1853" t="s">
        <v>1611</v>
      </c>
      <c r="C1853" t="s">
        <v>3051</v>
      </c>
      <c r="D1853" t="s">
        <v>3735</v>
      </c>
      <c r="E1853" t="s">
        <v>5857</v>
      </c>
      <c r="F1853" t="s">
        <v>5858</v>
      </c>
      <c r="G1853" t="s">
        <v>5859</v>
      </c>
      <c r="H1853" s="6" t="s">
        <v>8474</v>
      </c>
    </row>
    <row r="1854" spans="1:8" ht="204" x14ac:dyDescent="0.2">
      <c r="A1854">
        <v>1852</v>
      </c>
      <c r="B1854" t="s">
        <v>1611</v>
      </c>
      <c r="C1854" t="s">
        <v>3051</v>
      </c>
      <c r="D1854" t="s">
        <v>3735</v>
      </c>
      <c r="E1854" t="s">
        <v>5857</v>
      </c>
      <c r="F1854" t="s">
        <v>5858</v>
      </c>
      <c r="G1854" t="s">
        <v>5860</v>
      </c>
      <c r="H1854" s="6" t="s">
        <v>8475</v>
      </c>
    </row>
    <row r="1855" spans="1:8" ht="119" x14ac:dyDescent="0.2">
      <c r="A1855">
        <v>1853</v>
      </c>
      <c r="B1855" t="s">
        <v>1611</v>
      </c>
      <c r="C1855" t="s">
        <v>3051</v>
      </c>
      <c r="D1855" t="s">
        <v>3735</v>
      </c>
      <c r="E1855" t="s">
        <v>5857</v>
      </c>
      <c r="F1855" t="s">
        <v>5858</v>
      </c>
      <c r="G1855" t="s">
        <v>5861</v>
      </c>
      <c r="H1855" s="6" t="s">
        <v>8476</v>
      </c>
    </row>
    <row r="1856" spans="1:8" ht="85" x14ac:dyDescent="0.2">
      <c r="A1856">
        <v>1854</v>
      </c>
      <c r="B1856" t="s">
        <v>1611</v>
      </c>
      <c r="C1856" t="s">
        <v>3051</v>
      </c>
      <c r="D1856" t="s">
        <v>3735</v>
      </c>
      <c r="E1856" t="s">
        <v>5857</v>
      </c>
      <c r="F1856" t="s">
        <v>5858</v>
      </c>
      <c r="G1856" t="s">
        <v>5862</v>
      </c>
      <c r="H1856" s="6" t="s">
        <v>8477</v>
      </c>
    </row>
    <row r="1857" spans="1:8" ht="102" x14ac:dyDescent="0.2">
      <c r="A1857">
        <v>1855</v>
      </c>
      <c r="B1857" t="s">
        <v>1611</v>
      </c>
      <c r="C1857" t="s">
        <v>3051</v>
      </c>
      <c r="D1857" t="s">
        <v>3735</v>
      </c>
      <c r="E1857" t="s">
        <v>5857</v>
      </c>
      <c r="F1857" t="s">
        <v>5858</v>
      </c>
      <c r="G1857" t="s">
        <v>5863</v>
      </c>
      <c r="H1857" s="6" t="s">
        <v>8478</v>
      </c>
    </row>
    <row r="1858" spans="1:8" ht="85" x14ac:dyDescent="0.2">
      <c r="A1858">
        <v>1856</v>
      </c>
      <c r="B1858" t="s">
        <v>1611</v>
      </c>
      <c r="C1858" t="s">
        <v>3051</v>
      </c>
      <c r="D1858" t="s">
        <v>3735</v>
      </c>
      <c r="E1858" t="s">
        <v>5857</v>
      </c>
      <c r="F1858" t="s">
        <v>5858</v>
      </c>
      <c r="G1858" t="s">
        <v>5864</v>
      </c>
      <c r="H1858" s="6" t="s">
        <v>8479</v>
      </c>
    </row>
    <row r="1859" spans="1:8" ht="136" x14ac:dyDescent="0.2">
      <c r="A1859">
        <v>1857</v>
      </c>
      <c r="B1859" t="s">
        <v>1611</v>
      </c>
      <c r="C1859" t="s">
        <v>3051</v>
      </c>
      <c r="D1859" t="s">
        <v>3735</v>
      </c>
      <c r="E1859" t="s">
        <v>5857</v>
      </c>
      <c r="F1859" t="s">
        <v>5858</v>
      </c>
      <c r="G1859" t="s">
        <v>5865</v>
      </c>
      <c r="H1859" s="6" t="s">
        <v>8480</v>
      </c>
    </row>
    <row r="1860" spans="1:8" ht="187" x14ac:dyDescent="0.2">
      <c r="A1860">
        <v>1858</v>
      </c>
      <c r="B1860" t="s">
        <v>1611</v>
      </c>
      <c r="C1860" t="s">
        <v>3051</v>
      </c>
      <c r="D1860" t="s">
        <v>3735</v>
      </c>
      <c r="E1860" t="s">
        <v>5857</v>
      </c>
      <c r="F1860" t="s">
        <v>5858</v>
      </c>
      <c r="G1860" t="s">
        <v>5866</v>
      </c>
      <c r="H1860" s="6" t="s">
        <v>7163</v>
      </c>
    </row>
    <row r="1861" spans="1:8" ht="85" x14ac:dyDescent="0.2">
      <c r="A1861">
        <v>1859</v>
      </c>
      <c r="B1861" t="s">
        <v>1611</v>
      </c>
      <c r="C1861" t="s">
        <v>3051</v>
      </c>
      <c r="D1861" t="s">
        <v>3735</v>
      </c>
      <c r="E1861" t="s">
        <v>5857</v>
      </c>
      <c r="F1861" t="s">
        <v>5858</v>
      </c>
      <c r="G1861" t="s">
        <v>5867</v>
      </c>
      <c r="H1861" s="6" t="s">
        <v>8481</v>
      </c>
    </row>
    <row r="1862" spans="1:8" ht="187" x14ac:dyDescent="0.2">
      <c r="A1862">
        <v>1860</v>
      </c>
      <c r="B1862" t="s">
        <v>1611</v>
      </c>
      <c r="C1862" t="s">
        <v>3051</v>
      </c>
      <c r="D1862" t="s">
        <v>3735</v>
      </c>
      <c r="E1862" t="s">
        <v>5857</v>
      </c>
      <c r="F1862" t="s">
        <v>5858</v>
      </c>
      <c r="G1862" t="s">
        <v>5868</v>
      </c>
      <c r="H1862" s="6" t="s">
        <v>8482</v>
      </c>
    </row>
    <row r="1863" spans="1:8" ht="102" x14ac:dyDescent="0.2">
      <c r="A1863">
        <v>1861</v>
      </c>
      <c r="B1863" t="s">
        <v>1611</v>
      </c>
      <c r="C1863" t="s">
        <v>3051</v>
      </c>
      <c r="D1863" t="s">
        <v>3735</v>
      </c>
      <c r="E1863" t="s">
        <v>5857</v>
      </c>
      <c r="F1863" t="s">
        <v>5858</v>
      </c>
      <c r="G1863" t="s">
        <v>5869</v>
      </c>
      <c r="H1863" s="6" t="s">
        <v>8483</v>
      </c>
    </row>
    <row r="1864" spans="1:8" ht="85" x14ac:dyDescent="0.2">
      <c r="A1864">
        <v>1862</v>
      </c>
      <c r="B1864" t="s">
        <v>1611</v>
      </c>
      <c r="C1864" t="s">
        <v>3051</v>
      </c>
      <c r="D1864" t="s">
        <v>3735</v>
      </c>
      <c r="E1864" t="s">
        <v>5857</v>
      </c>
      <c r="F1864" t="s">
        <v>5858</v>
      </c>
      <c r="G1864" t="s">
        <v>5870</v>
      </c>
      <c r="H1864" s="6" t="s">
        <v>8484</v>
      </c>
    </row>
    <row r="1865" spans="1:8" ht="85" x14ac:dyDescent="0.2">
      <c r="A1865">
        <v>1863</v>
      </c>
      <c r="B1865" t="s">
        <v>1611</v>
      </c>
      <c r="C1865" t="s">
        <v>3051</v>
      </c>
      <c r="D1865" t="s">
        <v>3735</v>
      </c>
      <c r="E1865" t="s">
        <v>5857</v>
      </c>
      <c r="F1865" t="s">
        <v>5858</v>
      </c>
      <c r="G1865" t="s">
        <v>5871</v>
      </c>
      <c r="H1865" s="6" t="s">
        <v>8485</v>
      </c>
    </row>
    <row r="1866" spans="1:8" ht="153" x14ac:dyDescent="0.2">
      <c r="A1866">
        <v>1864</v>
      </c>
      <c r="B1866" t="s">
        <v>1611</v>
      </c>
      <c r="C1866" t="s">
        <v>3051</v>
      </c>
      <c r="D1866" t="s">
        <v>3735</v>
      </c>
      <c r="E1866" t="s">
        <v>5857</v>
      </c>
      <c r="F1866" t="s">
        <v>5858</v>
      </c>
      <c r="G1866" t="s">
        <v>5872</v>
      </c>
      <c r="H1866" s="6" t="s">
        <v>8486</v>
      </c>
    </row>
    <row r="1867" spans="1:8" ht="85" x14ac:dyDescent="0.2">
      <c r="A1867">
        <v>1865</v>
      </c>
      <c r="B1867" t="s">
        <v>1611</v>
      </c>
      <c r="C1867" t="s">
        <v>3051</v>
      </c>
      <c r="D1867" t="s">
        <v>3735</v>
      </c>
      <c r="E1867" t="s">
        <v>5857</v>
      </c>
      <c r="F1867" t="s">
        <v>5858</v>
      </c>
      <c r="G1867" t="s">
        <v>5873</v>
      </c>
      <c r="H1867" s="6" t="s">
        <v>8487</v>
      </c>
    </row>
    <row r="1868" spans="1:8" ht="102" x14ac:dyDescent="0.2">
      <c r="A1868">
        <v>1866</v>
      </c>
      <c r="B1868" t="s">
        <v>1611</v>
      </c>
      <c r="C1868" t="s">
        <v>3051</v>
      </c>
      <c r="D1868" t="s">
        <v>3735</v>
      </c>
      <c r="E1868" t="s">
        <v>5857</v>
      </c>
      <c r="F1868" t="s">
        <v>5858</v>
      </c>
      <c r="G1868" t="s">
        <v>5874</v>
      </c>
      <c r="H1868" s="6" t="s">
        <v>8488</v>
      </c>
    </row>
    <row r="1869" spans="1:8" ht="153" x14ac:dyDescent="0.2">
      <c r="A1869">
        <v>1867</v>
      </c>
      <c r="B1869" t="s">
        <v>1611</v>
      </c>
      <c r="C1869" t="s">
        <v>3051</v>
      </c>
      <c r="D1869" t="s">
        <v>3735</v>
      </c>
      <c r="E1869" t="s">
        <v>5857</v>
      </c>
      <c r="F1869" t="s">
        <v>5858</v>
      </c>
      <c r="G1869" t="s">
        <v>5875</v>
      </c>
      <c r="H1869" s="6" t="s">
        <v>8489</v>
      </c>
    </row>
    <row r="1870" spans="1:8" ht="85" x14ac:dyDescent="0.2">
      <c r="A1870">
        <v>1868</v>
      </c>
      <c r="B1870" t="s">
        <v>1611</v>
      </c>
      <c r="C1870" t="s">
        <v>3051</v>
      </c>
      <c r="D1870" t="s">
        <v>3735</v>
      </c>
      <c r="E1870" t="s">
        <v>5857</v>
      </c>
      <c r="F1870" t="s">
        <v>5858</v>
      </c>
      <c r="G1870" t="s">
        <v>5876</v>
      </c>
      <c r="H1870" s="6" t="s">
        <v>8490</v>
      </c>
    </row>
    <row r="1871" spans="1:8" ht="102" x14ac:dyDescent="0.2">
      <c r="A1871">
        <v>1869</v>
      </c>
      <c r="B1871" t="s">
        <v>1611</v>
      </c>
      <c r="C1871" t="s">
        <v>3051</v>
      </c>
      <c r="D1871" t="s">
        <v>3735</v>
      </c>
      <c r="E1871" t="s">
        <v>5857</v>
      </c>
      <c r="F1871" t="s">
        <v>5858</v>
      </c>
      <c r="G1871" t="s">
        <v>5877</v>
      </c>
      <c r="H1871" s="6" t="s">
        <v>8491</v>
      </c>
    </row>
    <row r="1872" spans="1:8" ht="102" x14ac:dyDescent="0.2">
      <c r="A1872">
        <v>1870</v>
      </c>
      <c r="B1872" t="s">
        <v>1611</v>
      </c>
      <c r="C1872" t="s">
        <v>3051</v>
      </c>
      <c r="D1872" t="s">
        <v>3735</v>
      </c>
      <c r="E1872" t="s">
        <v>5857</v>
      </c>
      <c r="F1872" t="s">
        <v>5858</v>
      </c>
      <c r="G1872" t="s">
        <v>5878</v>
      </c>
      <c r="H1872" s="6" t="s">
        <v>8492</v>
      </c>
    </row>
    <row r="1873" spans="1:8" ht="85" x14ac:dyDescent="0.2">
      <c r="A1873">
        <v>1871</v>
      </c>
      <c r="B1873" t="s">
        <v>1611</v>
      </c>
      <c r="C1873" t="s">
        <v>3051</v>
      </c>
      <c r="D1873" t="s">
        <v>3735</v>
      </c>
      <c r="E1873" t="s">
        <v>5857</v>
      </c>
      <c r="F1873" t="s">
        <v>5858</v>
      </c>
      <c r="G1873" t="s">
        <v>5879</v>
      </c>
      <c r="H1873" s="6" t="s">
        <v>8493</v>
      </c>
    </row>
    <row r="1874" spans="1:8" ht="85" x14ac:dyDescent="0.2">
      <c r="A1874">
        <v>1872</v>
      </c>
      <c r="B1874" t="s">
        <v>1611</v>
      </c>
      <c r="C1874" t="s">
        <v>3051</v>
      </c>
      <c r="D1874" t="s">
        <v>3735</v>
      </c>
      <c r="E1874" t="s">
        <v>5857</v>
      </c>
      <c r="F1874" t="s">
        <v>5858</v>
      </c>
      <c r="G1874" t="s">
        <v>5880</v>
      </c>
      <c r="H1874" s="6" t="s">
        <v>8494</v>
      </c>
    </row>
    <row r="1875" spans="1:8" ht="85" x14ac:dyDescent="0.2">
      <c r="A1875">
        <v>1873</v>
      </c>
      <c r="B1875" t="s">
        <v>1611</v>
      </c>
      <c r="C1875" t="s">
        <v>3051</v>
      </c>
      <c r="D1875" t="s">
        <v>3735</v>
      </c>
      <c r="E1875" t="s">
        <v>5857</v>
      </c>
      <c r="F1875" t="s">
        <v>5858</v>
      </c>
      <c r="G1875" t="s">
        <v>5881</v>
      </c>
      <c r="H1875" s="6" t="s">
        <v>8495</v>
      </c>
    </row>
    <row r="1876" spans="1:8" ht="238" x14ac:dyDescent="0.2">
      <c r="A1876">
        <v>1874</v>
      </c>
      <c r="B1876" t="s">
        <v>1611</v>
      </c>
      <c r="C1876" t="s">
        <v>3051</v>
      </c>
      <c r="D1876" t="s">
        <v>3735</v>
      </c>
      <c r="E1876" t="s">
        <v>5857</v>
      </c>
      <c r="F1876" t="s">
        <v>5858</v>
      </c>
      <c r="G1876" t="s">
        <v>5882</v>
      </c>
      <c r="H1876" s="6" t="s">
        <v>8496</v>
      </c>
    </row>
    <row r="1877" spans="1:8" ht="102" x14ac:dyDescent="0.2">
      <c r="A1877">
        <v>1875</v>
      </c>
      <c r="B1877" t="s">
        <v>1611</v>
      </c>
      <c r="C1877" t="s">
        <v>3051</v>
      </c>
      <c r="D1877" t="s">
        <v>3735</v>
      </c>
      <c r="E1877" t="s">
        <v>5857</v>
      </c>
      <c r="F1877" t="s">
        <v>5858</v>
      </c>
      <c r="G1877" t="s">
        <v>5883</v>
      </c>
      <c r="H1877" s="6" t="s">
        <v>8497</v>
      </c>
    </row>
    <row r="1878" spans="1:8" ht="119" x14ac:dyDescent="0.2">
      <c r="A1878">
        <v>1876</v>
      </c>
      <c r="B1878" t="s">
        <v>1611</v>
      </c>
      <c r="C1878" t="s">
        <v>3051</v>
      </c>
      <c r="D1878" t="s">
        <v>3735</v>
      </c>
      <c r="E1878" t="s">
        <v>5857</v>
      </c>
      <c r="F1878" t="s">
        <v>5858</v>
      </c>
      <c r="G1878" t="s">
        <v>5884</v>
      </c>
      <c r="H1878" s="6" t="s">
        <v>8498</v>
      </c>
    </row>
    <row r="1879" spans="1:8" ht="153" x14ac:dyDescent="0.2">
      <c r="A1879">
        <v>1877</v>
      </c>
      <c r="B1879" t="s">
        <v>1611</v>
      </c>
      <c r="C1879" t="s">
        <v>3051</v>
      </c>
      <c r="D1879" t="s">
        <v>3735</v>
      </c>
      <c r="E1879" t="s">
        <v>5885</v>
      </c>
      <c r="F1879" t="s">
        <v>5205</v>
      </c>
      <c r="G1879" t="s">
        <v>5886</v>
      </c>
      <c r="H1879" s="6" t="s">
        <v>8499</v>
      </c>
    </row>
    <row r="1880" spans="1:8" ht="102" x14ac:dyDescent="0.2">
      <c r="A1880">
        <v>1878</v>
      </c>
      <c r="B1880" t="s">
        <v>1611</v>
      </c>
      <c r="C1880" t="s">
        <v>3051</v>
      </c>
      <c r="D1880" t="s">
        <v>3735</v>
      </c>
      <c r="E1880" t="s">
        <v>5885</v>
      </c>
      <c r="F1880" t="s">
        <v>5205</v>
      </c>
      <c r="G1880" t="s">
        <v>5887</v>
      </c>
      <c r="H1880" s="6" t="s">
        <v>8500</v>
      </c>
    </row>
    <row r="1881" spans="1:8" ht="102" x14ac:dyDescent="0.2">
      <c r="A1881">
        <v>1879</v>
      </c>
      <c r="B1881" t="s">
        <v>1611</v>
      </c>
      <c r="C1881" t="s">
        <v>3051</v>
      </c>
      <c r="D1881" t="s">
        <v>3735</v>
      </c>
      <c r="E1881" t="s">
        <v>5885</v>
      </c>
      <c r="F1881" t="s">
        <v>5205</v>
      </c>
      <c r="G1881" t="s">
        <v>5888</v>
      </c>
      <c r="H1881" s="6" t="s">
        <v>8501</v>
      </c>
    </row>
    <row r="1882" spans="1:8" ht="85" x14ac:dyDescent="0.2">
      <c r="A1882">
        <v>1880</v>
      </c>
      <c r="B1882" t="s">
        <v>1611</v>
      </c>
      <c r="C1882" t="s">
        <v>3051</v>
      </c>
      <c r="D1882" t="s">
        <v>3735</v>
      </c>
      <c r="E1882" t="s">
        <v>5885</v>
      </c>
      <c r="F1882" t="s">
        <v>5205</v>
      </c>
      <c r="G1882" t="s">
        <v>5889</v>
      </c>
      <c r="H1882" s="6" t="s">
        <v>8502</v>
      </c>
    </row>
    <row r="1883" spans="1:8" ht="170" x14ac:dyDescent="0.2">
      <c r="A1883">
        <v>1881</v>
      </c>
      <c r="B1883" t="s">
        <v>1611</v>
      </c>
      <c r="C1883" t="s">
        <v>3051</v>
      </c>
      <c r="D1883" t="s">
        <v>3735</v>
      </c>
      <c r="E1883" t="s">
        <v>5890</v>
      </c>
      <c r="F1883" t="s">
        <v>5891</v>
      </c>
      <c r="G1883" t="s">
        <v>5892</v>
      </c>
      <c r="H1883" s="6" t="s">
        <v>8503</v>
      </c>
    </row>
    <row r="1884" spans="1:8" ht="102" x14ac:dyDescent="0.2">
      <c r="A1884">
        <v>1882</v>
      </c>
      <c r="B1884" t="s">
        <v>1611</v>
      </c>
      <c r="C1884" t="s">
        <v>3051</v>
      </c>
      <c r="D1884" t="s">
        <v>3735</v>
      </c>
      <c r="E1884" t="s">
        <v>5890</v>
      </c>
      <c r="F1884" t="s">
        <v>5891</v>
      </c>
      <c r="G1884" t="s">
        <v>5893</v>
      </c>
      <c r="H1884" s="6" t="s">
        <v>8504</v>
      </c>
    </row>
    <row r="1885" spans="1:8" ht="119" x14ac:dyDescent="0.2">
      <c r="A1885">
        <v>1883</v>
      </c>
      <c r="B1885" t="s">
        <v>1611</v>
      </c>
      <c r="C1885" t="s">
        <v>3051</v>
      </c>
      <c r="D1885" t="s">
        <v>3735</v>
      </c>
      <c r="E1885" t="s">
        <v>5890</v>
      </c>
      <c r="F1885" t="s">
        <v>5891</v>
      </c>
      <c r="G1885" t="s">
        <v>5894</v>
      </c>
      <c r="H1885" s="6" t="s">
        <v>8505</v>
      </c>
    </row>
    <row r="1886" spans="1:8" ht="119" x14ac:dyDescent="0.2">
      <c r="A1886">
        <v>1884</v>
      </c>
      <c r="B1886" t="s">
        <v>1611</v>
      </c>
      <c r="C1886" t="s">
        <v>3051</v>
      </c>
      <c r="D1886" t="s">
        <v>3735</v>
      </c>
      <c r="E1886" t="s">
        <v>5890</v>
      </c>
      <c r="F1886" t="s">
        <v>5891</v>
      </c>
      <c r="G1886" t="s">
        <v>5895</v>
      </c>
      <c r="H1886" s="6" t="s">
        <v>8506</v>
      </c>
    </row>
    <row r="1887" spans="1:8" ht="85" x14ac:dyDescent="0.2">
      <c r="A1887">
        <v>1885</v>
      </c>
      <c r="B1887" t="s">
        <v>1611</v>
      </c>
      <c r="C1887" t="s">
        <v>3051</v>
      </c>
      <c r="D1887" t="s">
        <v>3735</v>
      </c>
      <c r="E1887" t="s">
        <v>5890</v>
      </c>
      <c r="F1887" t="s">
        <v>5891</v>
      </c>
      <c r="G1887" t="s">
        <v>5896</v>
      </c>
      <c r="H1887" s="6" t="s">
        <v>8507</v>
      </c>
    </row>
    <row r="1888" spans="1:8" ht="85" x14ac:dyDescent="0.2">
      <c r="A1888">
        <v>1886</v>
      </c>
      <c r="B1888" t="s">
        <v>1611</v>
      </c>
      <c r="C1888" t="s">
        <v>3051</v>
      </c>
      <c r="D1888" t="s">
        <v>3735</v>
      </c>
      <c r="E1888" t="s">
        <v>5890</v>
      </c>
      <c r="F1888" t="s">
        <v>5891</v>
      </c>
      <c r="G1888" t="s">
        <v>5897</v>
      </c>
      <c r="H1888" s="6" t="s">
        <v>8508</v>
      </c>
    </row>
    <row r="1889" spans="1:8" ht="85" x14ac:dyDescent="0.2">
      <c r="A1889">
        <v>1887</v>
      </c>
      <c r="B1889" t="s">
        <v>1611</v>
      </c>
      <c r="C1889" t="s">
        <v>3051</v>
      </c>
      <c r="D1889" t="s">
        <v>3735</v>
      </c>
      <c r="E1889" t="s">
        <v>5890</v>
      </c>
      <c r="F1889" t="s">
        <v>5891</v>
      </c>
      <c r="G1889" t="s">
        <v>5898</v>
      </c>
      <c r="H1889" s="6" t="s">
        <v>8425</v>
      </c>
    </row>
    <row r="1890" spans="1:8" ht="204" x14ac:dyDescent="0.2">
      <c r="A1890">
        <v>1888</v>
      </c>
      <c r="B1890" t="s">
        <v>1611</v>
      </c>
      <c r="C1890" t="s">
        <v>3051</v>
      </c>
      <c r="D1890" t="s">
        <v>3735</v>
      </c>
      <c r="E1890" t="s">
        <v>5890</v>
      </c>
      <c r="F1890" t="s">
        <v>5891</v>
      </c>
      <c r="G1890" t="s">
        <v>5899</v>
      </c>
      <c r="H1890" s="6" t="s">
        <v>8509</v>
      </c>
    </row>
    <row r="1891" spans="1:8" ht="119" x14ac:dyDescent="0.2">
      <c r="A1891">
        <v>1889</v>
      </c>
      <c r="B1891" t="s">
        <v>1611</v>
      </c>
      <c r="C1891" t="s">
        <v>3051</v>
      </c>
      <c r="D1891" t="s">
        <v>3735</v>
      </c>
      <c r="E1891" t="s">
        <v>5890</v>
      </c>
      <c r="F1891" t="s">
        <v>5891</v>
      </c>
      <c r="G1891" t="s">
        <v>5900</v>
      </c>
      <c r="H1891" s="6" t="s">
        <v>8510</v>
      </c>
    </row>
    <row r="1892" spans="1:8" ht="85" x14ac:dyDescent="0.2">
      <c r="A1892">
        <v>1890</v>
      </c>
      <c r="B1892" t="s">
        <v>1611</v>
      </c>
      <c r="C1892" t="s">
        <v>3051</v>
      </c>
      <c r="D1892" t="s">
        <v>3735</v>
      </c>
      <c r="E1892" t="s">
        <v>5890</v>
      </c>
      <c r="F1892" t="s">
        <v>5891</v>
      </c>
      <c r="G1892" t="s">
        <v>5901</v>
      </c>
      <c r="H1892" s="6" t="s">
        <v>8511</v>
      </c>
    </row>
    <row r="1893" spans="1:8" ht="102" x14ac:dyDescent="0.2">
      <c r="A1893">
        <v>1891</v>
      </c>
      <c r="B1893" t="s">
        <v>1611</v>
      </c>
      <c r="C1893" t="s">
        <v>3051</v>
      </c>
      <c r="D1893" t="s">
        <v>3735</v>
      </c>
      <c r="E1893" t="s">
        <v>5890</v>
      </c>
      <c r="F1893" t="s">
        <v>5891</v>
      </c>
      <c r="G1893" t="s">
        <v>5902</v>
      </c>
      <c r="H1893" s="6" t="s">
        <v>8512</v>
      </c>
    </row>
    <row r="1894" spans="1:8" ht="255" x14ac:dyDescent="0.2">
      <c r="A1894">
        <v>1892</v>
      </c>
      <c r="B1894" t="s">
        <v>1611</v>
      </c>
      <c r="C1894" t="s">
        <v>3051</v>
      </c>
      <c r="D1894" t="s">
        <v>3735</v>
      </c>
      <c r="E1894" t="s">
        <v>5890</v>
      </c>
      <c r="F1894" t="s">
        <v>5891</v>
      </c>
      <c r="G1894" t="s">
        <v>5903</v>
      </c>
      <c r="H1894" s="6" t="s">
        <v>8513</v>
      </c>
    </row>
    <row r="1895" spans="1:8" ht="85" x14ac:dyDescent="0.2">
      <c r="A1895">
        <v>1893</v>
      </c>
      <c r="B1895" t="s">
        <v>1611</v>
      </c>
      <c r="C1895" t="s">
        <v>3051</v>
      </c>
      <c r="D1895" t="s">
        <v>3735</v>
      </c>
      <c r="E1895" t="s">
        <v>5890</v>
      </c>
      <c r="F1895" t="s">
        <v>5891</v>
      </c>
      <c r="G1895" t="s">
        <v>5904</v>
      </c>
      <c r="H1895" s="6" t="s">
        <v>8514</v>
      </c>
    </row>
    <row r="1896" spans="1:8" ht="153" x14ac:dyDescent="0.2">
      <c r="A1896">
        <v>1894</v>
      </c>
      <c r="B1896" t="s">
        <v>1611</v>
      </c>
      <c r="C1896" t="s">
        <v>3051</v>
      </c>
      <c r="D1896" t="s">
        <v>3735</v>
      </c>
      <c r="E1896" t="s">
        <v>5905</v>
      </c>
      <c r="F1896" t="s">
        <v>4566</v>
      </c>
      <c r="G1896" t="s">
        <v>5906</v>
      </c>
      <c r="H1896" s="6" t="s">
        <v>8515</v>
      </c>
    </row>
    <row r="1897" spans="1:8" ht="85" x14ac:dyDescent="0.2">
      <c r="A1897">
        <v>1895</v>
      </c>
      <c r="B1897" t="s">
        <v>1611</v>
      </c>
      <c r="C1897" t="s">
        <v>3051</v>
      </c>
      <c r="D1897" t="s">
        <v>3735</v>
      </c>
      <c r="E1897" t="s">
        <v>5905</v>
      </c>
      <c r="F1897" t="s">
        <v>4566</v>
      </c>
      <c r="G1897" t="s">
        <v>5907</v>
      </c>
      <c r="H1897" s="6" t="s">
        <v>8516</v>
      </c>
    </row>
    <row r="1898" spans="1:8" ht="204" x14ac:dyDescent="0.2">
      <c r="A1898">
        <v>1896</v>
      </c>
      <c r="B1898" t="s">
        <v>1611</v>
      </c>
      <c r="C1898" t="s">
        <v>3051</v>
      </c>
      <c r="D1898" t="s">
        <v>3735</v>
      </c>
      <c r="E1898" t="s">
        <v>5905</v>
      </c>
      <c r="F1898" t="s">
        <v>4566</v>
      </c>
      <c r="G1898" t="s">
        <v>5908</v>
      </c>
      <c r="H1898" s="6" t="s">
        <v>8517</v>
      </c>
    </row>
    <row r="1899" spans="1:8" ht="102" x14ac:dyDescent="0.2">
      <c r="A1899">
        <v>1897</v>
      </c>
      <c r="B1899" t="s">
        <v>1611</v>
      </c>
      <c r="C1899" t="s">
        <v>3051</v>
      </c>
      <c r="D1899" t="s">
        <v>3735</v>
      </c>
      <c r="E1899" t="s">
        <v>5905</v>
      </c>
      <c r="F1899" t="s">
        <v>4566</v>
      </c>
      <c r="G1899" t="s">
        <v>5909</v>
      </c>
      <c r="H1899" s="6" t="s">
        <v>8518</v>
      </c>
    </row>
    <row r="1900" spans="1:8" ht="85" x14ac:dyDescent="0.2">
      <c r="A1900">
        <v>1898</v>
      </c>
      <c r="B1900" t="s">
        <v>1611</v>
      </c>
      <c r="C1900" t="s">
        <v>3051</v>
      </c>
      <c r="D1900" t="s">
        <v>3735</v>
      </c>
      <c r="E1900" t="s">
        <v>5905</v>
      </c>
      <c r="F1900" t="s">
        <v>4566</v>
      </c>
      <c r="G1900" t="s">
        <v>5910</v>
      </c>
      <c r="H1900" s="6" t="s">
        <v>8519</v>
      </c>
    </row>
    <row r="1901" spans="1:8" ht="85" x14ac:dyDescent="0.2">
      <c r="A1901">
        <v>1899</v>
      </c>
      <c r="B1901" t="s">
        <v>1611</v>
      </c>
      <c r="C1901" t="s">
        <v>3051</v>
      </c>
      <c r="D1901" t="s">
        <v>3735</v>
      </c>
      <c r="E1901" t="s">
        <v>5905</v>
      </c>
      <c r="F1901" t="s">
        <v>4566</v>
      </c>
      <c r="G1901" t="s">
        <v>5911</v>
      </c>
      <c r="H1901" s="6" t="s">
        <v>8520</v>
      </c>
    </row>
    <row r="1902" spans="1:8" ht="85" x14ac:dyDescent="0.2">
      <c r="A1902">
        <v>1900</v>
      </c>
      <c r="B1902" t="s">
        <v>1611</v>
      </c>
      <c r="C1902" t="s">
        <v>3051</v>
      </c>
      <c r="D1902" t="s">
        <v>3735</v>
      </c>
      <c r="E1902" t="s">
        <v>5905</v>
      </c>
      <c r="F1902" t="s">
        <v>4566</v>
      </c>
      <c r="G1902" t="s">
        <v>5912</v>
      </c>
      <c r="H1902" s="6" t="s">
        <v>8354</v>
      </c>
    </row>
    <row r="1903" spans="1:8" ht="170" x14ac:dyDescent="0.2">
      <c r="A1903">
        <v>1901</v>
      </c>
      <c r="B1903" t="s">
        <v>1611</v>
      </c>
      <c r="C1903" t="s">
        <v>3051</v>
      </c>
      <c r="D1903" t="s">
        <v>3735</v>
      </c>
      <c r="E1903" t="s">
        <v>5905</v>
      </c>
      <c r="F1903" t="s">
        <v>4566</v>
      </c>
      <c r="G1903" t="s">
        <v>5913</v>
      </c>
      <c r="H1903" s="6" t="s">
        <v>8521</v>
      </c>
    </row>
    <row r="1904" spans="1:8" ht="85" x14ac:dyDescent="0.2">
      <c r="A1904">
        <v>1902</v>
      </c>
      <c r="B1904" t="s">
        <v>1611</v>
      </c>
      <c r="C1904" t="s">
        <v>3051</v>
      </c>
      <c r="D1904" t="s">
        <v>3735</v>
      </c>
      <c r="E1904" t="s">
        <v>5905</v>
      </c>
      <c r="F1904" t="s">
        <v>4566</v>
      </c>
      <c r="G1904" t="s">
        <v>5914</v>
      </c>
      <c r="H1904" s="6" t="s">
        <v>8522</v>
      </c>
    </row>
    <row r="1905" spans="1:8" ht="119" x14ac:dyDescent="0.2">
      <c r="A1905">
        <v>1903</v>
      </c>
      <c r="B1905" t="s">
        <v>1611</v>
      </c>
      <c r="C1905" t="s">
        <v>3051</v>
      </c>
      <c r="D1905" t="s">
        <v>3735</v>
      </c>
      <c r="E1905" t="s">
        <v>5905</v>
      </c>
      <c r="F1905" t="s">
        <v>4566</v>
      </c>
      <c r="G1905" t="s">
        <v>5915</v>
      </c>
      <c r="H1905" s="6" t="s">
        <v>8523</v>
      </c>
    </row>
    <row r="1906" spans="1:8" ht="119" x14ac:dyDescent="0.2">
      <c r="A1906">
        <v>1904</v>
      </c>
      <c r="B1906" t="s">
        <v>1611</v>
      </c>
      <c r="C1906" t="s">
        <v>3051</v>
      </c>
      <c r="D1906" t="s">
        <v>3735</v>
      </c>
      <c r="E1906" t="s">
        <v>5905</v>
      </c>
      <c r="F1906" t="s">
        <v>4566</v>
      </c>
      <c r="G1906" t="s">
        <v>5916</v>
      </c>
      <c r="H1906" s="6" t="s">
        <v>8524</v>
      </c>
    </row>
    <row r="1907" spans="1:8" ht="119" x14ac:dyDescent="0.2">
      <c r="A1907">
        <v>1905</v>
      </c>
      <c r="B1907" t="s">
        <v>1611</v>
      </c>
      <c r="C1907" t="s">
        <v>3051</v>
      </c>
      <c r="D1907" t="s">
        <v>3735</v>
      </c>
      <c r="E1907" t="s">
        <v>5905</v>
      </c>
      <c r="F1907" t="s">
        <v>4566</v>
      </c>
      <c r="G1907" t="s">
        <v>5917</v>
      </c>
      <c r="H1907" s="6" t="s">
        <v>8525</v>
      </c>
    </row>
    <row r="1908" spans="1:8" ht="85" x14ac:dyDescent="0.2">
      <c r="A1908">
        <v>1906</v>
      </c>
      <c r="B1908" t="s">
        <v>1611</v>
      </c>
      <c r="C1908" t="s">
        <v>3051</v>
      </c>
      <c r="D1908" t="s">
        <v>3735</v>
      </c>
      <c r="E1908" t="s">
        <v>5905</v>
      </c>
      <c r="F1908" t="s">
        <v>4566</v>
      </c>
      <c r="G1908" t="s">
        <v>5918</v>
      </c>
      <c r="H1908" s="6" t="s">
        <v>8526</v>
      </c>
    </row>
    <row r="1909" spans="1:8" ht="102" x14ac:dyDescent="0.2">
      <c r="A1909">
        <v>1907</v>
      </c>
      <c r="B1909" t="s">
        <v>1611</v>
      </c>
      <c r="C1909" t="s">
        <v>3051</v>
      </c>
      <c r="D1909" t="s">
        <v>3735</v>
      </c>
      <c r="E1909" t="s">
        <v>5905</v>
      </c>
      <c r="F1909" t="s">
        <v>4566</v>
      </c>
      <c r="G1909" t="s">
        <v>5919</v>
      </c>
      <c r="H1909" s="6" t="s">
        <v>8527</v>
      </c>
    </row>
    <row r="1910" spans="1:8" ht="85" x14ac:dyDescent="0.2">
      <c r="A1910">
        <v>1908</v>
      </c>
      <c r="B1910" t="s">
        <v>1611</v>
      </c>
      <c r="C1910" t="s">
        <v>3051</v>
      </c>
      <c r="D1910" t="s">
        <v>3735</v>
      </c>
      <c r="E1910" t="s">
        <v>5905</v>
      </c>
      <c r="F1910" t="s">
        <v>4566</v>
      </c>
      <c r="G1910" t="s">
        <v>5920</v>
      </c>
      <c r="H1910" s="6" t="s">
        <v>8528</v>
      </c>
    </row>
    <row r="1911" spans="1:8" ht="102" x14ac:dyDescent="0.2">
      <c r="A1911">
        <v>1909</v>
      </c>
      <c r="B1911" t="s">
        <v>1611</v>
      </c>
      <c r="C1911" t="s">
        <v>3051</v>
      </c>
      <c r="D1911" t="s">
        <v>3735</v>
      </c>
      <c r="E1911" t="s">
        <v>5905</v>
      </c>
      <c r="F1911" t="s">
        <v>4566</v>
      </c>
      <c r="G1911" t="s">
        <v>5921</v>
      </c>
      <c r="H1911" s="6" t="s">
        <v>8529</v>
      </c>
    </row>
    <row r="1912" spans="1:8" ht="153" x14ac:dyDescent="0.2">
      <c r="A1912">
        <v>1910</v>
      </c>
      <c r="B1912" t="s">
        <v>1611</v>
      </c>
      <c r="C1912" t="s">
        <v>3051</v>
      </c>
      <c r="D1912" t="s">
        <v>3735</v>
      </c>
      <c r="E1912" t="s">
        <v>5905</v>
      </c>
      <c r="F1912" t="s">
        <v>4566</v>
      </c>
      <c r="G1912" t="s">
        <v>5922</v>
      </c>
      <c r="H1912" s="6" t="s">
        <v>8530</v>
      </c>
    </row>
    <row r="1913" spans="1:8" ht="85" x14ac:dyDescent="0.2">
      <c r="A1913">
        <v>1911</v>
      </c>
      <c r="B1913" t="s">
        <v>1611</v>
      </c>
      <c r="C1913" t="s">
        <v>3051</v>
      </c>
      <c r="D1913" t="s">
        <v>3735</v>
      </c>
      <c r="E1913" t="s">
        <v>5905</v>
      </c>
      <c r="F1913" t="s">
        <v>4566</v>
      </c>
      <c r="G1913" t="s">
        <v>5923</v>
      </c>
      <c r="H1913" s="6" t="s">
        <v>8531</v>
      </c>
    </row>
    <row r="1914" spans="1:8" ht="102" x14ac:dyDescent="0.2">
      <c r="A1914">
        <v>1912</v>
      </c>
      <c r="B1914" t="s">
        <v>1611</v>
      </c>
      <c r="C1914" t="s">
        <v>3051</v>
      </c>
      <c r="D1914" t="s">
        <v>3735</v>
      </c>
      <c r="E1914" t="s">
        <v>5905</v>
      </c>
      <c r="F1914" t="s">
        <v>4566</v>
      </c>
      <c r="G1914" t="s">
        <v>5924</v>
      </c>
      <c r="H1914" s="6" t="s">
        <v>8532</v>
      </c>
    </row>
    <row r="1915" spans="1:8" ht="153" x14ac:dyDescent="0.2">
      <c r="A1915">
        <v>1913</v>
      </c>
      <c r="B1915" t="s">
        <v>1611</v>
      </c>
      <c r="C1915" t="s">
        <v>3051</v>
      </c>
      <c r="D1915" t="s">
        <v>3735</v>
      </c>
      <c r="E1915" t="s">
        <v>5905</v>
      </c>
      <c r="F1915" t="s">
        <v>4566</v>
      </c>
      <c r="G1915" t="s">
        <v>5925</v>
      </c>
      <c r="H1915" s="6" t="s">
        <v>8533</v>
      </c>
    </row>
    <row r="1916" spans="1:8" ht="85" x14ac:dyDescent="0.2">
      <c r="A1916">
        <v>1914</v>
      </c>
      <c r="B1916" t="s">
        <v>1611</v>
      </c>
      <c r="C1916" t="s">
        <v>3051</v>
      </c>
      <c r="D1916" t="s">
        <v>3735</v>
      </c>
      <c r="E1916" t="s">
        <v>5905</v>
      </c>
      <c r="F1916" t="s">
        <v>4566</v>
      </c>
      <c r="G1916" t="s">
        <v>5926</v>
      </c>
      <c r="H1916" s="6" t="s">
        <v>8534</v>
      </c>
    </row>
    <row r="1917" spans="1:8" ht="102" x14ac:dyDescent="0.2">
      <c r="A1917">
        <v>1915</v>
      </c>
      <c r="B1917" t="s">
        <v>1611</v>
      </c>
      <c r="C1917" t="s">
        <v>3051</v>
      </c>
      <c r="D1917" t="s">
        <v>3735</v>
      </c>
      <c r="E1917" t="s">
        <v>5905</v>
      </c>
      <c r="F1917" t="s">
        <v>4566</v>
      </c>
      <c r="G1917" t="s">
        <v>5927</v>
      </c>
      <c r="H1917" s="6" t="s">
        <v>8532</v>
      </c>
    </row>
    <row r="1918" spans="1:8" ht="170" x14ac:dyDescent="0.2">
      <c r="A1918">
        <v>1916</v>
      </c>
      <c r="B1918" t="s">
        <v>1611</v>
      </c>
      <c r="C1918" t="s">
        <v>3051</v>
      </c>
      <c r="D1918" t="s">
        <v>3735</v>
      </c>
      <c r="E1918" t="s">
        <v>5905</v>
      </c>
      <c r="F1918" t="s">
        <v>4566</v>
      </c>
      <c r="G1918" t="s">
        <v>5928</v>
      </c>
      <c r="H1918" s="6" t="s">
        <v>8535</v>
      </c>
    </row>
    <row r="1919" spans="1:8" ht="102" x14ac:dyDescent="0.2">
      <c r="A1919">
        <v>1917</v>
      </c>
      <c r="B1919" t="s">
        <v>1611</v>
      </c>
      <c r="C1919" t="s">
        <v>3051</v>
      </c>
      <c r="D1919" t="s">
        <v>3735</v>
      </c>
      <c r="E1919" t="s">
        <v>5905</v>
      </c>
      <c r="F1919" t="s">
        <v>4566</v>
      </c>
      <c r="G1919" t="s">
        <v>5929</v>
      </c>
      <c r="H1919" s="6" t="s">
        <v>8536</v>
      </c>
    </row>
    <row r="1920" spans="1:8" ht="102" x14ac:dyDescent="0.2">
      <c r="A1920">
        <v>1918</v>
      </c>
      <c r="B1920" t="s">
        <v>1611</v>
      </c>
      <c r="C1920" t="s">
        <v>3051</v>
      </c>
      <c r="D1920" t="s">
        <v>3735</v>
      </c>
      <c r="E1920" t="s">
        <v>5905</v>
      </c>
      <c r="F1920" t="s">
        <v>4566</v>
      </c>
      <c r="G1920" t="s">
        <v>5930</v>
      </c>
      <c r="H1920" s="6" t="s">
        <v>8537</v>
      </c>
    </row>
    <row r="1921" spans="1:8" ht="170" x14ac:dyDescent="0.2">
      <c r="A1921">
        <v>1919</v>
      </c>
      <c r="B1921" t="s">
        <v>1611</v>
      </c>
      <c r="C1921" t="s">
        <v>3051</v>
      </c>
      <c r="D1921" t="s">
        <v>3735</v>
      </c>
      <c r="E1921" t="s">
        <v>5905</v>
      </c>
      <c r="F1921" t="s">
        <v>4566</v>
      </c>
      <c r="G1921" t="s">
        <v>5931</v>
      </c>
      <c r="H1921" s="6" t="s">
        <v>8538</v>
      </c>
    </row>
    <row r="1922" spans="1:8" ht="85" x14ac:dyDescent="0.2">
      <c r="A1922">
        <v>1920</v>
      </c>
      <c r="B1922" t="s">
        <v>1611</v>
      </c>
      <c r="C1922" t="s">
        <v>3051</v>
      </c>
      <c r="D1922" t="s">
        <v>3735</v>
      </c>
      <c r="E1922" t="s">
        <v>5905</v>
      </c>
      <c r="F1922" t="s">
        <v>4566</v>
      </c>
      <c r="G1922" t="s">
        <v>5932</v>
      </c>
      <c r="H1922" s="6" t="s">
        <v>8539</v>
      </c>
    </row>
    <row r="1923" spans="1:8" ht="102" x14ac:dyDescent="0.2">
      <c r="A1923">
        <v>1921</v>
      </c>
      <c r="B1923" t="s">
        <v>1611</v>
      </c>
      <c r="C1923" t="s">
        <v>3051</v>
      </c>
      <c r="D1923" t="s">
        <v>3735</v>
      </c>
      <c r="E1923" t="s">
        <v>5905</v>
      </c>
      <c r="F1923" t="s">
        <v>4566</v>
      </c>
      <c r="G1923" t="s">
        <v>5933</v>
      </c>
      <c r="H1923" s="6" t="s">
        <v>8540</v>
      </c>
    </row>
    <row r="1924" spans="1:8" ht="119" x14ac:dyDescent="0.2">
      <c r="A1924">
        <v>1922</v>
      </c>
      <c r="B1924" t="s">
        <v>1611</v>
      </c>
      <c r="C1924" t="s">
        <v>3051</v>
      </c>
      <c r="D1924" t="s">
        <v>3735</v>
      </c>
      <c r="E1924" t="s">
        <v>5905</v>
      </c>
      <c r="F1924" t="s">
        <v>4566</v>
      </c>
      <c r="G1924" t="s">
        <v>5934</v>
      </c>
      <c r="H1924" s="6" t="s">
        <v>8541</v>
      </c>
    </row>
    <row r="1925" spans="1:8" ht="102" x14ac:dyDescent="0.2">
      <c r="A1925">
        <v>1923</v>
      </c>
      <c r="B1925" t="s">
        <v>1611</v>
      </c>
      <c r="C1925" t="s">
        <v>3051</v>
      </c>
      <c r="D1925" t="s">
        <v>3735</v>
      </c>
      <c r="E1925" t="s">
        <v>5905</v>
      </c>
      <c r="F1925" t="s">
        <v>4566</v>
      </c>
      <c r="G1925" t="s">
        <v>5935</v>
      </c>
      <c r="H1925" s="6" t="s">
        <v>8542</v>
      </c>
    </row>
    <row r="1926" spans="1:8" ht="102" x14ac:dyDescent="0.2">
      <c r="A1926">
        <v>1924</v>
      </c>
      <c r="B1926" t="s">
        <v>1611</v>
      </c>
      <c r="C1926" t="s">
        <v>3051</v>
      </c>
      <c r="D1926" t="s">
        <v>3735</v>
      </c>
      <c r="E1926" t="s">
        <v>5905</v>
      </c>
      <c r="F1926" t="s">
        <v>4566</v>
      </c>
      <c r="G1926" t="s">
        <v>5936</v>
      </c>
      <c r="H1926" s="6" t="s">
        <v>8543</v>
      </c>
    </row>
    <row r="1927" spans="1:8" ht="85" x14ac:dyDescent="0.2">
      <c r="A1927">
        <v>1925</v>
      </c>
      <c r="B1927" t="s">
        <v>1611</v>
      </c>
      <c r="C1927" t="s">
        <v>3051</v>
      </c>
      <c r="D1927" t="s">
        <v>3735</v>
      </c>
      <c r="E1927" t="s">
        <v>5905</v>
      </c>
      <c r="F1927" t="s">
        <v>4566</v>
      </c>
      <c r="G1927" t="s">
        <v>5937</v>
      </c>
      <c r="H1927" s="6" t="s">
        <v>8544</v>
      </c>
    </row>
    <row r="1928" spans="1:8" ht="102" x14ac:dyDescent="0.2">
      <c r="A1928">
        <v>1926</v>
      </c>
      <c r="B1928" t="s">
        <v>1611</v>
      </c>
      <c r="C1928" t="s">
        <v>3051</v>
      </c>
      <c r="D1928" t="s">
        <v>3735</v>
      </c>
      <c r="E1928" t="s">
        <v>5905</v>
      </c>
      <c r="F1928" t="s">
        <v>4566</v>
      </c>
      <c r="G1928" t="s">
        <v>5938</v>
      </c>
      <c r="H1928" s="6" t="s">
        <v>8545</v>
      </c>
    </row>
    <row r="1929" spans="1:8" ht="170" x14ac:dyDescent="0.2">
      <c r="A1929">
        <v>1927</v>
      </c>
      <c r="B1929" t="s">
        <v>1611</v>
      </c>
      <c r="C1929" t="s">
        <v>3051</v>
      </c>
      <c r="D1929" t="s">
        <v>3735</v>
      </c>
      <c r="E1929" t="s">
        <v>5905</v>
      </c>
      <c r="F1929" t="s">
        <v>4566</v>
      </c>
      <c r="G1929" t="s">
        <v>5939</v>
      </c>
      <c r="H1929" s="6" t="s">
        <v>8546</v>
      </c>
    </row>
    <row r="1930" spans="1:8" ht="85" x14ac:dyDescent="0.2">
      <c r="A1930">
        <v>1928</v>
      </c>
      <c r="B1930" t="s">
        <v>1611</v>
      </c>
      <c r="C1930" t="s">
        <v>3051</v>
      </c>
      <c r="D1930" t="s">
        <v>3735</v>
      </c>
      <c r="E1930" t="s">
        <v>5905</v>
      </c>
      <c r="F1930" t="s">
        <v>4566</v>
      </c>
      <c r="G1930" t="s">
        <v>5940</v>
      </c>
      <c r="H1930" s="6" t="s">
        <v>8539</v>
      </c>
    </row>
    <row r="1931" spans="1:8" ht="102" x14ac:dyDescent="0.2">
      <c r="A1931">
        <v>1929</v>
      </c>
      <c r="B1931" t="s">
        <v>1611</v>
      </c>
      <c r="C1931" t="s">
        <v>3051</v>
      </c>
      <c r="D1931" t="s">
        <v>3735</v>
      </c>
      <c r="E1931" t="s">
        <v>5905</v>
      </c>
      <c r="F1931" t="s">
        <v>4566</v>
      </c>
      <c r="G1931" t="s">
        <v>5941</v>
      </c>
      <c r="H1931" s="6" t="s">
        <v>8547</v>
      </c>
    </row>
    <row r="1932" spans="1:8" ht="102" x14ac:dyDescent="0.2">
      <c r="A1932">
        <v>1930</v>
      </c>
      <c r="B1932" t="s">
        <v>1611</v>
      </c>
      <c r="C1932" t="s">
        <v>3051</v>
      </c>
      <c r="D1932" t="s">
        <v>3735</v>
      </c>
      <c r="E1932" t="s">
        <v>5905</v>
      </c>
      <c r="F1932" t="s">
        <v>4566</v>
      </c>
      <c r="G1932" t="s">
        <v>5942</v>
      </c>
      <c r="H1932" s="6" t="s">
        <v>8548</v>
      </c>
    </row>
    <row r="1933" spans="1:8" ht="85" x14ac:dyDescent="0.2">
      <c r="A1933">
        <v>1931</v>
      </c>
      <c r="B1933" t="s">
        <v>1611</v>
      </c>
      <c r="C1933" t="s">
        <v>3051</v>
      </c>
      <c r="D1933" t="s">
        <v>3735</v>
      </c>
      <c r="E1933" t="s">
        <v>5905</v>
      </c>
      <c r="F1933" t="s">
        <v>4566</v>
      </c>
      <c r="G1933" t="s">
        <v>5943</v>
      </c>
      <c r="H1933" s="6" t="s">
        <v>8549</v>
      </c>
    </row>
    <row r="1934" spans="1:8" ht="85" x14ac:dyDescent="0.2">
      <c r="A1934">
        <v>1932</v>
      </c>
      <c r="B1934" t="s">
        <v>1611</v>
      </c>
      <c r="C1934" t="s">
        <v>3051</v>
      </c>
      <c r="D1934" t="s">
        <v>3735</v>
      </c>
      <c r="E1934" t="s">
        <v>5905</v>
      </c>
      <c r="F1934" t="s">
        <v>4566</v>
      </c>
      <c r="G1934" t="s">
        <v>5944</v>
      </c>
      <c r="H1934" s="6" t="s">
        <v>8354</v>
      </c>
    </row>
    <row r="1935" spans="1:8" ht="170" x14ac:dyDescent="0.2">
      <c r="A1935">
        <v>1933</v>
      </c>
      <c r="B1935" t="s">
        <v>1611</v>
      </c>
      <c r="C1935" t="s">
        <v>3051</v>
      </c>
      <c r="D1935" t="s">
        <v>3735</v>
      </c>
      <c r="E1935" t="s">
        <v>5905</v>
      </c>
      <c r="F1935" t="s">
        <v>4566</v>
      </c>
      <c r="G1935" t="s">
        <v>5945</v>
      </c>
      <c r="H1935" s="6" t="s">
        <v>8550</v>
      </c>
    </row>
    <row r="1936" spans="1:8" ht="102" x14ac:dyDescent="0.2">
      <c r="A1936">
        <v>1934</v>
      </c>
      <c r="B1936" t="s">
        <v>1611</v>
      </c>
      <c r="C1936" t="s">
        <v>3051</v>
      </c>
      <c r="D1936" t="s">
        <v>3735</v>
      </c>
      <c r="E1936" t="s">
        <v>5905</v>
      </c>
      <c r="F1936" t="s">
        <v>4566</v>
      </c>
      <c r="G1936" t="s">
        <v>5946</v>
      </c>
      <c r="H1936" s="6" t="s">
        <v>8551</v>
      </c>
    </row>
    <row r="1937" spans="1:8" ht="119" x14ac:dyDescent="0.2">
      <c r="A1937">
        <v>1935</v>
      </c>
      <c r="B1937" t="s">
        <v>1611</v>
      </c>
      <c r="C1937" t="s">
        <v>3051</v>
      </c>
      <c r="D1937" t="s">
        <v>3735</v>
      </c>
      <c r="E1937" t="s">
        <v>5905</v>
      </c>
      <c r="F1937" t="s">
        <v>4566</v>
      </c>
      <c r="G1937" t="s">
        <v>5947</v>
      </c>
      <c r="H1937" s="6" t="s">
        <v>8552</v>
      </c>
    </row>
    <row r="1938" spans="1:8" ht="102" x14ac:dyDescent="0.2">
      <c r="A1938">
        <v>1936</v>
      </c>
      <c r="B1938" t="s">
        <v>1611</v>
      </c>
      <c r="C1938" t="s">
        <v>3051</v>
      </c>
      <c r="D1938" t="s">
        <v>3735</v>
      </c>
      <c r="E1938" t="s">
        <v>5905</v>
      </c>
      <c r="F1938" t="s">
        <v>4566</v>
      </c>
      <c r="G1938" t="s">
        <v>5948</v>
      </c>
      <c r="H1938" s="6" t="s">
        <v>8553</v>
      </c>
    </row>
    <row r="1939" spans="1:8" ht="102" x14ac:dyDescent="0.2">
      <c r="A1939">
        <v>1937</v>
      </c>
      <c r="B1939" t="s">
        <v>1611</v>
      </c>
      <c r="C1939" t="s">
        <v>3051</v>
      </c>
      <c r="D1939" t="s">
        <v>3735</v>
      </c>
      <c r="E1939" t="s">
        <v>5905</v>
      </c>
      <c r="F1939" t="s">
        <v>4566</v>
      </c>
      <c r="G1939" t="s">
        <v>5949</v>
      </c>
      <c r="H1939" s="6" t="s">
        <v>8554</v>
      </c>
    </row>
    <row r="1940" spans="1:8" ht="102" x14ac:dyDescent="0.2">
      <c r="A1940">
        <v>1938</v>
      </c>
      <c r="B1940" t="s">
        <v>1611</v>
      </c>
      <c r="C1940" t="s">
        <v>3051</v>
      </c>
      <c r="D1940" t="s">
        <v>3735</v>
      </c>
      <c r="E1940" t="s">
        <v>5905</v>
      </c>
      <c r="F1940" t="s">
        <v>4566</v>
      </c>
      <c r="G1940" t="s">
        <v>5950</v>
      </c>
      <c r="H1940" s="6" t="s">
        <v>8555</v>
      </c>
    </row>
    <row r="1941" spans="1:8" ht="85" x14ac:dyDescent="0.2">
      <c r="A1941">
        <v>1939</v>
      </c>
      <c r="B1941" t="s">
        <v>1611</v>
      </c>
      <c r="C1941" t="s">
        <v>3051</v>
      </c>
      <c r="D1941" t="s">
        <v>3735</v>
      </c>
      <c r="E1941" t="s">
        <v>5905</v>
      </c>
      <c r="F1941" t="s">
        <v>4566</v>
      </c>
      <c r="G1941" t="s">
        <v>5951</v>
      </c>
      <c r="H1941" s="6" t="s">
        <v>8556</v>
      </c>
    </row>
    <row r="1942" spans="1:8" ht="85" x14ac:dyDescent="0.2">
      <c r="A1942">
        <v>1940</v>
      </c>
      <c r="B1942" t="s">
        <v>1611</v>
      </c>
      <c r="C1942" t="s">
        <v>3051</v>
      </c>
      <c r="D1942" t="s">
        <v>3735</v>
      </c>
      <c r="E1942" t="s">
        <v>5905</v>
      </c>
      <c r="F1942" t="s">
        <v>4566</v>
      </c>
      <c r="G1942" t="s">
        <v>5952</v>
      </c>
      <c r="H1942" s="6" t="s">
        <v>8557</v>
      </c>
    </row>
    <row r="1943" spans="1:8" ht="102" x14ac:dyDescent="0.2">
      <c r="A1943">
        <v>1941</v>
      </c>
      <c r="B1943" t="s">
        <v>1611</v>
      </c>
      <c r="C1943" t="s">
        <v>3051</v>
      </c>
      <c r="D1943" t="s">
        <v>3735</v>
      </c>
      <c r="E1943" t="s">
        <v>5905</v>
      </c>
      <c r="F1943" t="s">
        <v>4566</v>
      </c>
      <c r="G1943" t="s">
        <v>5953</v>
      </c>
      <c r="H1943" s="6" t="s">
        <v>8558</v>
      </c>
    </row>
    <row r="1944" spans="1:8" ht="187" x14ac:dyDescent="0.2">
      <c r="A1944">
        <v>1942</v>
      </c>
      <c r="B1944" t="s">
        <v>1611</v>
      </c>
      <c r="C1944" t="s">
        <v>3051</v>
      </c>
      <c r="D1944" t="s">
        <v>3735</v>
      </c>
      <c r="E1944" t="s">
        <v>5905</v>
      </c>
      <c r="F1944" t="s">
        <v>4566</v>
      </c>
      <c r="G1944" t="s">
        <v>5954</v>
      </c>
      <c r="H1944" s="6" t="s">
        <v>8559</v>
      </c>
    </row>
    <row r="1945" spans="1:8" ht="102" x14ac:dyDescent="0.2">
      <c r="A1945">
        <v>1943</v>
      </c>
      <c r="B1945" t="s">
        <v>1611</v>
      </c>
      <c r="C1945" t="s">
        <v>3051</v>
      </c>
      <c r="D1945" t="s">
        <v>3735</v>
      </c>
      <c r="E1945" t="s">
        <v>5905</v>
      </c>
      <c r="F1945" t="s">
        <v>4566</v>
      </c>
      <c r="G1945" t="s">
        <v>5955</v>
      </c>
      <c r="H1945" s="6" t="s">
        <v>8560</v>
      </c>
    </row>
    <row r="1946" spans="1:8" ht="102" x14ac:dyDescent="0.2">
      <c r="A1946">
        <v>1944</v>
      </c>
      <c r="B1946" t="s">
        <v>1611</v>
      </c>
      <c r="C1946" t="s">
        <v>3051</v>
      </c>
      <c r="D1946" t="s">
        <v>3735</v>
      </c>
      <c r="E1946" t="s">
        <v>5905</v>
      </c>
      <c r="F1946" t="s">
        <v>4566</v>
      </c>
      <c r="G1946" t="s">
        <v>5956</v>
      </c>
      <c r="H1946" s="6" t="s">
        <v>8561</v>
      </c>
    </row>
    <row r="1947" spans="1:8" ht="119" x14ac:dyDescent="0.2">
      <c r="A1947">
        <v>1945</v>
      </c>
      <c r="B1947" t="s">
        <v>1611</v>
      </c>
      <c r="C1947" t="s">
        <v>3051</v>
      </c>
      <c r="D1947" t="s">
        <v>3735</v>
      </c>
      <c r="E1947" t="s">
        <v>5905</v>
      </c>
      <c r="F1947" t="s">
        <v>4566</v>
      </c>
      <c r="G1947" t="s">
        <v>5957</v>
      </c>
      <c r="H1947" s="6" t="s">
        <v>8562</v>
      </c>
    </row>
    <row r="1948" spans="1:8" ht="119" x14ac:dyDescent="0.2">
      <c r="A1948">
        <v>1946</v>
      </c>
      <c r="B1948" t="s">
        <v>1611</v>
      </c>
      <c r="C1948" t="s">
        <v>3051</v>
      </c>
      <c r="D1948" t="s">
        <v>3735</v>
      </c>
      <c r="E1948" t="s">
        <v>5905</v>
      </c>
      <c r="F1948" t="s">
        <v>4566</v>
      </c>
      <c r="G1948" t="s">
        <v>5958</v>
      </c>
      <c r="H1948" s="6" t="s">
        <v>8563</v>
      </c>
    </row>
    <row r="1949" spans="1:8" ht="102" x14ac:dyDescent="0.2">
      <c r="A1949">
        <v>1947</v>
      </c>
      <c r="B1949" t="s">
        <v>1611</v>
      </c>
      <c r="C1949" t="s">
        <v>3051</v>
      </c>
      <c r="D1949" t="s">
        <v>3735</v>
      </c>
      <c r="E1949" t="s">
        <v>5905</v>
      </c>
      <c r="F1949" t="s">
        <v>4566</v>
      </c>
      <c r="G1949" t="s">
        <v>5959</v>
      </c>
      <c r="H1949" s="6" t="s">
        <v>8564</v>
      </c>
    </row>
    <row r="1950" spans="1:8" ht="85" x14ac:dyDescent="0.2">
      <c r="A1950">
        <v>1948</v>
      </c>
      <c r="B1950" t="s">
        <v>1611</v>
      </c>
      <c r="C1950" t="s">
        <v>3051</v>
      </c>
      <c r="D1950" t="s">
        <v>3735</v>
      </c>
      <c r="E1950" t="s">
        <v>5905</v>
      </c>
      <c r="F1950" t="s">
        <v>4566</v>
      </c>
      <c r="G1950" t="s">
        <v>5960</v>
      </c>
      <c r="H1950" s="6" t="s">
        <v>8549</v>
      </c>
    </row>
    <row r="1951" spans="1:8" ht="85" x14ac:dyDescent="0.2">
      <c r="A1951">
        <v>1949</v>
      </c>
      <c r="B1951" t="s">
        <v>1611</v>
      </c>
      <c r="C1951" t="s">
        <v>3051</v>
      </c>
      <c r="D1951" t="s">
        <v>3735</v>
      </c>
      <c r="E1951" t="s">
        <v>5905</v>
      </c>
      <c r="F1951" t="s">
        <v>4566</v>
      </c>
      <c r="G1951" t="s">
        <v>5961</v>
      </c>
      <c r="H1951" s="6" t="s">
        <v>8565</v>
      </c>
    </row>
    <row r="1952" spans="1:8" ht="170" x14ac:dyDescent="0.2">
      <c r="A1952">
        <v>1950</v>
      </c>
      <c r="B1952" t="s">
        <v>1611</v>
      </c>
      <c r="C1952" t="s">
        <v>3051</v>
      </c>
      <c r="D1952" t="s">
        <v>3735</v>
      </c>
      <c r="E1952" t="s">
        <v>5905</v>
      </c>
      <c r="F1952" t="s">
        <v>4566</v>
      </c>
      <c r="G1952" t="s">
        <v>5962</v>
      </c>
      <c r="H1952" s="6" t="s">
        <v>8566</v>
      </c>
    </row>
    <row r="1953" spans="1:8" ht="102" x14ac:dyDescent="0.2">
      <c r="A1953">
        <v>1951</v>
      </c>
      <c r="B1953" t="s">
        <v>1611</v>
      </c>
      <c r="C1953" t="s">
        <v>3051</v>
      </c>
      <c r="D1953" t="s">
        <v>3735</v>
      </c>
      <c r="E1953" t="s">
        <v>5905</v>
      </c>
      <c r="F1953" t="s">
        <v>4566</v>
      </c>
      <c r="G1953" t="s">
        <v>5963</v>
      </c>
      <c r="H1953" s="6" t="s">
        <v>8567</v>
      </c>
    </row>
    <row r="1954" spans="1:8" ht="119" x14ac:dyDescent="0.2">
      <c r="A1954">
        <v>1952</v>
      </c>
      <c r="B1954" t="s">
        <v>1611</v>
      </c>
      <c r="C1954" t="s">
        <v>3051</v>
      </c>
      <c r="D1954" t="s">
        <v>3735</v>
      </c>
      <c r="E1954" t="s">
        <v>5905</v>
      </c>
      <c r="F1954" t="s">
        <v>4566</v>
      </c>
      <c r="G1954" t="s">
        <v>5964</v>
      </c>
      <c r="H1954" s="6" t="s">
        <v>8568</v>
      </c>
    </row>
    <row r="1955" spans="1:8" ht="119" x14ac:dyDescent="0.2">
      <c r="A1955">
        <v>1953</v>
      </c>
      <c r="B1955" t="s">
        <v>1611</v>
      </c>
      <c r="C1955" t="s">
        <v>3051</v>
      </c>
      <c r="D1955" t="s">
        <v>3735</v>
      </c>
      <c r="E1955" t="s">
        <v>5905</v>
      </c>
      <c r="F1955" t="s">
        <v>4566</v>
      </c>
      <c r="G1955" t="s">
        <v>5965</v>
      </c>
      <c r="H1955" s="6" t="s">
        <v>8569</v>
      </c>
    </row>
    <row r="1956" spans="1:8" ht="102" x14ac:dyDescent="0.2">
      <c r="A1956">
        <v>1954</v>
      </c>
      <c r="B1956" t="s">
        <v>1611</v>
      </c>
      <c r="C1956" t="s">
        <v>3051</v>
      </c>
      <c r="D1956" t="s">
        <v>3735</v>
      </c>
      <c r="E1956" t="s">
        <v>5905</v>
      </c>
      <c r="F1956" t="s">
        <v>4566</v>
      </c>
      <c r="G1956" t="s">
        <v>5966</v>
      </c>
      <c r="H1956" s="6" t="s">
        <v>8570</v>
      </c>
    </row>
    <row r="1957" spans="1:8" ht="102" x14ac:dyDescent="0.2">
      <c r="A1957">
        <v>1955</v>
      </c>
      <c r="B1957" t="s">
        <v>1611</v>
      </c>
      <c r="C1957" t="s">
        <v>3051</v>
      </c>
      <c r="D1957" t="s">
        <v>3735</v>
      </c>
      <c r="E1957" t="s">
        <v>5905</v>
      </c>
      <c r="F1957" t="s">
        <v>4566</v>
      </c>
      <c r="G1957" t="s">
        <v>5967</v>
      </c>
      <c r="H1957" s="6" t="s">
        <v>8571</v>
      </c>
    </row>
    <row r="1958" spans="1:8" ht="85" x14ac:dyDescent="0.2">
      <c r="A1958">
        <v>1956</v>
      </c>
      <c r="B1958" t="s">
        <v>1611</v>
      </c>
      <c r="C1958" t="s">
        <v>3051</v>
      </c>
      <c r="D1958" t="s">
        <v>3735</v>
      </c>
      <c r="E1958" t="s">
        <v>5905</v>
      </c>
      <c r="F1958" t="s">
        <v>4566</v>
      </c>
      <c r="G1958" t="s">
        <v>5968</v>
      </c>
      <c r="H1958" s="6" t="s">
        <v>8556</v>
      </c>
    </row>
    <row r="1959" spans="1:8" ht="85" x14ac:dyDescent="0.2">
      <c r="A1959">
        <v>1957</v>
      </c>
      <c r="B1959" t="s">
        <v>1611</v>
      </c>
      <c r="C1959" t="s">
        <v>3051</v>
      </c>
      <c r="D1959" t="s">
        <v>3735</v>
      </c>
      <c r="E1959" t="s">
        <v>5905</v>
      </c>
      <c r="F1959" t="s">
        <v>4566</v>
      </c>
      <c r="G1959" t="s">
        <v>5969</v>
      </c>
      <c r="H1959" s="6" t="s">
        <v>8572</v>
      </c>
    </row>
    <row r="1960" spans="1:8" ht="102" x14ac:dyDescent="0.2">
      <c r="A1960">
        <v>1958</v>
      </c>
      <c r="B1960" t="s">
        <v>1611</v>
      </c>
      <c r="C1960" t="s">
        <v>3051</v>
      </c>
      <c r="D1960" t="s">
        <v>3735</v>
      </c>
      <c r="E1960" t="s">
        <v>5905</v>
      </c>
      <c r="F1960" t="s">
        <v>4566</v>
      </c>
      <c r="G1960" t="s">
        <v>5970</v>
      </c>
      <c r="H1960" s="6" t="s">
        <v>8573</v>
      </c>
    </row>
    <row r="1961" spans="1:8" ht="170" x14ac:dyDescent="0.2">
      <c r="A1961">
        <v>1959</v>
      </c>
      <c r="B1961" t="s">
        <v>1611</v>
      </c>
      <c r="C1961" t="s">
        <v>3051</v>
      </c>
      <c r="D1961" t="s">
        <v>3735</v>
      </c>
      <c r="E1961" t="s">
        <v>5905</v>
      </c>
      <c r="F1961" t="s">
        <v>4566</v>
      </c>
      <c r="G1961" t="s">
        <v>5971</v>
      </c>
      <c r="H1961" s="6" t="s">
        <v>8574</v>
      </c>
    </row>
    <row r="1962" spans="1:8" ht="102" x14ac:dyDescent="0.2">
      <c r="A1962">
        <v>1960</v>
      </c>
      <c r="B1962" t="s">
        <v>1611</v>
      </c>
      <c r="C1962" t="s">
        <v>3051</v>
      </c>
      <c r="D1962" t="s">
        <v>3735</v>
      </c>
      <c r="E1962" t="s">
        <v>5905</v>
      </c>
      <c r="F1962" t="s">
        <v>4566</v>
      </c>
      <c r="G1962" t="s">
        <v>5972</v>
      </c>
      <c r="H1962" s="6" t="s">
        <v>8567</v>
      </c>
    </row>
    <row r="1963" spans="1:8" ht="119" x14ac:dyDescent="0.2">
      <c r="A1963">
        <v>1961</v>
      </c>
      <c r="B1963" t="s">
        <v>1611</v>
      </c>
      <c r="C1963" t="s">
        <v>3051</v>
      </c>
      <c r="D1963" t="s">
        <v>3735</v>
      </c>
      <c r="E1963" t="s">
        <v>5905</v>
      </c>
      <c r="F1963" t="s">
        <v>4566</v>
      </c>
      <c r="G1963" t="s">
        <v>5973</v>
      </c>
      <c r="H1963" s="6" t="s">
        <v>8575</v>
      </c>
    </row>
    <row r="1964" spans="1:8" ht="102" x14ac:dyDescent="0.2">
      <c r="A1964">
        <v>1962</v>
      </c>
      <c r="B1964" t="s">
        <v>1611</v>
      </c>
      <c r="C1964" t="s">
        <v>3051</v>
      </c>
      <c r="D1964" t="s">
        <v>3735</v>
      </c>
      <c r="E1964" t="s">
        <v>5905</v>
      </c>
      <c r="F1964" t="s">
        <v>4566</v>
      </c>
      <c r="G1964" t="s">
        <v>5974</v>
      </c>
      <c r="H1964" s="6" t="s">
        <v>8576</v>
      </c>
    </row>
    <row r="1965" spans="1:8" ht="85" x14ac:dyDescent="0.2">
      <c r="A1965">
        <v>1963</v>
      </c>
      <c r="B1965" t="s">
        <v>1611</v>
      </c>
      <c r="C1965" t="s">
        <v>3051</v>
      </c>
      <c r="D1965" t="s">
        <v>3735</v>
      </c>
      <c r="E1965" t="s">
        <v>5905</v>
      </c>
      <c r="F1965" t="s">
        <v>4566</v>
      </c>
      <c r="G1965" t="s">
        <v>5975</v>
      </c>
      <c r="H1965" s="6" t="s">
        <v>8549</v>
      </c>
    </row>
    <row r="1966" spans="1:8" ht="85" x14ac:dyDescent="0.2">
      <c r="A1966">
        <v>1964</v>
      </c>
      <c r="B1966" t="s">
        <v>1611</v>
      </c>
      <c r="C1966" t="s">
        <v>3051</v>
      </c>
      <c r="D1966" t="s">
        <v>3735</v>
      </c>
      <c r="E1966" t="s">
        <v>5905</v>
      </c>
      <c r="F1966" t="s">
        <v>4566</v>
      </c>
      <c r="G1966" t="s">
        <v>5976</v>
      </c>
      <c r="H1966" s="6" t="s">
        <v>8565</v>
      </c>
    </row>
    <row r="1967" spans="1:8" ht="221" x14ac:dyDescent="0.2">
      <c r="A1967">
        <v>1965</v>
      </c>
      <c r="B1967" t="s">
        <v>1611</v>
      </c>
      <c r="C1967" t="s">
        <v>3051</v>
      </c>
      <c r="D1967" t="s">
        <v>3735</v>
      </c>
      <c r="E1967" t="s">
        <v>5977</v>
      </c>
      <c r="F1967" t="s">
        <v>5585</v>
      </c>
      <c r="G1967" t="s">
        <v>5978</v>
      </c>
      <c r="H1967" s="6" t="s">
        <v>8577</v>
      </c>
    </row>
    <row r="1968" spans="1:8" ht="102" x14ac:dyDescent="0.2">
      <c r="A1968">
        <v>1966</v>
      </c>
      <c r="B1968" t="s">
        <v>1611</v>
      </c>
      <c r="C1968" t="s">
        <v>3051</v>
      </c>
      <c r="D1968" t="s">
        <v>3735</v>
      </c>
      <c r="E1968" t="s">
        <v>5977</v>
      </c>
      <c r="F1968" t="s">
        <v>5585</v>
      </c>
      <c r="G1968" t="s">
        <v>5979</v>
      </c>
      <c r="H1968" s="6" t="s">
        <v>8578</v>
      </c>
    </row>
    <row r="1969" spans="1:8" ht="119" x14ac:dyDescent="0.2">
      <c r="A1969">
        <v>1967</v>
      </c>
      <c r="B1969" t="s">
        <v>1611</v>
      </c>
      <c r="C1969" t="s">
        <v>3051</v>
      </c>
      <c r="D1969" t="s">
        <v>3735</v>
      </c>
      <c r="E1969" t="s">
        <v>5977</v>
      </c>
      <c r="F1969" t="s">
        <v>5585</v>
      </c>
      <c r="G1969" t="s">
        <v>5980</v>
      </c>
      <c r="H1969" s="6" t="s">
        <v>8579</v>
      </c>
    </row>
    <row r="1970" spans="1:8" ht="119" x14ac:dyDescent="0.2">
      <c r="A1970">
        <v>1968</v>
      </c>
      <c r="B1970" t="s">
        <v>1611</v>
      </c>
      <c r="C1970" t="s">
        <v>3051</v>
      </c>
      <c r="D1970" t="s">
        <v>3735</v>
      </c>
      <c r="E1970" t="s">
        <v>5977</v>
      </c>
      <c r="F1970" t="s">
        <v>5585</v>
      </c>
      <c r="G1970" t="s">
        <v>5981</v>
      </c>
      <c r="H1970" s="6" t="s">
        <v>8381</v>
      </c>
    </row>
    <row r="1971" spans="1:8" ht="102" x14ac:dyDescent="0.2">
      <c r="A1971">
        <v>1969</v>
      </c>
      <c r="B1971" t="s">
        <v>1611</v>
      </c>
      <c r="C1971" t="s">
        <v>3051</v>
      </c>
      <c r="D1971" t="s">
        <v>3735</v>
      </c>
      <c r="E1971" t="s">
        <v>5977</v>
      </c>
      <c r="F1971" t="s">
        <v>5585</v>
      </c>
      <c r="G1971" t="s">
        <v>5982</v>
      </c>
      <c r="H1971" s="6" t="s">
        <v>8580</v>
      </c>
    </row>
    <row r="1972" spans="1:8" ht="255" x14ac:dyDescent="0.2">
      <c r="A1972">
        <v>1970</v>
      </c>
      <c r="B1972" t="s">
        <v>1611</v>
      </c>
      <c r="C1972" t="s">
        <v>3051</v>
      </c>
      <c r="D1972" t="s">
        <v>3735</v>
      </c>
      <c r="E1972" t="s">
        <v>5977</v>
      </c>
      <c r="F1972" t="s">
        <v>5585</v>
      </c>
      <c r="G1972" t="s">
        <v>5983</v>
      </c>
      <c r="H1972" s="6" t="s">
        <v>8581</v>
      </c>
    </row>
    <row r="1973" spans="1:8" ht="102" x14ac:dyDescent="0.2">
      <c r="A1973">
        <v>1971</v>
      </c>
      <c r="B1973" t="s">
        <v>1611</v>
      </c>
      <c r="C1973" t="s">
        <v>3051</v>
      </c>
      <c r="D1973" t="s">
        <v>3735</v>
      </c>
      <c r="E1973" t="s">
        <v>5977</v>
      </c>
      <c r="F1973" t="s">
        <v>5585</v>
      </c>
      <c r="G1973" t="s">
        <v>5984</v>
      </c>
      <c r="H1973" s="6" t="s">
        <v>8578</v>
      </c>
    </row>
    <row r="1974" spans="1:8" ht="119" x14ac:dyDescent="0.2">
      <c r="A1974">
        <v>1972</v>
      </c>
      <c r="B1974" t="s">
        <v>1611</v>
      </c>
      <c r="C1974" t="s">
        <v>3051</v>
      </c>
      <c r="D1974" t="s">
        <v>3735</v>
      </c>
      <c r="E1974" t="s">
        <v>5977</v>
      </c>
      <c r="F1974" t="s">
        <v>5585</v>
      </c>
      <c r="G1974" t="s">
        <v>5985</v>
      </c>
      <c r="H1974" s="6" t="s">
        <v>8579</v>
      </c>
    </row>
    <row r="1975" spans="1:8" ht="102" x14ac:dyDescent="0.2">
      <c r="A1975">
        <v>1973</v>
      </c>
      <c r="B1975" t="s">
        <v>1611</v>
      </c>
      <c r="C1975" t="s">
        <v>3051</v>
      </c>
      <c r="D1975" t="s">
        <v>3735</v>
      </c>
      <c r="E1975" t="s">
        <v>5977</v>
      </c>
      <c r="F1975" t="s">
        <v>5585</v>
      </c>
      <c r="G1975" t="s">
        <v>5986</v>
      </c>
      <c r="H1975" s="6" t="s">
        <v>8582</v>
      </c>
    </row>
    <row r="1976" spans="1:8" ht="102" x14ac:dyDescent="0.2">
      <c r="A1976">
        <v>1974</v>
      </c>
      <c r="B1976" t="s">
        <v>1611</v>
      </c>
      <c r="C1976" t="s">
        <v>3051</v>
      </c>
      <c r="D1976" t="s">
        <v>3735</v>
      </c>
      <c r="E1976" t="s">
        <v>5977</v>
      </c>
      <c r="F1976" t="s">
        <v>5585</v>
      </c>
      <c r="G1976" t="s">
        <v>5987</v>
      </c>
      <c r="H1976" s="6" t="s">
        <v>8583</v>
      </c>
    </row>
    <row r="1977" spans="1:8" ht="119" x14ac:dyDescent="0.2">
      <c r="A1977">
        <v>1975</v>
      </c>
      <c r="B1977" t="s">
        <v>1611</v>
      </c>
      <c r="C1977" t="s">
        <v>3051</v>
      </c>
      <c r="D1977" t="s">
        <v>3735</v>
      </c>
      <c r="E1977" t="s">
        <v>5977</v>
      </c>
      <c r="F1977" t="s">
        <v>5585</v>
      </c>
      <c r="G1977" t="s">
        <v>5988</v>
      </c>
      <c r="H1977" s="6" t="s">
        <v>8584</v>
      </c>
    </row>
    <row r="1978" spans="1:8" ht="119" x14ac:dyDescent="0.2">
      <c r="A1978">
        <v>1976</v>
      </c>
      <c r="B1978" t="s">
        <v>1611</v>
      </c>
      <c r="C1978" t="s">
        <v>3051</v>
      </c>
      <c r="D1978" t="s">
        <v>3735</v>
      </c>
      <c r="E1978" t="s">
        <v>5977</v>
      </c>
      <c r="F1978" t="s">
        <v>5585</v>
      </c>
      <c r="G1978" t="s">
        <v>5989</v>
      </c>
      <c r="H1978" s="6" t="s">
        <v>8585</v>
      </c>
    </row>
    <row r="1979" spans="1:8" ht="255" x14ac:dyDescent="0.2">
      <c r="A1979">
        <v>1977</v>
      </c>
      <c r="B1979" t="s">
        <v>1611</v>
      </c>
      <c r="C1979" t="s">
        <v>3051</v>
      </c>
      <c r="D1979" t="s">
        <v>3735</v>
      </c>
      <c r="E1979" t="s">
        <v>5977</v>
      </c>
      <c r="F1979" t="s">
        <v>5585</v>
      </c>
      <c r="G1979" t="s">
        <v>5990</v>
      </c>
      <c r="H1979" s="6" t="s">
        <v>8586</v>
      </c>
    </row>
    <row r="1980" spans="1:8" ht="102" x14ac:dyDescent="0.2">
      <c r="A1980">
        <v>1978</v>
      </c>
      <c r="B1980" t="s">
        <v>1611</v>
      </c>
      <c r="C1980" t="s">
        <v>3051</v>
      </c>
      <c r="D1980" t="s">
        <v>3735</v>
      </c>
      <c r="E1980" t="s">
        <v>5977</v>
      </c>
      <c r="F1980" t="s">
        <v>5585</v>
      </c>
      <c r="G1980" t="s">
        <v>5991</v>
      </c>
      <c r="H1980" s="6" t="s">
        <v>8587</v>
      </c>
    </row>
    <row r="1981" spans="1:8" ht="119" x14ac:dyDescent="0.2">
      <c r="A1981">
        <v>1979</v>
      </c>
      <c r="B1981" t="s">
        <v>1611</v>
      </c>
      <c r="C1981" t="s">
        <v>3051</v>
      </c>
      <c r="D1981" t="s">
        <v>3735</v>
      </c>
      <c r="E1981" t="s">
        <v>5977</v>
      </c>
      <c r="F1981" t="s">
        <v>5585</v>
      </c>
      <c r="G1981" t="s">
        <v>5992</v>
      </c>
      <c r="H1981" s="6" t="s">
        <v>8579</v>
      </c>
    </row>
    <row r="1982" spans="1:8" ht="119" x14ac:dyDescent="0.2">
      <c r="A1982">
        <v>1980</v>
      </c>
      <c r="B1982" t="s">
        <v>1611</v>
      </c>
      <c r="C1982" t="s">
        <v>3051</v>
      </c>
      <c r="D1982" t="s">
        <v>3735</v>
      </c>
      <c r="E1982" t="s">
        <v>5977</v>
      </c>
      <c r="F1982" t="s">
        <v>5585</v>
      </c>
      <c r="G1982" t="s">
        <v>5993</v>
      </c>
      <c r="H1982" s="6" t="s">
        <v>8588</v>
      </c>
    </row>
    <row r="1983" spans="1:8" ht="85" x14ac:dyDescent="0.2">
      <c r="A1983">
        <v>1981</v>
      </c>
      <c r="B1983" t="s">
        <v>1611</v>
      </c>
      <c r="C1983" t="s">
        <v>3051</v>
      </c>
      <c r="D1983" t="s">
        <v>3735</v>
      </c>
      <c r="E1983" t="s">
        <v>5977</v>
      </c>
      <c r="F1983" t="s">
        <v>5585</v>
      </c>
      <c r="G1983" t="s">
        <v>5994</v>
      </c>
      <c r="H1983" s="6" t="s">
        <v>8589</v>
      </c>
    </row>
    <row r="1984" spans="1:8" ht="221" x14ac:dyDescent="0.2">
      <c r="A1984">
        <v>1982</v>
      </c>
      <c r="B1984" t="s">
        <v>1611</v>
      </c>
      <c r="C1984" t="s">
        <v>3051</v>
      </c>
      <c r="D1984" t="s">
        <v>3735</v>
      </c>
      <c r="E1984" t="s">
        <v>5995</v>
      </c>
      <c r="F1984" t="s">
        <v>5996</v>
      </c>
      <c r="G1984" t="s">
        <v>5997</v>
      </c>
      <c r="H1984" s="6" t="s">
        <v>8590</v>
      </c>
    </row>
    <row r="1985" spans="1:8" ht="85" x14ac:dyDescent="0.2">
      <c r="A1985">
        <v>1983</v>
      </c>
      <c r="B1985" t="s">
        <v>1611</v>
      </c>
      <c r="C1985" t="s">
        <v>3051</v>
      </c>
      <c r="D1985" t="s">
        <v>3735</v>
      </c>
      <c r="E1985" t="s">
        <v>5995</v>
      </c>
      <c r="F1985" t="s">
        <v>5996</v>
      </c>
      <c r="G1985" t="s">
        <v>5998</v>
      </c>
      <c r="H1985" s="6" t="s">
        <v>8591</v>
      </c>
    </row>
    <row r="1986" spans="1:8" ht="85" x14ac:dyDescent="0.2">
      <c r="A1986">
        <v>1984</v>
      </c>
      <c r="B1986" t="s">
        <v>1611</v>
      </c>
      <c r="C1986" t="s">
        <v>3051</v>
      </c>
      <c r="D1986" t="s">
        <v>3735</v>
      </c>
      <c r="E1986" t="s">
        <v>5995</v>
      </c>
      <c r="F1986" t="s">
        <v>5996</v>
      </c>
      <c r="G1986" t="s">
        <v>5999</v>
      </c>
      <c r="H1986" s="6" t="s">
        <v>8592</v>
      </c>
    </row>
    <row r="1987" spans="1:8" ht="102" x14ac:dyDescent="0.2">
      <c r="A1987">
        <v>1985</v>
      </c>
      <c r="B1987" t="s">
        <v>1611</v>
      </c>
      <c r="C1987" t="s">
        <v>3051</v>
      </c>
      <c r="D1987" t="s">
        <v>3735</v>
      </c>
      <c r="E1987" t="s">
        <v>5995</v>
      </c>
      <c r="F1987" t="s">
        <v>5996</v>
      </c>
      <c r="G1987" t="s">
        <v>6000</v>
      </c>
      <c r="H1987" s="6" t="s">
        <v>8593</v>
      </c>
    </row>
    <row r="1988" spans="1:8" ht="153" x14ac:dyDescent="0.2">
      <c r="A1988">
        <v>1986</v>
      </c>
      <c r="B1988" t="s">
        <v>1611</v>
      </c>
      <c r="C1988" t="s">
        <v>3051</v>
      </c>
      <c r="D1988" t="s">
        <v>3735</v>
      </c>
      <c r="E1988" t="s">
        <v>5995</v>
      </c>
      <c r="F1988" t="s">
        <v>5996</v>
      </c>
      <c r="G1988" t="s">
        <v>6001</v>
      </c>
      <c r="H1988" s="6" t="s">
        <v>8594</v>
      </c>
    </row>
    <row r="1989" spans="1:8" ht="85" x14ac:dyDescent="0.2">
      <c r="A1989">
        <v>1987</v>
      </c>
      <c r="B1989" t="s">
        <v>1611</v>
      </c>
      <c r="C1989" t="s">
        <v>3051</v>
      </c>
      <c r="D1989" t="s">
        <v>3735</v>
      </c>
      <c r="E1989" t="s">
        <v>5995</v>
      </c>
      <c r="F1989" t="s">
        <v>5996</v>
      </c>
      <c r="G1989" t="s">
        <v>6002</v>
      </c>
      <c r="H1989" s="6" t="s">
        <v>8595</v>
      </c>
    </row>
    <row r="1990" spans="1:8" ht="102" x14ac:dyDescent="0.2">
      <c r="A1990">
        <v>1988</v>
      </c>
      <c r="B1990" t="s">
        <v>1611</v>
      </c>
      <c r="C1990" t="s">
        <v>3051</v>
      </c>
      <c r="D1990" t="s">
        <v>3735</v>
      </c>
      <c r="E1990" t="s">
        <v>5995</v>
      </c>
      <c r="F1990" t="s">
        <v>5996</v>
      </c>
      <c r="G1990" t="s">
        <v>6003</v>
      </c>
      <c r="H1990" s="6" t="s">
        <v>8596</v>
      </c>
    </row>
    <row r="1991" spans="1:8" ht="102" x14ac:dyDescent="0.2">
      <c r="A1991">
        <v>1989</v>
      </c>
      <c r="B1991" t="s">
        <v>1611</v>
      </c>
      <c r="C1991" t="s">
        <v>3051</v>
      </c>
      <c r="D1991" t="s">
        <v>3735</v>
      </c>
      <c r="E1991" t="s">
        <v>5995</v>
      </c>
      <c r="F1991" t="s">
        <v>5996</v>
      </c>
      <c r="G1991" t="s">
        <v>6004</v>
      </c>
      <c r="H1991" s="6" t="s">
        <v>8597</v>
      </c>
    </row>
    <row r="1992" spans="1:8" ht="102" x14ac:dyDescent="0.2">
      <c r="A1992">
        <v>1990</v>
      </c>
      <c r="B1992" t="s">
        <v>1611</v>
      </c>
      <c r="C1992" t="s">
        <v>3051</v>
      </c>
      <c r="D1992" t="s">
        <v>3735</v>
      </c>
      <c r="E1992" t="s">
        <v>5995</v>
      </c>
      <c r="F1992" t="s">
        <v>5996</v>
      </c>
      <c r="G1992" t="s">
        <v>6005</v>
      </c>
      <c r="H1992" s="6" t="s">
        <v>8598</v>
      </c>
    </row>
    <row r="1993" spans="1:8" ht="85" x14ac:dyDescent="0.2">
      <c r="A1993">
        <v>1991</v>
      </c>
      <c r="B1993" t="s">
        <v>1611</v>
      </c>
      <c r="C1993" t="s">
        <v>3051</v>
      </c>
      <c r="D1993" t="s">
        <v>3735</v>
      </c>
      <c r="E1993" t="s">
        <v>5995</v>
      </c>
      <c r="F1993" t="s">
        <v>5996</v>
      </c>
      <c r="G1993" t="s">
        <v>6006</v>
      </c>
      <c r="H1993" s="6" t="s">
        <v>8599</v>
      </c>
    </row>
    <row r="1994" spans="1:8" ht="170" x14ac:dyDescent="0.2">
      <c r="A1994">
        <v>1992</v>
      </c>
      <c r="B1994" t="s">
        <v>1611</v>
      </c>
      <c r="C1994" t="s">
        <v>3051</v>
      </c>
      <c r="D1994" t="s">
        <v>3735</v>
      </c>
      <c r="E1994" t="s">
        <v>6007</v>
      </c>
      <c r="F1994" t="s">
        <v>4710</v>
      </c>
      <c r="G1994" t="s">
        <v>6008</v>
      </c>
      <c r="H1994" s="6" t="s">
        <v>8600</v>
      </c>
    </row>
    <row r="1995" spans="1:8" ht="85" x14ac:dyDescent="0.2">
      <c r="A1995">
        <v>1993</v>
      </c>
      <c r="B1995" t="s">
        <v>1611</v>
      </c>
      <c r="C1995" t="s">
        <v>3051</v>
      </c>
      <c r="D1995" t="s">
        <v>3735</v>
      </c>
      <c r="E1995" t="s">
        <v>6007</v>
      </c>
      <c r="F1995" t="s">
        <v>4710</v>
      </c>
      <c r="G1995" t="s">
        <v>6009</v>
      </c>
      <c r="H1995" s="6" t="s">
        <v>8601</v>
      </c>
    </row>
    <row r="1996" spans="1:8" ht="119" x14ac:dyDescent="0.2">
      <c r="A1996">
        <v>1994</v>
      </c>
      <c r="B1996" t="s">
        <v>1611</v>
      </c>
      <c r="C1996" t="s">
        <v>3051</v>
      </c>
      <c r="D1996" t="s">
        <v>3735</v>
      </c>
      <c r="E1996" t="s">
        <v>6007</v>
      </c>
      <c r="F1996" t="s">
        <v>4710</v>
      </c>
      <c r="G1996" t="s">
        <v>6010</v>
      </c>
      <c r="H1996" s="6" t="s">
        <v>8602</v>
      </c>
    </row>
    <row r="1997" spans="1:8" ht="153" x14ac:dyDescent="0.2">
      <c r="A1997">
        <v>1995</v>
      </c>
      <c r="B1997" t="s">
        <v>1611</v>
      </c>
      <c r="C1997" t="s">
        <v>3051</v>
      </c>
      <c r="D1997" t="s">
        <v>3735</v>
      </c>
      <c r="E1997" t="s">
        <v>6007</v>
      </c>
      <c r="F1997" t="s">
        <v>4710</v>
      </c>
      <c r="G1997" t="s">
        <v>6011</v>
      </c>
      <c r="H1997" s="6" t="s">
        <v>8603</v>
      </c>
    </row>
    <row r="1998" spans="1:8" ht="85" x14ac:dyDescent="0.2">
      <c r="A1998">
        <v>1996</v>
      </c>
      <c r="B1998" t="s">
        <v>1611</v>
      </c>
      <c r="C1998" t="s">
        <v>3051</v>
      </c>
      <c r="D1998" t="s">
        <v>3735</v>
      </c>
      <c r="E1998" t="s">
        <v>6007</v>
      </c>
      <c r="F1998" t="s">
        <v>4710</v>
      </c>
      <c r="G1998" t="s">
        <v>6012</v>
      </c>
      <c r="H1998" s="6" t="s">
        <v>8604</v>
      </c>
    </row>
    <row r="1999" spans="1:8" ht="85" x14ac:dyDescent="0.2">
      <c r="A1999">
        <v>1997</v>
      </c>
      <c r="B1999" t="s">
        <v>1611</v>
      </c>
      <c r="C1999" t="s">
        <v>3051</v>
      </c>
      <c r="D1999" t="s">
        <v>3735</v>
      </c>
      <c r="E1999" t="s">
        <v>6007</v>
      </c>
      <c r="F1999" t="s">
        <v>4710</v>
      </c>
      <c r="G1999" t="s">
        <v>6013</v>
      </c>
      <c r="H1999" s="6" t="s">
        <v>8605</v>
      </c>
    </row>
    <row r="2000" spans="1:8" ht="170" x14ac:dyDescent="0.2">
      <c r="A2000">
        <v>1998</v>
      </c>
      <c r="B2000" t="s">
        <v>1611</v>
      </c>
      <c r="C2000" t="s">
        <v>3051</v>
      </c>
      <c r="D2000" t="s">
        <v>3735</v>
      </c>
      <c r="E2000" t="s">
        <v>6007</v>
      </c>
      <c r="F2000" t="s">
        <v>4710</v>
      </c>
      <c r="G2000" t="s">
        <v>6014</v>
      </c>
      <c r="H2000" s="6" t="s">
        <v>8606</v>
      </c>
    </row>
    <row r="2001" spans="1:8" ht="85" x14ac:dyDescent="0.2">
      <c r="A2001">
        <v>1999</v>
      </c>
      <c r="B2001" t="s">
        <v>1611</v>
      </c>
      <c r="C2001" t="s">
        <v>3051</v>
      </c>
      <c r="D2001" t="s">
        <v>3735</v>
      </c>
      <c r="E2001" t="s">
        <v>6007</v>
      </c>
      <c r="F2001" t="s">
        <v>4710</v>
      </c>
      <c r="G2001" t="s">
        <v>6015</v>
      </c>
      <c r="H2001" s="6" t="s">
        <v>8607</v>
      </c>
    </row>
    <row r="2002" spans="1:8" ht="102" x14ac:dyDescent="0.2">
      <c r="A2002">
        <v>2000</v>
      </c>
      <c r="B2002" t="s">
        <v>1611</v>
      </c>
      <c r="C2002" t="s">
        <v>3051</v>
      </c>
      <c r="D2002" t="s">
        <v>3735</v>
      </c>
      <c r="E2002" t="s">
        <v>6007</v>
      </c>
      <c r="F2002" t="s">
        <v>4710</v>
      </c>
      <c r="G2002" t="s">
        <v>6016</v>
      </c>
      <c r="H2002" s="6" t="s">
        <v>8608</v>
      </c>
    </row>
    <row r="2003" spans="1:8" ht="119" x14ac:dyDescent="0.2">
      <c r="A2003">
        <v>2001</v>
      </c>
      <c r="B2003" t="s">
        <v>1611</v>
      </c>
      <c r="C2003" t="s">
        <v>3051</v>
      </c>
      <c r="D2003" t="s">
        <v>3735</v>
      </c>
      <c r="E2003" t="s">
        <v>6007</v>
      </c>
      <c r="F2003" t="s">
        <v>4710</v>
      </c>
      <c r="G2003" t="s">
        <v>6017</v>
      </c>
      <c r="H2003" s="6" t="s">
        <v>8609</v>
      </c>
    </row>
    <row r="2004" spans="1:8" ht="85" x14ac:dyDescent="0.2">
      <c r="A2004">
        <v>2002</v>
      </c>
      <c r="B2004" t="s">
        <v>1611</v>
      </c>
      <c r="C2004" t="s">
        <v>3051</v>
      </c>
      <c r="D2004" t="s">
        <v>3735</v>
      </c>
      <c r="E2004" t="s">
        <v>6007</v>
      </c>
      <c r="F2004" t="s">
        <v>4710</v>
      </c>
      <c r="G2004" t="s">
        <v>6018</v>
      </c>
      <c r="H2004" s="6" t="s">
        <v>8610</v>
      </c>
    </row>
    <row r="2005" spans="1:8" ht="102" x14ac:dyDescent="0.2">
      <c r="A2005">
        <v>2003</v>
      </c>
      <c r="B2005" t="s">
        <v>1611</v>
      </c>
      <c r="C2005" t="s">
        <v>3051</v>
      </c>
      <c r="D2005" t="s">
        <v>3735</v>
      </c>
      <c r="E2005" t="s">
        <v>6007</v>
      </c>
      <c r="F2005" t="s">
        <v>4710</v>
      </c>
      <c r="G2005" t="s">
        <v>6019</v>
      </c>
      <c r="H2005" s="6" t="s">
        <v>8611</v>
      </c>
    </row>
    <row r="2006" spans="1:8" ht="119" x14ac:dyDescent="0.2">
      <c r="A2006">
        <v>2004</v>
      </c>
      <c r="B2006" t="s">
        <v>1611</v>
      </c>
      <c r="C2006" t="s">
        <v>3051</v>
      </c>
      <c r="D2006" t="s">
        <v>3735</v>
      </c>
      <c r="E2006" t="s">
        <v>6007</v>
      </c>
      <c r="F2006" t="s">
        <v>4710</v>
      </c>
      <c r="G2006" t="s">
        <v>6020</v>
      </c>
      <c r="H2006" s="6" t="s">
        <v>8612</v>
      </c>
    </row>
    <row r="2007" spans="1:8" ht="85" x14ac:dyDescent="0.2">
      <c r="A2007">
        <v>2005</v>
      </c>
      <c r="B2007" t="s">
        <v>1611</v>
      </c>
      <c r="C2007" t="s">
        <v>3051</v>
      </c>
      <c r="D2007" t="s">
        <v>3735</v>
      </c>
      <c r="E2007" t="s">
        <v>6007</v>
      </c>
      <c r="F2007" t="s">
        <v>4710</v>
      </c>
      <c r="G2007" t="s">
        <v>6021</v>
      </c>
      <c r="H2007" s="6" t="s">
        <v>8613</v>
      </c>
    </row>
    <row r="2008" spans="1:8" ht="255" x14ac:dyDescent="0.2">
      <c r="A2008">
        <v>2006</v>
      </c>
      <c r="B2008" t="s">
        <v>1611</v>
      </c>
      <c r="C2008" t="s">
        <v>3051</v>
      </c>
      <c r="D2008" t="s">
        <v>3735</v>
      </c>
      <c r="E2008" t="s">
        <v>6007</v>
      </c>
      <c r="F2008" t="s">
        <v>4710</v>
      </c>
      <c r="G2008" t="s">
        <v>6022</v>
      </c>
      <c r="H2008" s="6" t="s">
        <v>8614</v>
      </c>
    </row>
    <row r="2009" spans="1:8" ht="85" x14ac:dyDescent="0.2">
      <c r="A2009">
        <v>2007</v>
      </c>
      <c r="B2009" t="s">
        <v>1611</v>
      </c>
      <c r="C2009" t="s">
        <v>3051</v>
      </c>
      <c r="D2009" t="s">
        <v>3735</v>
      </c>
      <c r="E2009" t="s">
        <v>6007</v>
      </c>
      <c r="F2009" t="s">
        <v>4710</v>
      </c>
      <c r="G2009" t="s">
        <v>6023</v>
      </c>
      <c r="H2009" s="6" t="s">
        <v>8615</v>
      </c>
    </row>
    <row r="2010" spans="1:8" ht="85" x14ac:dyDescent="0.2">
      <c r="A2010">
        <v>2008</v>
      </c>
      <c r="B2010" t="s">
        <v>1611</v>
      </c>
      <c r="C2010" t="s">
        <v>3051</v>
      </c>
      <c r="D2010" t="s">
        <v>3735</v>
      </c>
      <c r="E2010" t="s">
        <v>6007</v>
      </c>
      <c r="F2010" t="s">
        <v>4710</v>
      </c>
      <c r="G2010" t="s">
        <v>6024</v>
      </c>
      <c r="H2010" s="6" t="s">
        <v>8616</v>
      </c>
    </row>
    <row r="2011" spans="1:8" ht="102" x14ac:dyDescent="0.2">
      <c r="A2011">
        <v>2009</v>
      </c>
      <c r="B2011" t="s">
        <v>1611</v>
      </c>
      <c r="C2011" t="s">
        <v>3051</v>
      </c>
      <c r="D2011" t="s">
        <v>3735</v>
      </c>
      <c r="E2011" t="s">
        <v>6007</v>
      </c>
      <c r="F2011" t="s">
        <v>4710</v>
      </c>
      <c r="G2011" t="s">
        <v>6025</v>
      </c>
      <c r="H2011" s="6" t="s">
        <v>8617</v>
      </c>
    </row>
    <row r="2012" spans="1:8" ht="102" x14ac:dyDescent="0.2">
      <c r="A2012">
        <v>2010</v>
      </c>
      <c r="B2012" t="s">
        <v>1611</v>
      </c>
      <c r="C2012" t="s">
        <v>3051</v>
      </c>
      <c r="D2012" t="s">
        <v>3735</v>
      </c>
      <c r="E2012" t="s">
        <v>6007</v>
      </c>
      <c r="F2012" t="s">
        <v>4710</v>
      </c>
      <c r="G2012" t="s">
        <v>6026</v>
      </c>
      <c r="H2012" s="6" t="s">
        <v>8618</v>
      </c>
    </row>
    <row r="2013" spans="1:8" ht="85" x14ac:dyDescent="0.2">
      <c r="A2013">
        <v>2011</v>
      </c>
      <c r="B2013" t="s">
        <v>1611</v>
      </c>
      <c r="C2013" t="s">
        <v>3051</v>
      </c>
      <c r="D2013" t="s">
        <v>3735</v>
      </c>
      <c r="E2013" t="s">
        <v>6007</v>
      </c>
      <c r="F2013" t="s">
        <v>4710</v>
      </c>
      <c r="G2013" t="s">
        <v>6027</v>
      </c>
      <c r="H2013" s="6" t="s">
        <v>8619</v>
      </c>
    </row>
    <row r="2014" spans="1:8" ht="340" x14ac:dyDescent="0.2">
      <c r="A2014">
        <v>2012</v>
      </c>
      <c r="B2014" t="s">
        <v>1611</v>
      </c>
      <c r="C2014" t="s">
        <v>3051</v>
      </c>
      <c r="D2014" t="s">
        <v>3735</v>
      </c>
      <c r="E2014" t="s">
        <v>6007</v>
      </c>
      <c r="F2014" t="s">
        <v>4710</v>
      </c>
      <c r="G2014" t="s">
        <v>6028</v>
      </c>
      <c r="H2014" s="6" t="s">
        <v>8620</v>
      </c>
    </row>
    <row r="2015" spans="1:8" ht="102" x14ac:dyDescent="0.2">
      <c r="A2015">
        <v>2013</v>
      </c>
      <c r="B2015" t="s">
        <v>1611</v>
      </c>
      <c r="C2015" t="s">
        <v>3051</v>
      </c>
      <c r="D2015" t="s">
        <v>3735</v>
      </c>
      <c r="E2015" t="s">
        <v>6007</v>
      </c>
      <c r="F2015" t="s">
        <v>4710</v>
      </c>
      <c r="G2015" t="s">
        <v>6029</v>
      </c>
      <c r="H2015" s="6" t="s">
        <v>8621</v>
      </c>
    </row>
    <row r="2016" spans="1:8" ht="85" x14ac:dyDescent="0.2">
      <c r="A2016">
        <v>2014</v>
      </c>
      <c r="B2016" t="s">
        <v>1611</v>
      </c>
      <c r="C2016" t="s">
        <v>3051</v>
      </c>
      <c r="D2016" t="s">
        <v>3735</v>
      </c>
      <c r="E2016" t="s">
        <v>6007</v>
      </c>
      <c r="F2016" t="s">
        <v>4710</v>
      </c>
      <c r="G2016" t="s">
        <v>6030</v>
      </c>
      <c r="H2016" s="6" t="s">
        <v>8622</v>
      </c>
    </row>
    <row r="2017" spans="1:8" ht="85" x14ac:dyDescent="0.2">
      <c r="A2017">
        <v>2015</v>
      </c>
      <c r="B2017" t="s">
        <v>1611</v>
      </c>
      <c r="C2017" t="s">
        <v>3051</v>
      </c>
      <c r="D2017" t="s">
        <v>3735</v>
      </c>
      <c r="E2017" t="s">
        <v>6007</v>
      </c>
      <c r="F2017" t="s">
        <v>4710</v>
      </c>
      <c r="G2017" t="s">
        <v>6031</v>
      </c>
      <c r="H2017" s="6" t="s">
        <v>8623</v>
      </c>
    </row>
    <row r="2018" spans="1:8" ht="102" x14ac:dyDescent="0.2">
      <c r="A2018">
        <v>2016</v>
      </c>
      <c r="B2018" t="s">
        <v>1611</v>
      </c>
      <c r="C2018" t="s">
        <v>3051</v>
      </c>
      <c r="D2018" t="s">
        <v>3735</v>
      </c>
      <c r="E2018" t="s">
        <v>6007</v>
      </c>
      <c r="F2018" t="s">
        <v>4710</v>
      </c>
      <c r="G2018" t="s">
        <v>6032</v>
      </c>
      <c r="H2018" s="6" t="s">
        <v>8617</v>
      </c>
    </row>
    <row r="2019" spans="1:8" ht="119" x14ac:dyDescent="0.2">
      <c r="A2019">
        <v>2017</v>
      </c>
      <c r="B2019" t="s">
        <v>1611</v>
      </c>
      <c r="C2019" t="s">
        <v>3051</v>
      </c>
      <c r="D2019" t="s">
        <v>3735</v>
      </c>
      <c r="E2019" t="s">
        <v>6007</v>
      </c>
      <c r="F2019" t="s">
        <v>4710</v>
      </c>
      <c r="G2019" t="s">
        <v>6033</v>
      </c>
      <c r="H2019" s="6" t="s">
        <v>8624</v>
      </c>
    </row>
    <row r="2020" spans="1:8" ht="102" x14ac:dyDescent="0.2">
      <c r="A2020">
        <v>2018</v>
      </c>
      <c r="B2020" t="s">
        <v>1611</v>
      </c>
      <c r="C2020" t="s">
        <v>3051</v>
      </c>
      <c r="D2020" t="s">
        <v>3735</v>
      </c>
      <c r="E2020" t="s">
        <v>6007</v>
      </c>
      <c r="F2020" t="s">
        <v>4710</v>
      </c>
      <c r="G2020" t="s">
        <v>6034</v>
      </c>
      <c r="H2020" s="6" t="s">
        <v>8625</v>
      </c>
    </row>
    <row r="2021" spans="1:8" ht="102" x14ac:dyDescent="0.2">
      <c r="A2021">
        <v>2019</v>
      </c>
      <c r="B2021" t="s">
        <v>1611</v>
      </c>
      <c r="C2021" t="s">
        <v>3051</v>
      </c>
      <c r="D2021" t="s">
        <v>3735</v>
      </c>
      <c r="E2021" t="s">
        <v>6007</v>
      </c>
      <c r="F2021" t="s">
        <v>4710</v>
      </c>
      <c r="G2021" t="s">
        <v>6035</v>
      </c>
      <c r="H2021" s="6" t="s">
        <v>8626</v>
      </c>
    </row>
    <row r="2022" spans="1:8" ht="102" x14ac:dyDescent="0.2">
      <c r="A2022">
        <v>2020</v>
      </c>
      <c r="B2022" t="s">
        <v>1611</v>
      </c>
      <c r="C2022" t="s">
        <v>3051</v>
      </c>
      <c r="D2022" t="s">
        <v>3735</v>
      </c>
      <c r="E2022" t="s">
        <v>6007</v>
      </c>
      <c r="F2022" t="s">
        <v>4710</v>
      </c>
      <c r="G2022" t="s">
        <v>6036</v>
      </c>
      <c r="H2022" s="6" t="s">
        <v>8627</v>
      </c>
    </row>
    <row r="2023" spans="1:8" ht="85" x14ac:dyDescent="0.2">
      <c r="A2023">
        <v>2021</v>
      </c>
      <c r="B2023" t="s">
        <v>1611</v>
      </c>
      <c r="C2023" t="s">
        <v>3051</v>
      </c>
      <c r="D2023" t="s">
        <v>3735</v>
      </c>
      <c r="E2023" t="s">
        <v>6007</v>
      </c>
      <c r="F2023" t="s">
        <v>4710</v>
      </c>
      <c r="G2023" t="s">
        <v>6037</v>
      </c>
      <c r="H2023" s="6" t="s">
        <v>8628</v>
      </c>
    </row>
    <row r="2024" spans="1:8" ht="68" x14ac:dyDescent="0.2">
      <c r="A2024">
        <v>2022</v>
      </c>
      <c r="B2024" t="s">
        <v>1611</v>
      </c>
      <c r="C2024" t="s">
        <v>3051</v>
      </c>
      <c r="D2024" t="s">
        <v>3735</v>
      </c>
      <c r="E2024" t="s">
        <v>6007</v>
      </c>
      <c r="F2024" t="s">
        <v>4710</v>
      </c>
      <c r="G2024" t="s">
        <v>6038</v>
      </c>
      <c r="H2024" s="6" t="s">
        <v>8629</v>
      </c>
    </row>
    <row r="2025" spans="1:8" ht="187" x14ac:dyDescent="0.2">
      <c r="A2025">
        <v>2023</v>
      </c>
      <c r="B2025" t="s">
        <v>1611</v>
      </c>
      <c r="C2025" t="s">
        <v>3051</v>
      </c>
      <c r="D2025" t="s">
        <v>3735</v>
      </c>
      <c r="E2025" t="s">
        <v>6039</v>
      </c>
      <c r="F2025" t="s">
        <v>4719</v>
      </c>
      <c r="G2025" t="s">
        <v>6040</v>
      </c>
      <c r="H2025" s="6" t="s">
        <v>8630</v>
      </c>
    </row>
    <row r="2026" spans="1:8" ht="102" x14ac:dyDescent="0.2">
      <c r="A2026">
        <v>2024</v>
      </c>
      <c r="B2026" t="s">
        <v>1611</v>
      </c>
      <c r="C2026" t="s">
        <v>3051</v>
      </c>
      <c r="D2026" t="s">
        <v>3735</v>
      </c>
      <c r="E2026" t="s">
        <v>6039</v>
      </c>
      <c r="F2026" t="s">
        <v>4719</v>
      </c>
      <c r="G2026" t="s">
        <v>6041</v>
      </c>
      <c r="H2026" s="6" t="s">
        <v>8631</v>
      </c>
    </row>
    <row r="2027" spans="1:8" ht="119" x14ac:dyDescent="0.2">
      <c r="A2027">
        <v>2025</v>
      </c>
      <c r="B2027" t="s">
        <v>1611</v>
      </c>
      <c r="C2027" t="s">
        <v>3051</v>
      </c>
      <c r="D2027" t="s">
        <v>3735</v>
      </c>
      <c r="E2027" t="s">
        <v>6039</v>
      </c>
      <c r="F2027" t="s">
        <v>4719</v>
      </c>
      <c r="G2027" t="s">
        <v>6042</v>
      </c>
      <c r="H2027" s="6" t="s">
        <v>8390</v>
      </c>
    </row>
    <row r="2028" spans="1:8" ht="119" x14ac:dyDescent="0.2">
      <c r="A2028">
        <v>2026</v>
      </c>
      <c r="B2028" t="s">
        <v>1611</v>
      </c>
      <c r="C2028" t="s">
        <v>3051</v>
      </c>
      <c r="D2028" t="s">
        <v>3735</v>
      </c>
      <c r="E2028" t="s">
        <v>6039</v>
      </c>
      <c r="F2028" t="s">
        <v>4719</v>
      </c>
      <c r="G2028" t="s">
        <v>6043</v>
      </c>
      <c r="H2028" s="6" t="s">
        <v>8632</v>
      </c>
    </row>
    <row r="2029" spans="1:8" ht="187" x14ac:dyDescent="0.2">
      <c r="A2029">
        <v>2027</v>
      </c>
      <c r="B2029" t="s">
        <v>1611</v>
      </c>
      <c r="C2029" t="s">
        <v>3051</v>
      </c>
      <c r="D2029" t="s">
        <v>3735</v>
      </c>
      <c r="E2029" t="s">
        <v>6039</v>
      </c>
      <c r="F2029" t="s">
        <v>4719</v>
      </c>
      <c r="G2029" t="s">
        <v>6044</v>
      </c>
      <c r="H2029" s="6" t="s">
        <v>8633</v>
      </c>
    </row>
    <row r="2030" spans="1:8" ht="102" x14ac:dyDescent="0.2">
      <c r="A2030">
        <v>2028</v>
      </c>
      <c r="B2030" t="s">
        <v>1611</v>
      </c>
      <c r="C2030" t="s">
        <v>3051</v>
      </c>
      <c r="D2030" t="s">
        <v>3735</v>
      </c>
      <c r="E2030" t="s">
        <v>6039</v>
      </c>
      <c r="F2030" t="s">
        <v>4719</v>
      </c>
      <c r="G2030" t="s">
        <v>6045</v>
      </c>
      <c r="H2030" s="6" t="s">
        <v>8634</v>
      </c>
    </row>
    <row r="2031" spans="1:8" ht="119" x14ac:dyDescent="0.2">
      <c r="A2031">
        <v>2029</v>
      </c>
      <c r="B2031" t="s">
        <v>1611</v>
      </c>
      <c r="C2031" t="s">
        <v>3051</v>
      </c>
      <c r="D2031" t="s">
        <v>3735</v>
      </c>
      <c r="E2031" t="s">
        <v>6039</v>
      </c>
      <c r="F2031" t="s">
        <v>4719</v>
      </c>
      <c r="G2031" t="s">
        <v>6046</v>
      </c>
      <c r="H2031" s="6" t="s">
        <v>8390</v>
      </c>
    </row>
    <row r="2032" spans="1:8" ht="119" x14ac:dyDescent="0.2">
      <c r="A2032">
        <v>2030</v>
      </c>
      <c r="B2032" t="s">
        <v>1611</v>
      </c>
      <c r="C2032" t="s">
        <v>3051</v>
      </c>
      <c r="D2032" t="s">
        <v>3735</v>
      </c>
      <c r="E2032" t="s">
        <v>6039</v>
      </c>
      <c r="F2032" t="s">
        <v>4719</v>
      </c>
      <c r="G2032" t="s">
        <v>6047</v>
      </c>
      <c r="H2032" s="6" t="s">
        <v>8632</v>
      </c>
    </row>
    <row r="2033" spans="1:8" ht="85" x14ac:dyDescent="0.2">
      <c r="A2033">
        <v>2031</v>
      </c>
      <c r="B2033" t="s">
        <v>1611</v>
      </c>
      <c r="C2033" t="s">
        <v>3051</v>
      </c>
      <c r="D2033" t="s">
        <v>3735</v>
      </c>
      <c r="E2033" t="s">
        <v>6039</v>
      </c>
      <c r="F2033" t="s">
        <v>4719</v>
      </c>
      <c r="G2033" t="s">
        <v>6048</v>
      </c>
      <c r="H2033" s="6" t="s">
        <v>8635</v>
      </c>
    </row>
    <row r="2034" spans="1:8" ht="409.6" x14ac:dyDescent="0.2">
      <c r="A2034">
        <v>2032</v>
      </c>
      <c r="B2034" t="s">
        <v>1611</v>
      </c>
      <c r="C2034" t="s">
        <v>3051</v>
      </c>
      <c r="D2034" t="s">
        <v>3735</v>
      </c>
      <c r="E2034" t="s">
        <v>6039</v>
      </c>
      <c r="F2034" t="s">
        <v>4719</v>
      </c>
      <c r="G2034" t="s">
        <v>6049</v>
      </c>
      <c r="H2034" s="6" t="s">
        <v>8636</v>
      </c>
    </row>
    <row r="2035" spans="1:8" ht="102" x14ac:dyDescent="0.2">
      <c r="A2035">
        <v>2033</v>
      </c>
      <c r="B2035" t="s">
        <v>1611</v>
      </c>
      <c r="C2035" t="s">
        <v>3051</v>
      </c>
      <c r="D2035" t="s">
        <v>3735</v>
      </c>
      <c r="E2035" t="s">
        <v>6039</v>
      </c>
      <c r="F2035" t="s">
        <v>4719</v>
      </c>
      <c r="G2035" t="s">
        <v>6050</v>
      </c>
      <c r="H2035" s="6" t="s">
        <v>8634</v>
      </c>
    </row>
    <row r="2036" spans="1:8" ht="119" x14ac:dyDescent="0.2">
      <c r="A2036">
        <v>2034</v>
      </c>
      <c r="B2036" t="s">
        <v>1611</v>
      </c>
      <c r="C2036" t="s">
        <v>3051</v>
      </c>
      <c r="D2036" t="s">
        <v>3735</v>
      </c>
      <c r="E2036" t="s">
        <v>6039</v>
      </c>
      <c r="F2036" t="s">
        <v>4719</v>
      </c>
      <c r="G2036" t="s">
        <v>6051</v>
      </c>
      <c r="H2036" s="6" t="s">
        <v>8390</v>
      </c>
    </row>
    <row r="2037" spans="1:8" ht="119" x14ac:dyDescent="0.2">
      <c r="A2037">
        <v>2035</v>
      </c>
      <c r="B2037" t="s">
        <v>1611</v>
      </c>
      <c r="C2037" t="s">
        <v>3051</v>
      </c>
      <c r="D2037" t="s">
        <v>3735</v>
      </c>
      <c r="E2037" t="s">
        <v>6039</v>
      </c>
      <c r="F2037" t="s">
        <v>4719</v>
      </c>
      <c r="G2037" t="s">
        <v>6052</v>
      </c>
      <c r="H2037" s="6" t="s">
        <v>8632</v>
      </c>
    </row>
    <row r="2038" spans="1:8" ht="102" x14ac:dyDescent="0.2">
      <c r="A2038">
        <v>2036</v>
      </c>
      <c r="B2038" t="s">
        <v>1611</v>
      </c>
      <c r="C2038" t="s">
        <v>3051</v>
      </c>
      <c r="D2038" t="s">
        <v>3735</v>
      </c>
      <c r="E2038" t="s">
        <v>6039</v>
      </c>
      <c r="F2038" t="s">
        <v>4719</v>
      </c>
      <c r="G2038" t="s">
        <v>6053</v>
      </c>
      <c r="H2038" s="6" t="s">
        <v>8637</v>
      </c>
    </row>
    <row r="2039" spans="1:8" ht="102" x14ac:dyDescent="0.2">
      <c r="A2039">
        <v>2037</v>
      </c>
      <c r="B2039" t="s">
        <v>1611</v>
      </c>
      <c r="C2039" t="s">
        <v>3051</v>
      </c>
      <c r="D2039" t="s">
        <v>3735</v>
      </c>
      <c r="E2039" t="s">
        <v>6039</v>
      </c>
      <c r="F2039" t="s">
        <v>4719</v>
      </c>
      <c r="G2039" t="s">
        <v>6054</v>
      </c>
      <c r="H2039" s="6" t="s">
        <v>8638</v>
      </c>
    </row>
    <row r="2040" spans="1:8" ht="238" x14ac:dyDescent="0.2">
      <c r="A2040">
        <v>2038</v>
      </c>
      <c r="B2040" t="s">
        <v>1611</v>
      </c>
      <c r="C2040" t="s">
        <v>3051</v>
      </c>
      <c r="D2040" t="s">
        <v>3735</v>
      </c>
      <c r="E2040" t="s">
        <v>6039</v>
      </c>
      <c r="F2040" t="s">
        <v>4719</v>
      </c>
      <c r="G2040" t="s">
        <v>6055</v>
      </c>
      <c r="H2040" s="6" t="s">
        <v>8639</v>
      </c>
    </row>
    <row r="2041" spans="1:8" ht="136" x14ac:dyDescent="0.2">
      <c r="A2041">
        <v>2039</v>
      </c>
      <c r="B2041" t="s">
        <v>1611</v>
      </c>
      <c r="C2041" t="s">
        <v>3051</v>
      </c>
      <c r="D2041" t="s">
        <v>3735</v>
      </c>
      <c r="E2041" t="s">
        <v>6039</v>
      </c>
      <c r="F2041" t="s">
        <v>4719</v>
      </c>
      <c r="G2041" t="s">
        <v>6056</v>
      </c>
      <c r="H2041" s="6" t="s">
        <v>8640</v>
      </c>
    </row>
    <row r="2042" spans="1:8" ht="153" x14ac:dyDescent="0.2">
      <c r="A2042">
        <v>2040</v>
      </c>
      <c r="B2042" t="s">
        <v>1611</v>
      </c>
      <c r="C2042" t="s">
        <v>3051</v>
      </c>
      <c r="D2042" t="s">
        <v>3735</v>
      </c>
      <c r="E2042" t="s">
        <v>6039</v>
      </c>
      <c r="F2042" t="s">
        <v>4719</v>
      </c>
      <c r="G2042" t="s">
        <v>6057</v>
      </c>
      <c r="H2042" s="6" t="s">
        <v>8641</v>
      </c>
    </row>
    <row r="2043" spans="1:8" ht="119" x14ac:dyDescent="0.2">
      <c r="A2043">
        <v>2041</v>
      </c>
      <c r="B2043" t="s">
        <v>1611</v>
      </c>
      <c r="C2043" t="s">
        <v>3051</v>
      </c>
      <c r="D2043" t="s">
        <v>3735</v>
      </c>
      <c r="E2043" t="s">
        <v>6039</v>
      </c>
      <c r="F2043" t="s">
        <v>4719</v>
      </c>
      <c r="G2043" t="s">
        <v>6058</v>
      </c>
      <c r="H2043" s="6" t="s">
        <v>8642</v>
      </c>
    </row>
    <row r="2044" spans="1:8" ht="119" x14ac:dyDescent="0.2">
      <c r="A2044">
        <v>2042</v>
      </c>
      <c r="B2044" t="s">
        <v>1611</v>
      </c>
      <c r="C2044" t="s">
        <v>3051</v>
      </c>
      <c r="D2044" t="s">
        <v>3735</v>
      </c>
      <c r="E2044" t="s">
        <v>6039</v>
      </c>
      <c r="F2044" t="s">
        <v>4719</v>
      </c>
      <c r="G2044" t="s">
        <v>6059</v>
      </c>
      <c r="H2044" s="6" t="s">
        <v>8643</v>
      </c>
    </row>
    <row r="2045" spans="1:8" ht="102" x14ac:dyDescent="0.2">
      <c r="A2045">
        <v>2043</v>
      </c>
      <c r="B2045" t="s">
        <v>1611</v>
      </c>
      <c r="C2045" t="s">
        <v>3051</v>
      </c>
      <c r="D2045" t="s">
        <v>3735</v>
      </c>
      <c r="E2045" t="s">
        <v>6039</v>
      </c>
      <c r="F2045" t="s">
        <v>4719</v>
      </c>
      <c r="G2045" t="s">
        <v>6060</v>
      </c>
      <c r="H2045" s="6" t="s">
        <v>8644</v>
      </c>
    </row>
    <row r="2046" spans="1:8" ht="119" x14ac:dyDescent="0.2">
      <c r="A2046">
        <v>2044</v>
      </c>
      <c r="B2046" t="s">
        <v>1611</v>
      </c>
      <c r="C2046" t="s">
        <v>3051</v>
      </c>
      <c r="D2046" t="s">
        <v>3735</v>
      </c>
      <c r="E2046" t="s">
        <v>6039</v>
      </c>
      <c r="F2046" t="s">
        <v>4719</v>
      </c>
      <c r="G2046" t="s">
        <v>6061</v>
      </c>
      <c r="H2046" s="6" t="s">
        <v>8645</v>
      </c>
    </row>
    <row r="2047" spans="1:8" ht="119" x14ac:dyDescent="0.2">
      <c r="A2047">
        <v>2045</v>
      </c>
      <c r="B2047" t="s">
        <v>1611</v>
      </c>
      <c r="C2047" t="s">
        <v>3051</v>
      </c>
      <c r="D2047" t="s">
        <v>3735</v>
      </c>
      <c r="E2047" t="s">
        <v>6039</v>
      </c>
      <c r="F2047" t="s">
        <v>4719</v>
      </c>
      <c r="G2047" t="s">
        <v>6062</v>
      </c>
      <c r="H2047" s="6" t="s">
        <v>8646</v>
      </c>
    </row>
    <row r="2048" spans="1:8" ht="85" x14ac:dyDescent="0.2">
      <c r="A2048">
        <v>2046</v>
      </c>
      <c r="B2048" t="s">
        <v>1611</v>
      </c>
      <c r="C2048" t="s">
        <v>3051</v>
      </c>
      <c r="D2048" t="s">
        <v>3735</v>
      </c>
      <c r="E2048" t="s">
        <v>6039</v>
      </c>
      <c r="F2048" t="s">
        <v>4719</v>
      </c>
      <c r="G2048" t="s">
        <v>6063</v>
      </c>
      <c r="H2048" s="6" t="s">
        <v>8647</v>
      </c>
    </row>
    <row r="2049" spans="1:8" ht="255" x14ac:dyDescent="0.2">
      <c r="A2049">
        <v>2047</v>
      </c>
      <c r="B2049" t="s">
        <v>1611</v>
      </c>
      <c r="C2049" t="s">
        <v>3051</v>
      </c>
      <c r="D2049" t="s">
        <v>3735</v>
      </c>
      <c r="E2049" t="s">
        <v>6039</v>
      </c>
      <c r="F2049" t="s">
        <v>4719</v>
      </c>
      <c r="G2049" t="s">
        <v>6064</v>
      </c>
      <c r="H2049" s="6" t="s">
        <v>8648</v>
      </c>
    </row>
    <row r="2050" spans="1:8" ht="85" x14ac:dyDescent="0.2">
      <c r="A2050">
        <v>2048</v>
      </c>
      <c r="B2050" t="s">
        <v>1611</v>
      </c>
      <c r="C2050" t="s">
        <v>3051</v>
      </c>
      <c r="D2050" t="s">
        <v>3735</v>
      </c>
      <c r="E2050" t="s">
        <v>6039</v>
      </c>
      <c r="F2050" t="s">
        <v>4719</v>
      </c>
      <c r="G2050" t="s">
        <v>6065</v>
      </c>
      <c r="H2050" s="6" t="s">
        <v>8649</v>
      </c>
    </row>
    <row r="2051" spans="1:8" ht="102" x14ac:dyDescent="0.2">
      <c r="A2051">
        <v>2049</v>
      </c>
      <c r="B2051" t="s">
        <v>1611</v>
      </c>
      <c r="C2051" t="s">
        <v>3051</v>
      </c>
      <c r="D2051" t="s">
        <v>3735</v>
      </c>
      <c r="E2051" t="s">
        <v>6039</v>
      </c>
      <c r="F2051" t="s">
        <v>4719</v>
      </c>
      <c r="G2051" t="s">
        <v>6066</v>
      </c>
      <c r="H2051" s="6" t="s">
        <v>8650</v>
      </c>
    </row>
    <row r="2052" spans="1:8" ht="119" x14ac:dyDescent="0.2">
      <c r="A2052">
        <v>2050</v>
      </c>
      <c r="B2052" t="s">
        <v>1611</v>
      </c>
      <c r="C2052" t="s">
        <v>3051</v>
      </c>
      <c r="D2052" t="s">
        <v>3735</v>
      </c>
      <c r="E2052" t="s">
        <v>6039</v>
      </c>
      <c r="F2052" t="s">
        <v>4719</v>
      </c>
      <c r="G2052" t="s">
        <v>6067</v>
      </c>
      <c r="H2052" s="6" t="s">
        <v>8651</v>
      </c>
    </row>
    <row r="2053" spans="1:8" ht="119" x14ac:dyDescent="0.2">
      <c r="A2053">
        <v>2051</v>
      </c>
      <c r="B2053" t="s">
        <v>1611</v>
      </c>
      <c r="C2053" t="s">
        <v>3051</v>
      </c>
      <c r="D2053" t="s">
        <v>3735</v>
      </c>
      <c r="E2053" t="s">
        <v>6039</v>
      </c>
      <c r="F2053" t="s">
        <v>4719</v>
      </c>
      <c r="G2053" t="s">
        <v>6068</v>
      </c>
      <c r="H2053" s="6" t="s">
        <v>8390</v>
      </c>
    </row>
    <row r="2054" spans="1:8" ht="119" x14ac:dyDescent="0.2">
      <c r="A2054">
        <v>2052</v>
      </c>
      <c r="B2054" t="s">
        <v>1611</v>
      </c>
      <c r="C2054" t="s">
        <v>3051</v>
      </c>
      <c r="D2054" t="s">
        <v>3735</v>
      </c>
      <c r="E2054" t="s">
        <v>6039</v>
      </c>
      <c r="F2054" t="s">
        <v>4719</v>
      </c>
      <c r="G2054" t="s">
        <v>6069</v>
      </c>
      <c r="H2054" s="6" t="s">
        <v>8652</v>
      </c>
    </row>
    <row r="2055" spans="1:8" ht="85" x14ac:dyDescent="0.2">
      <c r="A2055">
        <v>2053</v>
      </c>
      <c r="B2055" t="s">
        <v>1611</v>
      </c>
      <c r="C2055" t="s">
        <v>3051</v>
      </c>
      <c r="D2055" t="s">
        <v>3735</v>
      </c>
      <c r="E2055" t="s">
        <v>6039</v>
      </c>
      <c r="F2055" t="s">
        <v>4719</v>
      </c>
      <c r="G2055" t="s">
        <v>6070</v>
      </c>
      <c r="H2055" s="6" t="s">
        <v>8653</v>
      </c>
    </row>
    <row r="2056" spans="1:8" ht="85" x14ac:dyDescent="0.2">
      <c r="A2056">
        <v>2054</v>
      </c>
      <c r="B2056" t="s">
        <v>1611</v>
      </c>
      <c r="C2056" t="s">
        <v>3051</v>
      </c>
      <c r="D2056" t="s">
        <v>3735</v>
      </c>
      <c r="E2056" t="s">
        <v>6039</v>
      </c>
      <c r="F2056" t="s">
        <v>4719</v>
      </c>
      <c r="G2056" t="s">
        <v>6071</v>
      </c>
      <c r="H2056" s="6" t="s">
        <v>8654</v>
      </c>
    </row>
    <row r="2057" spans="1:8" ht="102" x14ac:dyDescent="0.2">
      <c r="A2057">
        <v>2055</v>
      </c>
      <c r="B2057" t="s">
        <v>1611</v>
      </c>
      <c r="C2057" t="s">
        <v>3051</v>
      </c>
      <c r="D2057" t="s">
        <v>3735</v>
      </c>
      <c r="E2057" t="s">
        <v>6039</v>
      </c>
      <c r="F2057" t="s">
        <v>4719</v>
      </c>
      <c r="G2057" t="s">
        <v>6072</v>
      </c>
      <c r="H2057" s="6" t="s">
        <v>8655</v>
      </c>
    </row>
    <row r="2058" spans="1:8" ht="119" x14ac:dyDescent="0.2">
      <c r="A2058">
        <v>2056</v>
      </c>
      <c r="B2058" t="s">
        <v>1611</v>
      </c>
      <c r="C2058" t="s">
        <v>3051</v>
      </c>
      <c r="D2058" t="s">
        <v>3735</v>
      </c>
      <c r="E2058" t="s">
        <v>6039</v>
      </c>
      <c r="F2058" t="s">
        <v>4719</v>
      </c>
      <c r="G2058" t="s">
        <v>6073</v>
      </c>
      <c r="H2058" s="6" t="s">
        <v>8656</v>
      </c>
    </row>
    <row r="2059" spans="1:8" ht="102" x14ac:dyDescent="0.2">
      <c r="A2059">
        <v>2057</v>
      </c>
      <c r="B2059" t="s">
        <v>1611</v>
      </c>
      <c r="C2059" t="s">
        <v>3051</v>
      </c>
      <c r="D2059" t="s">
        <v>3735</v>
      </c>
      <c r="E2059" t="s">
        <v>6039</v>
      </c>
      <c r="F2059" t="s">
        <v>4719</v>
      </c>
      <c r="G2059" t="s">
        <v>6074</v>
      </c>
      <c r="H2059" s="6" t="s">
        <v>8657</v>
      </c>
    </row>
    <row r="2060" spans="1:8" ht="119" x14ac:dyDescent="0.2">
      <c r="A2060">
        <v>2058</v>
      </c>
      <c r="B2060" t="s">
        <v>1611</v>
      </c>
      <c r="C2060" t="s">
        <v>3051</v>
      </c>
      <c r="D2060" t="s">
        <v>3735</v>
      </c>
      <c r="E2060" t="s">
        <v>6039</v>
      </c>
      <c r="F2060" t="s">
        <v>4719</v>
      </c>
      <c r="G2060" t="s">
        <v>6075</v>
      </c>
      <c r="H2060" s="6" t="s">
        <v>8658</v>
      </c>
    </row>
    <row r="2061" spans="1:8" ht="102" x14ac:dyDescent="0.2">
      <c r="A2061">
        <v>2059</v>
      </c>
      <c r="B2061" t="s">
        <v>1611</v>
      </c>
      <c r="C2061" t="s">
        <v>3051</v>
      </c>
      <c r="D2061" t="s">
        <v>3735</v>
      </c>
      <c r="E2061" t="s">
        <v>6076</v>
      </c>
      <c r="F2061" t="s">
        <v>5648</v>
      </c>
      <c r="G2061" t="s">
        <v>6077</v>
      </c>
      <c r="H2061" s="6" t="s">
        <v>8659</v>
      </c>
    </row>
    <row r="2062" spans="1:8" ht="85" x14ac:dyDescent="0.2">
      <c r="A2062">
        <v>2060</v>
      </c>
      <c r="B2062" t="s">
        <v>1611</v>
      </c>
      <c r="C2062" t="s">
        <v>3051</v>
      </c>
      <c r="D2062" t="s">
        <v>3735</v>
      </c>
      <c r="E2062" t="s">
        <v>6076</v>
      </c>
      <c r="F2062" t="s">
        <v>5648</v>
      </c>
      <c r="G2062" t="s">
        <v>6078</v>
      </c>
      <c r="H2062" s="6" t="s">
        <v>8660</v>
      </c>
    </row>
    <row r="2063" spans="1:8" ht="289" x14ac:dyDescent="0.2">
      <c r="A2063">
        <v>2061</v>
      </c>
      <c r="B2063" t="s">
        <v>1611</v>
      </c>
      <c r="C2063" t="s">
        <v>3051</v>
      </c>
      <c r="D2063" t="s">
        <v>3735</v>
      </c>
      <c r="E2063" t="s">
        <v>6076</v>
      </c>
      <c r="F2063" t="s">
        <v>5648</v>
      </c>
      <c r="G2063" t="s">
        <v>6079</v>
      </c>
      <c r="H2063" s="6" t="s">
        <v>8661</v>
      </c>
    </row>
    <row r="2064" spans="1:8" ht="85" x14ac:dyDescent="0.2">
      <c r="A2064">
        <v>2062</v>
      </c>
      <c r="B2064" t="s">
        <v>1611</v>
      </c>
      <c r="C2064" t="s">
        <v>3051</v>
      </c>
      <c r="D2064" t="s">
        <v>3735</v>
      </c>
      <c r="E2064" t="s">
        <v>6076</v>
      </c>
      <c r="F2064" t="s">
        <v>5648</v>
      </c>
      <c r="G2064" t="s">
        <v>6080</v>
      </c>
      <c r="H2064" s="6" t="s">
        <v>8662</v>
      </c>
    </row>
    <row r="2065" spans="1:8" ht="85" x14ac:dyDescent="0.2">
      <c r="A2065">
        <v>2063</v>
      </c>
      <c r="B2065" t="s">
        <v>1611</v>
      </c>
      <c r="C2065" t="s">
        <v>3051</v>
      </c>
      <c r="D2065" t="s">
        <v>3735</v>
      </c>
      <c r="E2065" t="s">
        <v>6076</v>
      </c>
      <c r="F2065" t="s">
        <v>5648</v>
      </c>
      <c r="G2065" t="s">
        <v>6081</v>
      </c>
      <c r="H2065" s="6" t="s">
        <v>8663</v>
      </c>
    </row>
    <row r="2066" spans="1:8" ht="153" x14ac:dyDescent="0.2">
      <c r="A2066">
        <v>2064</v>
      </c>
      <c r="B2066" t="s">
        <v>1611</v>
      </c>
      <c r="C2066" t="s">
        <v>3051</v>
      </c>
      <c r="D2066" t="s">
        <v>3735</v>
      </c>
      <c r="E2066" t="s">
        <v>6076</v>
      </c>
      <c r="F2066" t="s">
        <v>5648</v>
      </c>
      <c r="G2066" t="s">
        <v>6082</v>
      </c>
      <c r="H2066" s="6" t="s">
        <v>8664</v>
      </c>
    </row>
    <row r="2067" spans="1:8" ht="119" x14ac:dyDescent="0.2">
      <c r="A2067">
        <v>2065</v>
      </c>
      <c r="B2067" t="s">
        <v>1611</v>
      </c>
      <c r="C2067" t="s">
        <v>3051</v>
      </c>
      <c r="D2067" t="s">
        <v>3735</v>
      </c>
      <c r="E2067" t="s">
        <v>6076</v>
      </c>
      <c r="F2067" t="s">
        <v>5648</v>
      </c>
      <c r="G2067" t="s">
        <v>6083</v>
      </c>
      <c r="H2067" s="6" t="s">
        <v>8665</v>
      </c>
    </row>
    <row r="2068" spans="1:8" ht="85" x14ac:dyDescent="0.2">
      <c r="A2068">
        <v>2066</v>
      </c>
      <c r="B2068" t="s">
        <v>1611</v>
      </c>
      <c r="C2068" t="s">
        <v>3051</v>
      </c>
      <c r="D2068" t="s">
        <v>3735</v>
      </c>
      <c r="E2068" t="s">
        <v>6076</v>
      </c>
      <c r="F2068" t="s">
        <v>5648</v>
      </c>
      <c r="G2068" t="s">
        <v>6084</v>
      </c>
      <c r="H2068" s="6" t="s">
        <v>8666</v>
      </c>
    </row>
    <row r="2069" spans="1:8" ht="85" x14ac:dyDescent="0.2">
      <c r="A2069">
        <v>2067</v>
      </c>
      <c r="B2069" t="s">
        <v>1611</v>
      </c>
      <c r="C2069" t="s">
        <v>3051</v>
      </c>
      <c r="D2069" t="s">
        <v>3735</v>
      </c>
      <c r="E2069" t="s">
        <v>6076</v>
      </c>
      <c r="F2069" t="s">
        <v>5648</v>
      </c>
      <c r="G2069" t="s">
        <v>6085</v>
      </c>
      <c r="H2069" s="6" t="s">
        <v>8667</v>
      </c>
    </row>
    <row r="2070" spans="1:8" ht="102" x14ac:dyDescent="0.2">
      <c r="A2070">
        <v>2068</v>
      </c>
      <c r="B2070" t="s">
        <v>1611</v>
      </c>
      <c r="C2070" t="s">
        <v>3051</v>
      </c>
      <c r="D2070" t="s">
        <v>3735</v>
      </c>
      <c r="E2070" t="s">
        <v>6076</v>
      </c>
      <c r="F2070" t="s">
        <v>5648</v>
      </c>
      <c r="G2070" t="s">
        <v>6086</v>
      </c>
      <c r="H2070" s="6" t="s">
        <v>8668</v>
      </c>
    </row>
    <row r="2071" spans="1:8" ht="102" x14ac:dyDescent="0.2">
      <c r="A2071">
        <v>2069</v>
      </c>
      <c r="B2071" t="s">
        <v>1611</v>
      </c>
      <c r="C2071" t="s">
        <v>3051</v>
      </c>
      <c r="D2071" t="s">
        <v>3735</v>
      </c>
      <c r="E2071" t="s">
        <v>6076</v>
      </c>
      <c r="F2071" t="s">
        <v>5648</v>
      </c>
      <c r="G2071" t="s">
        <v>6087</v>
      </c>
      <c r="H2071" s="6" t="s">
        <v>8669</v>
      </c>
    </row>
    <row r="2072" spans="1:8" ht="221" x14ac:dyDescent="0.2">
      <c r="A2072">
        <v>2070</v>
      </c>
      <c r="B2072" t="s">
        <v>1611</v>
      </c>
      <c r="C2072" t="s">
        <v>3051</v>
      </c>
      <c r="D2072" t="s">
        <v>3735</v>
      </c>
      <c r="E2072" t="s">
        <v>6076</v>
      </c>
      <c r="F2072" t="s">
        <v>5648</v>
      </c>
      <c r="G2072" t="s">
        <v>6088</v>
      </c>
      <c r="H2072" s="6" t="s">
        <v>8670</v>
      </c>
    </row>
    <row r="2073" spans="1:8" ht="85" x14ac:dyDescent="0.2">
      <c r="A2073">
        <v>2071</v>
      </c>
      <c r="B2073" t="s">
        <v>1611</v>
      </c>
      <c r="C2073" t="s">
        <v>3051</v>
      </c>
      <c r="D2073" t="s">
        <v>3735</v>
      </c>
      <c r="E2073" t="s">
        <v>6076</v>
      </c>
      <c r="F2073" t="s">
        <v>5648</v>
      </c>
      <c r="G2073" t="s">
        <v>6089</v>
      </c>
      <c r="H2073" s="6" t="s">
        <v>8671</v>
      </c>
    </row>
    <row r="2074" spans="1:8" ht="85" x14ac:dyDescent="0.2">
      <c r="A2074">
        <v>2072</v>
      </c>
      <c r="B2074" t="s">
        <v>1611</v>
      </c>
      <c r="C2074" t="s">
        <v>3051</v>
      </c>
      <c r="D2074" t="s">
        <v>3735</v>
      </c>
      <c r="E2074" t="s">
        <v>6076</v>
      </c>
      <c r="F2074" t="s">
        <v>5648</v>
      </c>
      <c r="G2074" t="s">
        <v>6090</v>
      </c>
      <c r="H2074" s="6" t="s">
        <v>8672</v>
      </c>
    </row>
    <row r="2075" spans="1:8" ht="85" x14ac:dyDescent="0.2">
      <c r="A2075">
        <v>2073</v>
      </c>
      <c r="B2075" t="s">
        <v>1611</v>
      </c>
      <c r="C2075" t="s">
        <v>3051</v>
      </c>
      <c r="D2075" t="s">
        <v>3735</v>
      </c>
      <c r="E2075" t="s">
        <v>6076</v>
      </c>
      <c r="F2075" t="s">
        <v>5648</v>
      </c>
      <c r="G2075" t="s">
        <v>6091</v>
      </c>
      <c r="H2075" s="6" t="s">
        <v>8673</v>
      </c>
    </row>
    <row r="2076" spans="1:8" ht="85" x14ac:dyDescent="0.2">
      <c r="A2076">
        <v>2074</v>
      </c>
      <c r="B2076" t="s">
        <v>1611</v>
      </c>
      <c r="C2076" t="s">
        <v>3051</v>
      </c>
      <c r="D2076" t="s">
        <v>3735</v>
      </c>
      <c r="E2076" t="s">
        <v>6076</v>
      </c>
      <c r="F2076" t="s">
        <v>5648</v>
      </c>
      <c r="G2076" t="s">
        <v>6092</v>
      </c>
      <c r="H2076" s="6" t="s">
        <v>8674</v>
      </c>
    </row>
    <row r="2077" spans="1:8" ht="102" x14ac:dyDescent="0.2">
      <c r="A2077">
        <v>2075</v>
      </c>
      <c r="B2077" t="s">
        <v>1611</v>
      </c>
      <c r="C2077" t="s">
        <v>3051</v>
      </c>
      <c r="D2077" t="s">
        <v>3735</v>
      </c>
      <c r="E2077" t="s">
        <v>6076</v>
      </c>
      <c r="F2077" t="s">
        <v>5648</v>
      </c>
      <c r="G2077" t="s">
        <v>6093</v>
      </c>
      <c r="H2077" s="6" t="s">
        <v>8675</v>
      </c>
    </row>
    <row r="2078" spans="1:8" ht="85" x14ac:dyDescent="0.2">
      <c r="A2078">
        <v>2076</v>
      </c>
      <c r="B2078" t="s">
        <v>1611</v>
      </c>
      <c r="C2078" t="s">
        <v>3051</v>
      </c>
      <c r="D2078" t="s">
        <v>3735</v>
      </c>
      <c r="E2078" t="s">
        <v>6076</v>
      </c>
      <c r="F2078" t="s">
        <v>5648</v>
      </c>
      <c r="G2078" t="s">
        <v>6094</v>
      </c>
      <c r="H2078" s="6" t="s">
        <v>8676</v>
      </c>
    </row>
    <row r="2079" spans="1:8" ht="170" x14ac:dyDescent="0.2">
      <c r="A2079">
        <v>2077</v>
      </c>
      <c r="B2079" t="s">
        <v>1611</v>
      </c>
      <c r="C2079" t="s">
        <v>3051</v>
      </c>
      <c r="D2079" t="s">
        <v>3735</v>
      </c>
      <c r="E2079" t="s">
        <v>6076</v>
      </c>
      <c r="F2079" t="s">
        <v>5648</v>
      </c>
      <c r="G2079" t="s">
        <v>6095</v>
      </c>
      <c r="H2079" s="6" t="s">
        <v>8677</v>
      </c>
    </row>
    <row r="2080" spans="1:8" ht="119" x14ac:dyDescent="0.2">
      <c r="A2080">
        <v>2078</v>
      </c>
      <c r="B2080" t="s">
        <v>1611</v>
      </c>
      <c r="C2080" t="s">
        <v>3051</v>
      </c>
      <c r="D2080" t="s">
        <v>3735</v>
      </c>
      <c r="E2080" t="s">
        <v>6076</v>
      </c>
      <c r="F2080" t="s">
        <v>5648</v>
      </c>
      <c r="G2080" t="s">
        <v>6096</v>
      </c>
      <c r="H2080" s="6" t="s">
        <v>8678</v>
      </c>
    </row>
    <row r="2081" spans="1:8" ht="204" x14ac:dyDescent="0.2">
      <c r="A2081">
        <v>2079</v>
      </c>
      <c r="B2081" t="s">
        <v>1611</v>
      </c>
      <c r="C2081" t="s">
        <v>3051</v>
      </c>
      <c r="D2081" t="s">
        <v>3735</v>
      </c>
      <c r="E2081" t="s">
        <v>6097</v>
      </c>
      <c r="F2081" t="s">
        <v>6098</v>
      </c>
      <c r="G2081" t="s">
        <v>6099</v>
      </c>
      <c r="H2081" s="6" t="s">
        <v>8679</v>
      </c>
    </row>
    <row r="2082" spans="1:8" ht="85" x14ac:dyDescent="0.2">
      <c r="A2082">
        <v>2080</v>
      </c>
      <c r="B2082" t="s">
        <v>1611</v>
      </c>
      <c r="C2082" t="s">
        <v>3051</v>
      </c>
      <c r="D2082" t="s">
        <v>3735</v>
      </c>
      <c r="E2082" t="s">
        <v>6097</v>
      </c>
      <c r="F2082" t="s">
        <v>6098</v>
      </c>
      <c r="G2082" t="s">
        <v>6100</v>
      </c>
      <c r="H2082" s="6" t="s">
        <v>8680</v>
      </c>
    </row>
    <row r="2083" spans="1:8" ht="102" x14ac:dyDescent="0.2">
      <c r="A2083">
        <v>2081</v>
      </c>
      <c r="B2083" t="s">
        <v>1611</v>
      </c>
      <c r="C2083" t="s">
        <v>3051</v>
      </c>
      <c r="D2083" t="s">
        <v>3735</v>
      </c>
      <c r="E2083" t="s">
        <v>6097</v>
      </c>
      <c r="F2083" t="s">
        <v>6098</v>
      </c>
      <c r="G2083" t="s">
        <v>6101</v>
      </c>
      <c r="H2083" s="6" t="s">
        <v>8681</v>
      </c>
    </row>
    <row r="2084" spans="1:8" ht="153" x14ac:dyDescent="0.2">
      <c r="A2084">
        <v>2082</v>
      </c>
      <c r="B2084" t="s">
        <v>1611</v>
      </c>
      <c r="C2084" t="s">
        <v>3051</v>
      </c>
      <c r="D2084" t="s">
        <v>3735</v>
      </c>
      <c r="E2084" t="s">
        <v>6102</v>
      </c>
      <c r="F2084" t="s">
        <v>4397</v>
      </c>
      <c r="G2084" t="s">
        <v>6103</v>
      </c>
      <c r="H2084" s="6" t="s">
        <v>8682</v>
      </c>
    </row>
    <row r="2085" spans="1:8" ht="102" x14ac:dyDescent="0.2">
      <c r="A2085">
        <v>2083</v>
      </c>
      <c r="B2085" t="s">
        <v>1611</v>
      </c>
      <c r="C2085" t="s">
        <v>3051</v>
      </c>
      <c r="D2085" t="s">
        <v>3735</v>
      </c>
      <c r="E2085" t="s">
        <v>6102</v>
      </c>
      <c r="F2085" t="s">
        <v>4397</v>
      </c>
      <c r="G2085" t="s">
        <v>6104</v>
      </c>
      <c r="H2085" s="6" t="s">
        <v>8683</v>
      </c>
    </row>
    <row r="2086" spans="1:8" ht="119" x14ac:dyDescent="0.2">
      <c r="A2086">
        <v>2084</v>
      </c>
      <c r="B2086" t="s">
        <v>1611</v>
      </c>
      <c r="C2086" t="s">
        <v>3051</v>
      </c>
      <c r="D2086" t="s">
        <v>3735</v>
      </c>
      <c r="E2086" t="s">
        <v>6102</v>
      </c>
      <c r="F2086" t="s">
        <v>4397</v>
      </c>
      <c r="G2086" t="s">
        <v>6105</v>
      </c>
      <c r="H2086" s="6" t="s">
        <v>8684</v>
      </c>
    </row>
    <row r="2087" spans="1:8" ht="170" x14ac:dyDescent="0.2">
      <c r="A2087">
        <v>2085</v>
      </c>
      <c r="B2087" t="s">
        <v>1611</v>
      </c>
      <c r="C2087" t="s">
        <v>3051</v>
      </c>
      <c r="D2087" t="s">
        <v>3735</v>
      </c>
      <c r="E2087" t="s">
        <v>6102</v>
      </c>
      <c r="F2087" t="s">
        <v>4397</v>
      </c>
      <c r="G2087" t="s">
        <v>6106</v>
      </c>
      <c r="H2087" s="6" t="s">
        <v>8685</v>
      </c>
    </row>
    <row r="2088" spans="1:8" ht="221" x14ac:dyDescent="0.2">
      <c r="A2088">
        <v>2086</v>
      </c>
      <c r="B2088" t="s">
        <v>1611</v>
      </c>
      <c r="C2088" t="s">
        <v>3051</v>
      </c>
      <c r="D2088" t="s">
        <v>3735</v>
      </c>
      <c r="E2088" t="s">
        <v>6102</v>
      </c>
      <c r="F2088" t="s">
        <v>4397</v>
      </c>
      <c r="G2088" t="s">
        <v>6107</v>
      </c>
      <c r="H2088" s="6" t="s">
        <v>8686</v>
      </c>
    </row>
    <row r="2089" spans="1:8" ht="119" x14ac:dyDescent="0.2">
      <c r="A2089">
        <v>2087</v>
      </c>
      <c r="B2089" t="s">
        <v>1611</v>
      </c>
      <c r="C2089" t="s">
        <v>3051</v>
      </c>
      <c r="D2089" t="s">
        <v>3735</v>
      </c>
      <c r="E2089" t="s">
        <v>6102</v>
      </c>
      <c r="F2089" t="s">
        <v>4397</v>
      </c>
      <c r="G2089" t="s">
        <v>6108</v>
      </c>
      <c r="H2089" s="6" t="s">
        <v>8687</v>
      </c>
    </row>
    <row r="2090" spans="1:8" ht="102" x14ac:dyDescent="0.2">
      <c r="A2090">
        <v>2088</v>
      </c>
      <c r="B2090" t="s">
        <v>1611</v>
      </c>
      <c r="C2090" t="s">
        <v>3051</v>
      </c>
      <c r="D2090" t="s">
        <v>3735</v>
      </c>
      <c r="E2090" t="s">
        <v>6102</v>
      </c>
      <c r="F2090" t="s">
        <v>4397</v>
      </c>
      <c r="G2090" t="s">
        <v>6109</v>
      </c>
      <c r="H2090" s="6" t="s">
        <v>8688</v>
      </c>
    </row>
    <row r="2091" spans="1:8" ht="136" x14ac:dyDescent="0.2">
      <c r="A2091">
        <v>2089</v>
      </c>
      <c r="B2091" t="s">
        <v>1611</v>
      </c>
      <c r="C2091" t="s">
        <v>3051</v>
      </c>
      <c r="D2091" t="s">
        <v>3735</v>
      </c>
      <c r="E2091" t="s">
        <v>6102</v>
      </c>
      <c r="F2091" t="s">
        <v>4397</v>
      </c>
      <c r="G2091" t="s">
        <v>6110</v>
      </c>
      <c r="H2091" s="6" t="s">
        <v>8689</v>
      </c>
    </row>
    <row r="2092" spans="1:8" ht="136" x14ac:dyDescent="0.2">
      <c r="A2092">
        <v>2090</v>
      </c>
      <c r="B2092" t="s">
        <v>1611</v>
      </c>
      <c r="C2092" t="s">
        <v>3051</v>
      </c>
      <c r="D2092" t="s">
        <v>3735</v>
      </c>
      <c r="E2092" t="s">
        <v>6102</v>
      </c>
      <c r="F2092" t="s">
        <v>4397</v>
      </c>
      <c r="G2092" t="s">
        <v>6111</v>
      </c>
      <c r="H2092" s="6" t="s">
        <v>8690</v>
      </c>
    </row>
    <row r="2093" spans="1:8" ht="119" x14ac:dyDescent="0.2">
      <c r="A2093">
        <v>2091</v>
      </c>
      <c r="B2093" t="s">
        <v>1611</v>
      </c>
      <c r="C2093" t="s">
        <v>3051</v>
      </c>
      <c r="D2093" t="s">
        <v>3735</v>
      </c>
      <c r="E2093" t="s">
        <v>6102</v>
      </c>
      <c r="F2093" t="s">
        <v>4397</v>
      </c>
      <c r="G2093" t="s">
        <v>6112</v>
      </c>
      <c r="H2093" s="6" t="s">
        <v>8691</v>
      </c>
    </row>
    <row r="2094" spans="1:8" ht="187" x14ac:dyDescent="0.2">
      <c r="A2094">
        <v>2092</v>
      </c>
      <c r="B2094" t="s">
        <v>1611</v>
      </c>
      <c r="C2094" t="s">
        <v>3051</v>
      </c>
      <c r="D2094" t="s">
        <v>3735</v>
      </c>
      <c r="E2094" t="s">
        <v>6102</v>
      </c>
      <c r="F2094" t="s">
        <v>4397</v>
      </c>
      <c r="G2094" t="s">
        <v>6113</v>
      </c>
      <c r="H2094" s="6" t="s">
        <v>8692</v>
      </c>
    </row>
    <row r="2095" spans="1:8" ht="136" x14ac:dyDescent="0.2">
      <c r="A2095">
        <v>2093</v>
      </c>
      <c r="B2095" t="s">
        <v>1611</v>
      </c>
      <c r="C2095" t="s">
        <v>3051</v>
      </c>
      <c r="D2095" t="s">
        <v>3735</v>
      </c>
      <c r="E2095" t="s">
        <v>6102</v>
      </c>
      <c r="F2095" t="s">
        <v>4397</v>
      </c>
      <c r="G2095" t="s">
        <v>6114</v>
      </c>
      <c r="H2095" s="6" t="s">
        <v>8693</v>
      </c>
    </row>
    <row r="2096" spans="1:8" ht="153" x14ac:dyDescent="0.2">
      <c r="A2096">
        <v>2094</v>
      </c>
      <c r="B2096" t="s">
        <v>1611</v>
      </c>
      <c r="C2096" t="s">
        <v>3051</v>
      </c>
      <c r="D2096" t="s">
        <v>3735</v>
      </c>
      <c r="E2096" t="s">
        <v>6102</v>
      </c>
      <c r="F2096" t="s">
        <v>4397</v>
      </c>
      <c r="G2096" t="s">
        <v>6115</v>
      </c>
      <c r="H2096" s="6" t="s">
        <v>8694</v>
      </c>
    </row>
    <row r="2097" spans="1:8" ht="102" x14ac:dyDescent="0.2">
      <c r="A2097">
        <v>2095</v>
      </c>
      <c r="B2097" t="s">
        <v>1611</v>
      </c>
      <c r="C2097" t="s">
        <v>3051</v>
      </c>
      <c r="D2097" t="s">
        <v>3735</v>
      </c>
      <c r="E2097" t="s">
        <v>6102</v>
      </c>
      <c r="F2097" t="s">
        <v>4397</v>
      </c>
      <c r="G2097" t="s">
        <v>6116</v>
      </c>
      <c r="H2097" s="6" t="s">
        <v>8695</v>
      </c>
    </row>
    <row r="2098" spans="1:8" ht="102" x14ac:dyDescent="0.2">
      <c r="A2098">
        <v>2096</v>
      </c>
      <c r="B2098" t="s">
        <v>1611</v>
      </c>
      <c r="C2098" t="s">
        <v>3051</v>
      </c>
      <c r="D2098" t="s">
        <v>3735</v>
      </c>
      <c r="E2098" t="s">
        <v>6102</v>
      </c>
      <c r="F2098" t="s">
        <v>4397</v>
      </c>
      <c r="G2098" t="s">
        <v>6117</v>
      </c>
      <c r="H2098" s="6" t="s">
        <v>8696</v>
      </c>
    </row>
    <row r="2099" spans="1:8" ht="102" x14ac:dyDescent="0.2">
      <c r="A2099">
        <v>2097</v>
      </c>
      <c r="B2099" t="s">
        <v>1611</v>
      </c>
      <c r="C2099" t="s">
        <v>3051</v>
      </c>
      <c r="D2099" t="s">
        <v>3735</v>
      </c>
      <c r="E2099" t="s">
        <v>6102</v>
      </c>
      <c r="F2099" t="s">
        <v>4397</v>
      </c>
      <c r="G2099" t="s">
        <v>6118</v>
      </c>
      <c r="H2099" s="6" t="s">
        <v>8697</v>
      </c>
    </row>
    <row r="2100" spans="1:8" ht="85" x14ac:dyDescent="0.2">
      <c r="A2100">
        <v>2098</v>
      </c>
      <c r="B2100" t="s">
        <v>1611</v>
      </c>
      <c r="C2100" t="s">
        <v>3051</v>
      </c>
      <c r="D2100" t="s">
        <v>3735</v>
      </c>
      <c r="E2100" t="s">
        <v>6102</v>
      </c>
      <c r="F2100" t="s">
        <v>4397</v>
      </c>
      <c r="G2100" t="s">
        <v>6119</v>
      </c>
      <c r="H2100" s="6" t="s">
        <v>8698</v>
      </c>
    </row>
    <row r="2101" spans="1:8" ht="153" x14ac:dyDescent="0.2">
      <c r="A2101">
        <v>2099</v>
      </c>
      <c r="B2101" t="s">
        <v>1611</v>
      </c>
      <c r="C2101" t="s">
        <v>3051</v>
      </c>
      <c r="D2101" t="s">
        <v>3735</v>
      </c>
      <c r="E2101" t="s">
        <v>6102</v>
      </c>
      <c r="F2101" t="s">
        <v>4397</v>
      </c>
      <c r="G2101" t="s">
        <v>6120</v>
      </c>
      <c r="H2101" s="6" t="s">
        <v>8699</v>
      </c>
    </row>
    <row r="2102" spans="1:8" ht="102" x14ac:dyDescent="0.2">
      <c r="A2102">
        <v>2100</v>
      </c>
      <c r="B2102" t="s">
        <v>1611</v>
      </c>
      <c r="C2102" t="s">
        <v>3051</v>
      </c>
      <c r="D2102" t="s">
        <v>3735</v>
      </c>
      <c r="E2102" t="s">
        <v>6102</v>
      </c>
      <c r="F2102" t="s">
        <v>4397</v>
      </c>
      <c r="G2102" t="s">
        <v>6121</v>
      </c>
      <c r="H2102" s="6" t="s">
        <v>8700</v>
      </c>
    </row>
    <row r="2103" spans="1:8" ht="119" x14ac:dyDescent="0.2">
      <c r="A2103">
        <v>2101</v>
      </c>
      <c r="B2103" t="s">
        <v>1611</v>
      </c>
      <c r="C2103" t="s">
        <v>3051</v>
      </c>
      <c r="D2103" t="s">
        <v>3735</v>
      </c>
      <c r="E2103" t="s">
        <v>6102</v>
      </c>
      <c r="F2103" t="s">
        <v>4397</v>
      </c>
      <c r="G2103" t="s">
        <v>6122</v>
      </c>
      <c r="H2103" s="6" t="s">
        <v>8701</v>
      </c>
    </row>
    <row r="2104" spans="1:8" ht="119" x14ac:dyDescent="0.2">
      <c r="A2104">
        <v>2102</v>
      </c>
      <c r="B2104" t="s">
        <v>1611</v>
      </c>
      <c r="C2104" t="s">
        <v>3051</v>
      </c>
      <c r="D2104" t="s">
        <v>3735</v>
      </c>
      <c r="E2104" t="s">
        <v>6102</v>
      </c>
      <c r="F2104" t="s">
        <v>4397</v>
      </c>
      <c r="G2104" t="s">
        <v>6123</v>
      </c>
      <c r="H2104" s="6" t="s">
        <v>8702</v>
      </c>
    </row>
    <row r="2105" spans="1:8" ht="136" x14ac:dyDescent="0.2">
      <c r="A2105">
        <v>2103</v>
      </c>
      <c r="B2105" t="s">
        <v>1611</v>
      </c>
      <c r="C2105" t="s">
        <v>3051</v>
      </c>
      <c r="D2105" t="s">
        <v>3735</v>
      </c>
      <c r="E2105" t="s">
        <v>6102</v>
      </c>
      <c r="F2105" t="s">
        <v>4397</v>
      </c>
      <c r="G2105" t="s">
        <v>6124</v>
      </c>
      <c r="H2105" s="6" t="s">
        <v>8703</v>
      </c>
    </row>
    <row r="2106" spans="1:8" ht="102" x14ac:dyDescent="0.2">
      <c r="A2106">
        <v>2104</v>
      </c>
      <c r="B2106" t="s">
        <v>1611</v>
      </c>
      <c r="C2106" t="s">
        <v>3051</v>
      </c>
      <c r="D2106" t="s">
        <v>3735</v>
      </c>
      <c r="E2106" t="s">
        <v>6102</v>
      </c>
      <c r="F2106" t="s">
        <v>4397</v>
      </c>
      <c r="G2106" t="s">
        <v>6125</v>
      </c>
      <c r="H2106" s="6" t="s">
        <v>8704</v>
      </c>
    </row>
    <row r="2107" spans="1:8" ht="119" x14ac:dyDescent="0.2">
      <c r="A2107">
        <v>2105</v>
      </c>
      <c r="B2107" t="s">
        <v>1611</v>
      </c>
      <c r="C2107" t="s">
        <v>3051</v>
      </c>
      <c r="D2107" t="s">
        <v>3735</v>
      </c>
      <c r="E2107" t="s">
        <v>6102</v>
      </c>
      <c r="F2107" t="s">
        <v>4397</v>
      </c>
      <c r="G2107" t="s">
        <v>6126</v>
      </c>
      <c r="H2107" s="6" t="s">
        <v>8705</v>
      </c>
    </row>
    <row r="2108" spans="1:8" ht="204" x14ac:dyDescent="0.2">
      <c r="A2108">
        <v>2106</v>
      </c>
      <c r="B2108" t="s">
        <v>1611</v>
      </c>
      <c r="C2108" t="s">
        <v>3051</v>
      </c>
      <c r="D2108" t="s">
        <v>3735</v>
      </c>
      <c r="E2108" t="s">
        <v>6127</v>
      </c>
      <c r="F2108" t="s">
        <v>6128</v>
      </c>
      <c r="G2108" t="s">
        <v>6129</v>
      </c>
      <c r="H2108" s="6" t="s">
        <v>8706</v>
      </c>
    </row>
    <row r="2109" spans="1:8" ht="102" x14ac:dyDescent="0.2">
      <c r="A2109">
        <v>2107</v>
      </c>
      <c r="B2109" t="s">
        <v>1611</v>
      </c>
      <c r="C2109" t="s">
        <v>3051</v>
      </c>
      <c r="D2109" t="s">
        <v>3735</v>
      </c>
      <c r="E2109" t="s">
        <v>6127</v>
      </c>
      <c r="F2109" t="s">
        <v>6128</v>
      </c>
      <c r="G2109" t="s">
        <v>6130</v>
      </c>
      <c r="H2109" s="6" t="s">
        <v>8707</v>
      </c>
    </row>
    <row r="2110" spans="1:8" ht="119" x14ac:dyDescent="0.2">
      <c r="A2110">
        <v>2108</v>
      </c>
      <c r="B2110" t="s">
        <v>1611</v>
      </c>
      <c r="C2110" t="s">
        <v>3051</v>
      </c>
      <c r="D2110" t="s">
        <v>3735</v>
      </c>
      <c r="E2110" t="s">
        <v>6127</v>
      </c>
      <c r="F2110" t="s">
        <v>6128</v>
      </c>
      <c r="G2110" t="s">
        <v>6131</v>
      </c>
      <c r="H2110" s="6" t="s">
        <v>8708</v>
      </c>
    </row>
    <row r="2111" spans="1:8" ht="119" x14ac:dyDescent="0.2">
      <c r="A2111">
        <v>2109</v>
      </c>
      <c r="B2111" t="s">
        <v>1611</v>
      </c>
      <c r="C2111" t="s">
        <v>3051</v>
      </c>
      <c r="D2111" t="s">
        <v>3735</v>
      </c>
      <c r="E2111" t="s">
        <v>6127</v>
      </c>
      <c r="F2111" t="s">
        <v>6128</v>
      </c>
      <c r="G2111" t="s">
        <v>6132</v>
      </c>
      <c r="H2111" s="6" t="s">
        <v>8709</v>
      </c>
    </row>
    <row r="2112" spans="1:8" ht="102" x14ac:dyDescent="0.2">
      <c r="A2112">
        <v>2110</v>
      </c>
      <c r="B2112" t="s">
        <v>1611</v>
      </c>
      <c r="C2112" t="s">
        <v>3051</v>
      </c>
      <c r="D2112" t="s">
        <v>3735</v>
      </c>
      <c r="E2112" t="s">
        <v>6127</v>
      </c>
      <c r="F2112" t="s">
        <v>6128</v>
      </c>
      <c r="G2112" t="s">
        <v>6133</v>
      </c>
      <c r="H2112" s="6" t="s">
        <v>8710</v>
      </c>
    </row>
    <row r="2113" spans="1:8" ht="119" x14ac:dyDescent="0.2">
      <c r="A2113">
        <v>2111</v>
      </c>
      <c r="B2113" t="s">
        <v>1611</v>
      </c>
      <c r="C2113" t="s">
        <v>3051</v>
      </c>
      <c r="D2113" t="s">
        <v>3735</v>
      </c>
      <c r="E2113" t="s">
        <v>6127</v>
      </c>
      <c r="F2113" t="s">
        <v>6128</v>
      </c>
      <c r="G2113" t="s">
        <v>6134</v>
      </c>
      <c r="H2113" s="6" t="s">
        <v>8711</v>
      </c>
    </row>
    <row r="2114" spans="1:8" ht="136" x14ac:dyDescent="0.2">
      <c r="A2114">
        <v>2112</v>
      </c>
      <c r="B2114" t="s">
        <v>1611</v>
      </c>
      <c r="C2114" t="s">
        <v>3051</v>
      </c>
      <c r="D2114" t="s">
        <v>3735</v>
      </c>
      <c r="E2114" t="s">
        <v>6127</v>
      </c>
      <c r="F2114" t="s">
        <v>6128</v>
      </c>
      <c r="G2114" t="s">
        <v>6135</v>
      </c>
      <c r="H2114" s="6" t="s">
        <v>8712</v>
      </c>
    </row>
    <row r="2115" spans="1:8" ht="255" x14ac:dyDescent="0.2">
      <c r="A2115">
        <v>2113</v>
      </c>
      <c r="B2115" t="s">
        <v>1611</v>
      </c>
      <c r="C2115" t="s">
        <v>3051</v>
      </c>
      <c r="D2115" t="s">
        <v>3735</v>
      </c>
      <c r="E2115" t="s">
        <v>6127</v>
      </c>
      <c r="F2115" t="s">
        <v>6128</v>
      </c>
      <c r="G2115" t="s">
        <v>6136</v>
      </c>
      <c r="H2115" s="6" t="s">
        <v>8713</v>
      </c>
    </row>
    <row r="2116" spans="1:8" ht="136" x14ac:dyDescent="0.2">
      <c r="A2116">
        <v>2114</v>
      </c>
      <c r="B2116" t="s">
        <v>1611</v>
      </c>
      <c r="C2116" t="s">
        <v>3051</v>
      </c>
      <c r="D2116" t="s">
        <v>3735</v>
      </c>
      <c r="E2116" t="s">
        <v>6127</v>
      </c>
      <c r="F2116" t="s">
        <v>6128</v>
      </c>
      <c r="G2116" t="s">
        <v>6137</v>
      </c>
      <c r="H2116" s="6" t="s">
        <v>8714</v>
      </c>
    </row>
    <row r="2117" spans="1:8" ht="153" x14ac:dyDescent="0.2">
      <c r="A2117">
        <v>2115</v>
      </c>
      <c r="B2117" t="s">
        <v>1611</v>
      </c>
      <c r="C2117" t="s">
        <v>3051</v>
      </c>
      <c r="D2117" t="s">
        <v>3735</v>
      </c>
      <c r="E2117" t="s">
        <v>6127</v>
      </c>
      <c r="F2117" t="s">
        <v>6128</v>
      </c>
      <c r="G2117" t="s">
        <v>6138</v>
      </c>
      <c r="H2117" s="6" t="s">
        <v>8715</v>
      </c>
    </row>
    <row r="2118" spans="1:8" ht="119" x14ac:dyDescent="0.2">
      <c r="A2118">
        <v>2116</v>
      </c>
      <c r="B2118" t="s">
        <v>1611</v>
      </c>
      <c r="C2118" t="s">
        <v>3051</v>
      </c>
      <c r="D2118" t="s">
        <v>3735</v>
      </c>
      <c r="E2118" t="s">
        <v>6127</v>
      </c>
      <c r="F2118" t="s">
        <v>6128</v>
      </c>
      <c r="G2118" t="s">
        <v>6139</v>
      </c>
      <c r="H2118" s="6" t="s">
        <v>8716</v>
      </c>
    </row>
    <row r="2119" spans="1:8" ht="85" x14ac:dyDescent="0.2">
      <c r="A2119">
        <v>2117</v>
      </c>
      <c r="B2119" t="s">
        <v>1611</v>
      </c>
      <c r="C2119" t="s">
        <v>3051</v>
      </c>
      <c r="D2119" t="s">
        <v>3735</v>
      </c>
      <c r="E2119" t="s">
        <v>6127</v>
      </c>
      <c r="F2119" t="s">
        <v>6128</v>
      </c>
      <c r="G2119" t="s">
        <v>6140</v>
      </c>
      <c r="H2119" s="6" t="s">
        <v>8717</v>
      </c>
    </row>
    <row r="2120" spans="1:8" ht="102" x14ac:dyDescent="0.2">
      <c r="A2120">
        <v>2118</v>
      </c>
      <c r="B2120" t="s">
        <v>1611</v>
      </c>
      <c r="C2120" t="s">
        <v>3051</v>
      </c>
      <c r="D2120" t="s">
        <v>3735</v>
      </c>
      <c r="E2120" t="s">
        <v>6127</v>
      </c>
      <c r="F2120" t="s">
        <v>6128</v>
      </c>
      <c r="G2120" t="s">
        <v>6141</v>
      </c>
      <c r="H2120" s="6" t="s">
        <v>8718</v>
      </c>
    </row>
    <row r="2121" spans="1:8" ht="221" x14ac:dyDescent="0.2">
      <c r="A2121">
        <v>2119</v>
      </c>
      <c r="B2121" t="s">
        <v>1611</v>
      </c>
      <c r="C2121" t="s">
        <v>3051</v>
      </c>
      <c r="D2121" t="s">
        <v>3735</v>
      </c>
      <c r="E2121" t="s">
        <v>6127</v>
      </c>
      <c r="F2121" t="s">
        <v>6128</v>
      </c>
      <c r="G2121" t="s">
        <v>6142</v>
      </c>
      <c r="H2121" s="6" t="s">
        <v>8719</v>
      </c>
    </row>
    <row r="2122" spans="1:8" ht="85" x14ac:dyDescent="0.2">
      <c r="A2122">
        <v>2120</v>
      </c>
      <c r="B2122" t="s">
        <v>1611</v>
      </c>
      <c r="C2122" t="s">
        <v>3051</v>
      </c>
      <c r="D2122" t="s">
        <v>3735</v>
      </c>
      <c r="E2122" t="s">
        <v>6127</v>
      </c>
      <c r="F2122" t="s">
        <v>6128</v>
      </c>
      <c r="G2122" t="s">
        <v>6143</v>
      </c>
      <c r="H2122" s="6" t="s">
        <v>8720</v>
      </c>
    </row>
    <row r="2123" spans="1:8" ht="85" x14ac:dyDescent="0.2">
      <c r="A2123">
        <v>2121</v>
      </c>
      <c r="B2123" t="s">
        <v>1611</v>
      </c>
      <c r="C2123" t="s">
        <v>3051</v>
      </c>
      <c r="D2123" t="s">
        <v>3735</v>
      </c>
      <c r="E2123" t="s">
        <v>6127</v>
      </c>
      <c r="F2123" t="s">
        <v>6128</v>
      </c>
      <c r="G2123" t="s">
        <v>6144</v>
      </c>
      <c r="H2123" s="6" t="s">
        <v>8721</v>
      </c>
    </row>
    <row r="2124" spans="1:8" ht="238" x14ac:dyDescent="0.2">
      <c r="A2124">
        <v>2122</v>
      </c>
      <c r="B2124" t="s">
        <v>1611</v>
      </c>
      <c r="C2124" t="s">
        <v>3051</v>
      </c>
      <c r="D2124" t="s">
        <v>3735</v>
      </c>
      <c r="E2124" t="s">
        <v>6145</v>
      </c>
      <c r="F2124" t="s">
        <v>4407</v>
      </c>
      <c r="G2124" t="s">
        <v>6146</v>
      </c>
      <c r="H2124" s="6" t="s">
        <v>8722</v>
      </c>
    </row>
    <row r="2125" spans="1:8" ht="255" x14ac:dyDescent="0.2">
      <c r="A2125">
        <v>2123</v>
      </c>
      <c r="B2125" t="s">
        <v>1611</v>
      </c>
      <c r="C2125" t="s">
        <v>3051</v>
      </c>
      <c r="D2125" t="s">
        <v>3735</v>
      </c>
      <c r="E2125" t="s">
        <v>6145</v>
      </c>
      <c r="F2125" t="s">
        <v>4407</v>
      </c>
      <c r="G2125" t="s">
        <v>6147</v>
      </c>
      <c r="H2125" s="6" t="s">
        <v>8723</v>
      </c>
    </row>
    <row r="2126" spans="1:8" ht="170" x14ac:dyDescent="0.2">
      <c r="A2126">
        <v>2124</v>
      </c>
      <c r="B2126" t="s">
        <v>1611</v>
      </c>
      <c r="C2126" t="s">
        <v>3051</v>
      </c>
      <c r="D2126" t="s">
        <v>3735</v>
      </c>
      <c r="E2126" t="s">
        <v>6145</v>
      </c>
      <c r="F2126" t="s">
        <v>4407</v>
      </c>
      <c r="G2126" t="s">
        <v>6148</v>
      </c>
      <c r="H2126" s="6" t="s">
        <v>8724</v>
      </c>
    </row>
    <row r="2127" spans="1:8" ht="85" x14ac:dyDescent="0.2">
      <c r="A2127">
        <v>2125</v>
      </c>
      <c r="B2127" t="s">
        <v>1611</v>
      </c>
      <c r="C2127" t="s">
        <v>3051</v>
      </c>
      <c r="D2127" t="s">
        <v>3735</v>
      </c>
      <c r="E2127" t="s">
        <v>6145</v>
      </c>
      <c r="F2127" t="s">
        <v>4407</v>
      </c>
      <c r="G2127" t="s">
        <v>6149</v>
      </c>
      <c r="H2127" s="6" t="s">
        <v>8725</v>
      </c>
    </row>
    <row r="2128" spans="1:8" ht="119" x14ac:dyDescent="0.2">
      <c r="A2128">
        <v>2126</v>
      </c>
      <c r="B2128" t="s">
        <v>1611</v>
      </c>
      <c r="C2128" t="s">
        <v>3051</v>
      </c>
      <c r="D2128" t="s">
        <v>3735</v>
      </c>
      <c r="E2128" t="s">
        <v>6145</v>
      </c>
      <c r="F2128" t="s">
        <v>4407</v>
      </c>
      <c r="G2128" t="s">
        <v>6150</v>
      </c>
      <c r="H2128" s="6" t="s">
        <v>8726</v>
      </c>
    </row>
    <row r="2129" spans="1:8" ht="204" x14ac:dyDescent="0.2">
      <c r="A2129">
        <v>2127</v>
      </c>
      <c r="B2129" t="s">
        <v>1611</v>
      </c>
      <c r="C2129" t="s">
        <v>3051</v>
      </c>
      <c r="D2129" t="s">
        <v>3735</v>
      </c>
      <c r="E2129" t="s">
        <v>6145</v>
      </c>
      <c r="F2129" t="s">
        <v>4407</v>
      </c>
      <c r="G2129" t="s">
        <v>6151</v>
      </c>
      <c r="H2129" s="6" t="s">
        <v>8727</v>
      </c>
    </row>
    <row r="2130" spans="1:8" ht="85" x14ac:dyDescent="0.2">
      <c r="A2130">
        <v>2128</v>
      </c>
      <c r="B2130" t="s">
        <v>1611</v>
      </c>
      <c r="C2130" t="s">
        <v>3051</v>
      </c>
      <c r="D2130" t="s">
        <v>3735</v>
      </c>
      <c r="E2130" t="s">
        <v>6145</v>
      </c>
      <c r="F2130" t="s">
        <v>4407</v>
      </c>
      <c r="G2130" t="s">
        <v>6152</v>
      </c>
      <c r="H2130" s="6" t="s">
        <v>8728</v>
      </c>
    </row>
    <row r="2131" spans="1:8" ht="102" x14ac:dyDescent="0.2">
      <c r="A2131">
        <v>2129</v>
      </c>
      <c r="B2131" t="s">
        <v>1611</v>
      </c>
      <c r="C2131" t="s">
        <v>3051</v>
      </c>
      <c r="D2131" t="s">
        <v>3735</v>
      </c>
      <c r="E2131" t="s">
        <v>6145</v>
      </c>
      <c r="F2131" t="s">
        <v>4407</v>
      </c>
      <c r="G2131" t="s">
        <v>6153</v>
      </c>
      <c r="H2131" s="6" t="s">
        <v>8729</v>
      </c>
    </row>
    <row r="2132" spans="1:8" ht="102" x14ac:dyDescent="0.2">
      <c r="A2132">
        <v>2130</v>
      </c>
      <c r="B2132" t="s">
        <v>1611</v>
      </c>
      <c r="C2132" t="s">
        <v>3051</v>
      </c>
      <c r="D2132" t="s">
        <v>3735</v>
      </c>
      <c r="E2132" t="s">
        <v>6145</v>
      </c>
      <c r="F2132" t="s">
        <v>4407</v>
      </c>
      <c r="G2132" t="s">
        <v>6154</v>
      </c>
      <c r="H2132" s="6" t="s">
        <v>8730</v>
      </c>
    </row>
    <row r="2133" spans="1:8" ht="119" x14ac:dyDescent="0.2">
      <c r="A2133">
        <v>2131</v>
      </c>
      <c r="B2133" t="s">
        <v>1611</v>
      </c>
      <c r="C2133" t="s">
        <v>3051</v>
      </c>
      <c r="D2133" t="s">
        <v>3735</v>
      </c>
      <c r="E2133" t="s">
        <v>6145</v>
      </c>
      <c r="F2133" t="s">
        <v>4407</v>
      </c>
      <c r="G2133" t="s">
        <v>6155</v>
      </c>
      <c r="H2133" s="6" t="s">
        <v>8731</v>
      </c>
    </row>
    <row r="2134" spans="1:8" ht="119" x14ac:dyDescent="0.2">
      <c r="A2134">
        <v>2132</v>
      </c>
      <c r="B2134" t="s">
        <v>1611</v>
      </c>
      <c r="C2134" t="s">
        <v>3051</v>
      </c>
      <c r="D2134" t="s">
        <v>3735</v>
      </c>
      <c r="E2134" t="s">
        <v>6145</v>
      </c>
      <c r="F2134" t="s">
        <v>4407</v>
      </c>
      <c r="G2134" t="s">
        <v>6156</v>
      </c>
      <c r="H2134" s="6" t="s">
        <v>8732</v>
      </c>
    </row>
    <row r="2135" spans="1:8" ht="119" x14ac:dyDescent="0.2">
      <c r="A2135">
        <v>2133</v>
      </c>
      <c r="B2135" t="s">
        <v>1611</v>
      </c>
      <c r="C2135" t="s">
        <v>3051</v>
      </c>
      <c r="D2135" t="s">
        <v>3735</v>
      </c>
      <c r="E2135" t="s">
        <v>6145</v>
      </c>
      <c r="F2135" t="s">
        <v>4407</v>
      </c>
      <c r="G2135" t="s">
        <v>6157</v>
      </c>
      <c r="H2135" s="6" t="s">
        <v>8733</v>
      </c>
    </row>
    <row r="2136" spans="1:8" ht="85" x14ac:dyDescent="0.2">
      <c r="A2136">
        <v>2134</v>
      </c>
      <c r="B2136" t="s">
        <v>1611</v>
      </c>
      <c r="C2136" t="s">
        <v>3051</v>
      </c>
      <c r="D2136" t="s">
        <v>3735</v>
      </c>
      <c r="E2136" t="s">
        <v>6145</v>
      </c>
      <c r="F2136" t="s">
        <v>4407</v>
      </c>
      <c r="G2136" t="s">
        <v>6158</v>
      </c>
      <c r="H2136" s="6" t="s">
        <v>8734</v>
      </c>
    </row>
    <row r="2137" spans="1:8" ht="204" x14ac:dyDescent="0.2">
      <c r="A2137">
        <v>2135</v>
      </c>
      <c r="B2137" t="s">
        <v>1611</v>
      </c>
      <c r="C2137" t="s">
        <v>3051</v>
      </c>
      <c r="D2137" t="s">
        <v>3735</v>
      </c>
      <c r="E2137" t="s">
        <v>6145</v>
      </c>
      <c r="F2137" t="s">
        <v>4407</v>
      </c>
      <c r="G2137" t="s">
        <v>6159</v>
      </c>
      <c r="H2137" s="6" t="s">
        <v>8735</v>
      </c>
    </row>
    <row r="2138" spans="1:8" ht="187" x14ac:dyDescent="0.2">
      <c r="A2138">
        <v>2136</v>
      </c>
      <c r="B2138" t="s">
        <v>1611</v>
      </c>
      <c r="C2138" t="s">
        <v>3051</v>
      </c>
      <c r="D2138" t="s">
        <v>3735</v>
      </c>
      <c r="E2138" t="s">
        <v>6160</v>
      </c>
      <c r="F2138" t="s">
        <v>4498</v>
      </c>
      <c r="G2138" t="s">
        <v>6161</v>
      </c>
      <c r="H2138" s="6" t="s">
        <v>8736</v>
      </c>
    </row>
    <row r="2139" spans="1:8" ht="102" x14ac:dyDescent="0.2">
      <c r="A2139">
        <v>2137</v>
      </c>
      <c r="B2139" t="s">
        <v>1611</v>
      </c>
      <c r="C2139" t="s">
        <v>3051</v>
      </c>
      <c r="D2139" t="s">
        <v>3735</v>
      </c>
      <c r="E2139" t="s">
        <v>6160</v>
      </c>
      <c r="F2139" t="s">
        <v>4498</v>
      </c>
      <c r="G2139" t="s">
        <v>6162</v>
      </c>
      <c r="H2139" s="6" t="s">
        <v>8737</v>
      </c>
    </row>
    <row r="2140" spans="1:8" ht="119" x14ac:dyDescent="0.2">
      <c r="A2140">
        <v>2138</v>
      </c>
      <c r="B2140" t="s">
        <v>1611</v>
      </c>
      <c r="C2140" t="s">
        <v>3051</v>
      </c>
      <c r="D2140" t="s">
        <v>3735</v>
      </c>
      <c r="E2140" t="s">
        <v>6160</v>
      </c>
      <c r="F2140" t="s">
        <v>4498</v>
      </c>
      <c r="G2140" t="s">
        <v>6163</v>
      </c>
      <c r="H2140" s="6" t="s">
        <v>8738</v>
      </c>
    </row>
    <row r="2141" spans="1:8" ht="85" x14ac:dyDescent="0.2">
      <c r="A2141">
        <v>2139</v>
      </c>
      <c r="B2141" t="s">
        <v>1611</v>
      </c>
      <c r="C2141" t="s">
        <v>3051</v>
      </c>
      <c r="D2141" t="s">
        <v>3735</v>
      </c>
      <c r="E2141" t="s">
        <v>6160</v>
      </c>
      <c r="F2141" t="s">
        <v>4498</v>
      </c>
      <c r="G2141" t="s">
        <v>6164</v>
      </c>
      <c r="H2141" s="6" t="s">
        <v>8739</v>
      </c>
    </row>
    <row r="2142" spans="1:8" ht="221" x14ac:dyDescent="0.2">
      <c r="A2142">
        <v>2140</v>
      </c>
      <c r="B2142" t="s">
        <v>1611</v>
      </c>
      <c r="C2142" t="s">
        <v>3051</v>
      </c>
      <c r="D2142" t="s">
        <v>3735</v>
      </c>
      <c r="E2142" t="s">
        <v>6165</v>
      </c>
      <c r="F2142" t="s">
        <v>4505</v>
      </c>
      <c r="G2142" t="s">
        <v>6166</v>
      </c>
      <c r="H2142" s="6" t="s">
        <v>8740</v>
      </c>
    </row>
    <row r="2143" spans="1:8" ht="102" x14ac:dyDescent="0.2">
      <c r="A2143">
        <v>2141</v>
      </c>
      <c r="B2143" t="s">
        <v>1611</v>
      </c>
      <c r="C2143" t="s">
        <v>3051</v>
      </c>
      <c r="D2143" t="s">
        <v>3735</v>
      </c>
      <c r="E2143" t="s">
        <v>6165</v>
      </c>
      <c r="F2143" t="s">
        <v>4505</v>
      </c>
      <c r="G2143" t="s">
        <v>6167</v>
      </c>
      <c r="H2143" s="6" t="s">
        <v>8737</v>
      </c>
    </row>
    <row r="2144" spans="1:8" ht="119" x14ac:dyDescent="0.2">
      <c r="A2144">
        <v>2142</v>
      </c>
      <c r="B2144" t="s">
        <v>1611</v>
      </c>
      <c r="C2144" t="s">
        <v>3051</v>
      </c>
      <c r="D2144" t="s">
        <v>3735</v>
      </c>
      <c r="E2144" t="s">
        <v>6165</v>
      </c>
      <c r="F2144" t="s">
        <v>4505</v>
      </c>
      <c r="G2144" t="s">
        <v>6168</v>
      </c>
      <c r="H2144" s="6" t="s">
        <v>8741</v>
      </c>
    </row>
    <row r="2145" spans="1:8" ht="119" x14ac:dyDescent="0.2">
      <c r="A2145">
        <v>2143</v>
      </c>
      <c r="B2145" t="s">
        <v>1611</v>
      </c>
      <c r="C2145" t="s">
        <v>3051</v>
      </c>
      <c r="D2145" t="s">
        <v>3735</v>
      </c>
      <c r="E2145" t="s">
        <v>6165</v>
      </c>
      <c r="F2145" t="s">
        <v>4505</v>
      </c>
      <c r="G2145" t="s">
        <v>6169</v>
      </c>
      <c r="H2145" s="6" t="s">
        <v>8742</v>
      </c>
    </row>
    <row r="2146" spans="1:8" ht="170" x14ac:dyDescent="0.2">
      <c r="A2146">
        <v>2144</v>
      </c>
      <c r="B2146" t="s">
        <v>1611</v>
      </c>
      <c r="C2146" t="s">
        <v>3051</v>
      </c>
      <c r="D2146" t="s">
        <v>3735</v>
      </c>
      <c r="E2146" t="s">
        <v>6165</v>
      </c>
      <c r="F2146" t="s">
        <v>4505</v>
      </c>
      <c r="G2146" t="s">
        <v>6170</v>
      </c>
      <c r="H2146" s="6" t="s">
        <v>8743</v>
      </c>
    </row>
    <row r="2147" spans="1:8" ht="153" x14ac:dyDescent="0.2">
      <c r="A2147">
        <v>2145</v>
      </c>
      <c r="B2147" t="s">
        <v>1611</v>
      </c>
      <c r="C2147" t="s">
        <v>3051</v>
      </c>
      <c r="D2147" t="s">
        <v>3735</v>
      </c>
      <c r="E2147" t="s">
        <v>6171</v>
      </c>
      <c r="F2147" t="s">
        <v>5439</v>
      </c>
      <c r="G2147" t="s">
        <v>6172</v>
      </c>
      <c r="H2147" s="6" t="s">
        <v>8744</v>
      </c>
    </row>
    <row r="2148" spans="1:8" ht="85" x14ac:dyDescent="0.2">
      <c r="A2148">
        <v>2146</v>
      </c>
      <c r="B2148" t="s">
        <v>1611</v>
      </c>
      <c r="C2148" t="s">
        <v>3051</v>
      </c>
      <c r="D2148" t="s">
        <v>3735</v>
      </c>
      <c r="E2148" t="s">
        <v>6171</v>
      </c>
      <c r="F2148" t="s">
        <v>5439</v>
      </c>
      <c r="G2148" t="s">
        <v>6173</v>
      </c>
      <c r="H2148" s="6" t="s">
        <v>8745</v>
      </c>
    </row>
    <row r="2149" spans="1:8" ht="85" x14ac:dyDescent="0.2">
      <c r="A2149">
        <v>2147</v>
      </c>
      <c r="B2149" t="s">
        <v>1611</v>
      </c>
      <c r="C2149" t="s">
        <v>3051</v>
      </c>
      <c r="D2149" t="s">
        <v>3735</v>
      </c>
      <c r="E2149" t="s">
        <v>6171</v>
      </c>
      <c r="F2149" t="s">
        <v>5439</v>
      </c>
      <c r="G2149" t="s">
        <v>6174</v>
      </c>
      <c r="H2149" s="6" t="s">
        <v>8746</v>
      </c>
    </row>
    <row r="2150" spans="1:8" ht="153" x14ac:dyDescent="0.2">
      <c r="A2150">
        <v>2148</v>
      </c>
      <c r="B2150" t="s">
        <v>1611</v>
      </c>
      <c r="C2150" t="s">
        <v>3051</v>
      </c>
      <c r="D2150" t="s">
        <v>3735</v>
      </c>
      <c r="E2150" t="s">
        <v>6171</v>
      </c>
      <c r="F2150" t="s">
        <v>5439</v>
      </c>
      <c r="G2150" t="s">
        <v>6175</v>
      </c>
      <c r="H2150" s="6" t="s">
        <v>8747</v>
      </c>
    </row>
    <row r="2151" spans="1:8" ht="102" x14ac:dyDescent="0.2">
      <c r="A2151">
        <v>2149</v>
      </c>
      <c r="B2151" t="s">
        <v>1611</v>
      </c>
      <c r="C2151" t="s">
        <v>3051</v>
      </c>
      <c r="D2151" t="s">
        <v>3735</v>
      </c>
      <c r="E2151" t="s">
        <v>6171</v>
      </c>
      <c r="F2151" t="s">
        <v>5439</v>
      </c>
      <c r="G2151" t="s">
        <v>6176</v>
      </c>
      <c r="H2151" s="6" t="s">
        <v>8748</v>
      </c>
    </row>
    <row r="2152" spans="1:8" ht="119" x14ac:dyDescent="0.2">
      <c r="A2152">
        <v>2150</v>
      </c>
      <c r="B2152" t="s">
        <v>1611</v>
      </c>
      <c r="C2152" t="s">
        <v>3051</v>
      </c>
      <c r="D2152" t="s">
        <v>3735</v>
      </c>
      <c r="E2152" t="s">
        <v>6171</v>
      </c>
      <c r="F2152" t="s">
        <v>5439</v>
      </c>
      <c r="G2152" t="s">
        <v>6177</v>
      </c>
      <c r="H2152" s="6" t="s">
        <v>8749</v>
      </c>
    </row>
    <row r="2153" spans="1:8" ht="85" x14ac:dyDescent="0.2">
      <c r="A2153">
        <v>2151</v>
      </c>
      <c r="B2153" t="s">
        <v>1611</v>
      </c>
      <c r="C2153" t="s">
        <v>3051</v>
      </c>
      <c r="D2153" t="s">
        <v>3735</v>
      </c>
      <c r="E2153" t="s">
        <v>6171</v>
      </c>
      <c r="F2153" t="s">
        <v>5439</v>
      </c>
      <c r="G2153" t="s">
        <v>6178</v>
      </c>
      <c r="H2153" s="6" t="s">
        <v>8750</v>
      </c>
    </row>
    <row r="2154" spans="1:8" ht="170" x14ac:dyDescent="0.2">
      <c r="A2154">
        <v>2152</v>
      </c>
      <c r="B2154" t="s">
        <v>1611</v>
      </c>
      <c r="C2154" t="s">
        <v>3051</v>
      </c>
      <c r="D2154" t="s">
        <v>3735</v>
      </c>
      <c r="E2154" t="s">
        <v>6171</v>
      </c>
      <c r="F2154" t="s">
        <v>5439</v>
      </c>
      <c r="G2154" t="s">
        <v>6179</v>
      </c>
      <c r="H2154" s="6" t="s">
        <v>8751</v>
      </c>
    </row>
    <row r="2155" spans="1:8" ht="102" x14ac:dyDescent="0.2">
      <c r="A2155">
        <v>2153</v>
      </c>
      <c r="B2155" t="s">
        <v>1611</v>
      </c>
      <c r="C2155" t="s">
        <v>3051</v>
      </c>
      <c r="D2155" t="s">
        <v>3735</v>
      </c>
      <c r="E2155" t="s">
        <v>6171</v>
      </c>
      <c r="F2155" t="s">
        <v>5439</v>
      </c>
      <c r="G2155" t="s">
        <v>6180</v>
      </c>
      <c r="H2155" s="6" t="s">
        <v>8748</v>
      </c>
    </row>
    <row r="2156" spans="1:8" ht="119" x14ac:dyDescent="0.2">
      <c r="A2156">
        <v>2154</v>
      </c>
      <c r="B2156" t="s">
        <v>1611</v>
      </c>
      <c r="C2156" t="s">
        <v>3051</v>
      </c>
      <c r="D2156" t="s">
        <v>3735</v>
      </c>
      <c r="E2156" t="s">
        <v>6171</v>
      </c>
      <c r="F2156" t="s">
        <v>5439</v>
      </c>
      <c r="G2156" t="s">
        <v>6181</v>
      </c>
      <c r="H2156" s="6" t="s">
        <v>8749</v>
      </c>
    </row>
    <row r="2157" spans="1:8" ht="136" x14ac:dyDescent="0.2">
      <c r="A2157">
        <v>2155</v>
      </c>
      <c r="B2157" t="s">
        <v>1611</v>
      </c>
      <c r="C2157" t="s">
        <v>3051</v>
      </c>
      <c r="D2157" t="s">
        <v>3735</v>
      </c>
      <c r="E2157" t="s">
        <v>6171</v>
      </c>
      <c r="F2157" t="s">
        <v>5439</v>
      </c>
      <c r="G2157" t="s">
        <v>6182</v>
      </c>
      <c r="H2157" s="6" t="s">
        <v>8752</v>
      </c>
    </row>
    <row r="2158" spans="1:8" ht="85" x14ac:dyDescent="0.2">
      <c r="A2158">
        <v>2156</v>
      </c>
      <c r="B2158" t="s">
        <v>1611</v>
      </c>
      <c r="C2158" t="s">
        <v>3051</v>
      </c>
      <c r="D2158" t="s">
        <v>3735</v>
      </c>
      <c r="E2158" t="s">
        <v>6171</v>
      </c>
      <c r="F2158" t="s">
        <v>5439</v>
      </c>
      <c r="G2158" t="s">
        <v>6183</v>
      </c>
      <c r="H2158" s="6" t="s">
        <v>8753</v>
      </c>
    </row>
    <row r="2159" spans="1:8" ht="170" x14ac:dyDescent="0.2">
      <c r="A2159">
        <v>2157</v>
      </c>
      <c r="B2159" t="s">
        <v>1611</v>
      </c>
      <c r="C2159" t="s">
        <v>3051</v>
      </c>
      <c r="D2159" t="s">
        <v>3735</v>
      </c>
      <c r="E2159" t="s">
        <v>6171</v>
      </c>
      <c r="F2159" t="s">
        <v>5439</v>
      </c>
      <c r="G2159" t="s">
        <v>6184</v>
      </c>
      <c r="H2159" s="6" t="s">
        <v>8754</v>
      </c>
    </row>
    <row r="2160" spans="1:8" ht="102" x14ac:dyDescent="0.2">
      <c r="A2160">
        <v>2158</v>
      </c>
      <c r="B2160" t="s">
        <v>1611</v>
      </c>
      <c r="C2160" t="s">
        <v>3051</v>
      </c>
      <c r="D2160" t="s">
        <v>3735</v>
      </c>
      <c r="E2160" t="s">
        <v>6171</v>
      </c>
      <c r="F2160" t="s">
        <v>5439</v>
      </c>
      <c r="G2160" t="s">
        <v>6185</v>
      </c>
      <c r="H2160" s="6" t="s">
        <v>8748</v>
      </c>
    </row>
    <row r="2161" spans="1:8" ht="119" x14ac:dyDescent="0.2">
      <c r="A2161">
        <v>2159</v>
      </c>
      <c r="B2161" t="s">
        <v>1611</v>
      </c>
      <c r="C2161" t="s">
        <v>3051</v>
      </c>
      <c r="D2161" t="s">
        <v>3735</v>
      </c>
      <c r="E2161" t="s">
        <v>6171</v>
      </c>
      <c r="F2161" t="s">
        <v>5439</v>
      </c>
      <c r="G2161" t="s">
        <v>6186</v>
      </c>
      <c r="H2161" s="6" t="s">
        <v>8749</v>
      </c>
    </row>
    <row r="2162" spans="1:8" ht="85" x14ac:dyDescent="0.2">
      <c r="A2162">
        <v>2160</v>
      </c>
      <c r="B2162" t="s">
        <v>1611</v>
      </c>
      <c r="C2162" t="s">
        <v>3051</v>
      </c>
      <c r="D2162" t="s">
        <v>3735</v>
      </c>
      <c r="E2162" t="s">
        <v>6171</v>
      </c>
      <c r="F2162" t="s">
        <v>5439</v>
      </c>
      <c r="G2162" t="s">
        <v>6187</v>
      </c>
      <c r="H2162" s="6" t="s">
        <v>8755</v>
      </c>
    </row>
    <row r="2163" spans="1:8" ht="102" x14ac:dyDescent="0.2">
      <c r="A2163">
        <v>2161</v>
      </c>
      <c r="B2163" t="s">
        <v>1611</v>
      </c>
      <c r="C2163" t="s">
        <v>3051</v>
      </c>
      <c r="D2163" t="s">
        <v>3735</v>
      </c>
      <c r="E2163" t="s">
        <v>6171</v>
      </c>
      <c r="F2163" t="s">
        <v>5439</v>
      </c>
      <c r="G2163" t="s">
        <v>6188</v>
      </c>
      <c r="H2163" s="6" t="s">
        <v>8756</v>
      </c>
    </row>
    <row r="2164" spans="1:8" ht="136" x14ac:dyDescent="0.2">
      <c r="A2164">
        <v>2162</v>
      </c>
      <c r="B2164" t="s">
        <v>1611</v>
      </c>
      <c r="C2164" t="s">
        <v>3051</v>
      </c>
      <c r="D2164" t="s">
        <v>3735</v>
      </c>
      <c r="E2164" t="s">
        <v>6171</v>
      </c>
      <c r="F2164" t="s">
        <v>5439</v>
      </c>
      <c r="G2164" t="s">
        <v>6189</v>
      </c>
      <c r="H2164" s="6" t="s">
        <v>8757</v>
      </c>
    </row>
    <row r="2165" spans="1:8" ht="119" x14ac:dyDescent="0.2">
      <c r="A2165">
        <v>2163</v>
      </c>
      <c r="B2165" t="s">
        <v>1611</v>
      </c>
      <c r="C2165" t="s">
        <v>3051</v>
      </c>
      <c r="D2165" t="s">
        <v>3735</v>
      </c>
      <c r="E2165" t="s">
        <v>6171</v>
      </c>
      <c r="F2165" t="s">
        <v>5439</v>
      </c>
      <c r="G2165" t="s">
        <v>6190</v>
      </c>
      <c r="H2165" s="6" t="s">
        <v>8758</v>
      </c>
    </row>
    <row r="2166" spans="1:8" ht="85" x14ac:dyDescent="0.2">
      <c r="A2166">
        <v>2164</v>
      </c>
      <c r="B2166" t="s">
        <v>1611</v>
      </c>
      <c r="C2166" t="s">
        <v>3051</v>
      </c>
      <c r="D2166" t="s">
        <v>3735</v>
      </c>
      <c r="E2166" t="s">
        <v>6171</v>
      </c>
      <c r="F2166" t="s">
        <v>5439</v>
      </c>
      <c r="G2166" t="s">
        <v>6191</v>
      </c>
      <c r="H2166" s="6" t="s">
        <v>8759</v>
      </c>
    </row>
    <row r="2167" spans="1:8" ht="102" x14ac:dyDescent="0.2">
      <c r="A2167">
        <v>2165</v>
      </c>
      <c r="B2167" t="s">
        <v>1611</v>
      </c>
      <c r="C2167" t="s">
        <v>3051</v>
      </c>
      <c r="D2167" t="s">
        <v>3735</v>
      </c>
      <c r="E2167" t="s">
        <v>6171</v>
      </c>
      <c r="F2167" t="s">
        <v>5439</v>
      </c>
      <c r="G2167" t="s">
        <v>6192</v>
      </c>
      <c r="H2167" s="6" t="s">
        <v>8760</v>
      </c>
    </row>
    <row r="2168" spans="1:8" ht="102" x14ac:dyDescent="0.2">
      <c r="A2168">
        <v>2166</v>
      </c>
      <c r="B2168" t="s">
        <v>1611</v>
      </c>
      <c r="C2168" t="s">
        <v>3051</v>
      </c>
      <c r="D2168" t="s">
        <v>3735</v>
      </c>
      <c r="E2168" t="s">
        <v>6171</v>
      </c>
      <c r="F2168" t="s">
        <v>5439</v>
      </c>
      <c r="G2168" t="s">
        <v>6193</v>
      </c>
      <c r="H2168" s="6" t="s">
        <v>8761</v>
      </c>
    </row>
    <row r="2169" spans="1:8" ht="170" x14ac:dyDescent="0.2">
      <c r="A2169">
        <v>2167</v>
      </c>
      <c r="B2169" t="s">
        <v>1611</v>
      </c>
      <c r="C2169" t="s">
        <v>3051</v>
      </c>
      <c r="D2169" t="s">
        <v>3735</v>
      </c>
      <c r="E2169" t="s">
        <v>6194</v>
      </c>
      <c r="F2169" t="s">
        <v>5858</v>
      </c>
      <c r="G2169" t="s">
        <v>6195</v>
      </c>
      <c r="H2169" s="6" t="s">
        <v>8762</v>
      </c>
    </row>
    <row r="2170" spans="1:8" ht="102" x14ac:dyDescent="0.2">
      <c r="A2170">
        <v>2168</v>
      </c>
      <c r="B2170" t="s">
        <v>1611</v>
      </c>
      <c r="C2170" t="s">
        <v>3051</v>
      </c>
      <c r="D2170" t="s">
        <v>3735</v>
      </c>
      <c r="E2170" t="s">
        <v>6194</v>
      </c>
      <c r="F2170" t="s">
        <v>5858</v>
      </c>
      <c r="G2170" t="s">
        <v>6196</v>
      </c>
      <c r="H2170" s="6" t="s">
        <v>8763</v>
      </c>
    </row>
    <row r="2171" spans="1:8" ht="102" x14ac:dyDescent="0.2">
      <c r="A2171">
        <v>2169</v>
      </c>
      <c r="B2171" t="s">
        <v>1611</v>
      </c>
      <c r="C2171" t="s">
        <v>3051</v>
      </c>
      <c r="D2171" t="s">
        <v>3735</v>
      </c>
      <c r="E2171" t="s">
        <v>6194</v>
      </c>
      <c r="F2171" t="s">
        <v>5858</v>
      </c>
      <c r="G2171" t="s">
        <v>6197</v>
      </c>
      <c r="H2171" s="6" t="s">
        <v>8764</v>
      </c>
    </row>
    <row r="2172" spans="1:8" ht="153" x14ac:dyDescent="0.2">
      <c r="A2172">
        <v>2170</v>
      </c>
      <c r="B2172" t="s">
        <v>1611</v>
      </c>
      <c r="C2172" t="s">
        <v>3051</v>
      </c>
      <c r="D2172" t="s">
        <v>3735</v>
      </c>
      <c r="E2172" t="s">
        <v>6194</v>
      </c>
      <c r="F2172" t="s">
        <v>5858</v>
      </c>
      <c r="G2172" t="s">
        <v>6198</v>
      </c>
      <c r="H2172" s="6" t="s">
        <v>8765</v>
      </c>
    </row>
    <row r="2173" spans="1:8" ht="170" x14ac:dyDescent="0.2">
      <c r="A2173">
        <v>2171</v>
      </c>
      <c r="B2173" t="s">
        <v>1611</v>
      </c>
      <c r="C2173" t="s">
        <v>3051</v>
      </c>
      <c r="D2173" t="s">
        <v>3735</v>
      </c>
      <c r="E2173" t="s">
        <v>6194</v>
      </c>
      <c r="F2173" t="s">
        <v>5858</v>
      </c>
      <c r="G2173" t="s">
        <v>6199</v>
      </c>
      <c r="H2173" s="6" t="s">
        <v>8766</v>
      </c>
    </row>
    <row r="2174" spans="1:8" ht="119" x14ac:dyDescent="0.2">
      <c r="A2174">
        <v>2172</v>
      </c>
      <c r="B2174" t="s">
        <v>1611</v>
      </c>
      <c r="C2174" t="s">
        <v>3051</v>
      </c>
      <c r="D2174" t="s">
        <v>3735</v>
      </c>
      <c r="E2174" t="s">
        <v>6194</v>
      </c>
      <c r="F2174" t="s">
        <v>5858</v>
      </c>
      <c r="G2174" t="s">
        <v>6200</v>
      </c>
      <c r="H2174" s="6" t="s">
        <v>8767</v>
      </c>
    </row>
    <row r="2175" spans="1:8" ht="136" x14ac:dyDescent="0.2">
      <c r="A2175">
        <v>2173</v>
      </c>
      <c r="B2175" t="s">
        <v>1611</v>
      </c>
      <c r="C2175" t="s">
        <v>3051</v>
      </c>
      <c r="D2175" t="s">
        <v>3735</v>
      </c>
      <c r="E2175" t="s">
        <v>6194</v>
      </c>
      <c r="F2175" t="s">
        <v>5858</v>
      </c>
      <c r="G2175" t="s">
        <v>6201</v>
      </c>
      <c r="H2175" s="6" t="s">
        <v>8768</v>
      </c>
    </row>
    <row r="2176" spans="1:8" ht="102" x14ac:dyDescent="0.2">
      <c r="A2176">
        <v>2174</v>
      </c>
      <c r="B2176" t="s">
        <v>1611</v>
      </c>
      <c r="C2176" t="s">
        <v>3051</v>
      </c>
      <c r="D2176" t="s">
        <v>3735</v>
      </c>
      <c r="E2176" t="s">
        <v>6194</v>
      </c>
      <c r="F2176" t="s">
        <v>5858</v>
      </c>
      <c r="G2176" t="s">
        <v>6202</v>
      </c>
      <c r="H2176" s="6" t="s">
        <v>8769</v>
      </c>
    </row>
    <row r="2177" spans="1:8" ht="153" x14ac:dyDescent="0.2">
      <c r="A2177">
        <v>2175</v>
      </c>
      <c r="B2177" t="s">
        <v>1611</v>
      </c>
      <c r="C2177" t="s">
        <v>3051</v>
      </c>
      <c r="D2177" t="s">
        <v>3735</v>
      </c>
      <c r="E2177" t="s">
        <v>6194</v>
      </c>
      <c r="F2177" t="s">
        <v>5858</v>
      </c>
      <c r="G2177" t="s">
        <v>6203</v>
      </c>
      <c r="H2177" s="6" t="s">
        <v>8770</v>
      </c>
    </row>
    <row r="2178" spans="1:8" ht="136" x14ac:dyDescent="0.2">
      <c r="A2178">
        <v>2176</v>
      </c>
      <c r="B2178" t="s">
        <v>1611</v>
      </c>
      <c r="C2178" t="s">
        <v>3051</v>
      </c>
      <c r="D2178" t="s">
        <v>3735</v>
      </c>
      <c r="E2178" t="s">
        <v>6194</v>
      </c>
      <c r="F2178" t="s">
        <v>5858</v>
      </c>
      <c r="G2178" t="s">
        <v>6204</v>
      </c>
      <c r="H2178" s="6" t="s">
        <v>8771</v>
      </c>
    </row>
    <row r="2179" spans="1:8" ht="85" x14ac:dyDescent="0.2">
      <c r="A2179">
        <v>2177</v>
      </c>
      <c r="B2179" t="s">
        <v>1611</v>
      </c>
      <c r="C2179" t="s">
        <v>3051</v>
      </c>
      <c r="D2179" t="s">
        <v>3735</v>
      </c>
      <c r="E2179" t="s">
        <v>6194</v>
      </c>
      <c r="F2179" t="s">
        <v>5858</v>
      </c>
      <c r="G2179" t="s">
        <v>6205</v>
      </c>
      <c r="H2179" s="6" t="s">
        <v>8772</v>
      </c>
    </row>
    <row r="2180" spans="1:8" ht="102" x14ac:dyDescent="0.2">
      <c r="A2180">
        <v>2178</v>
      </c>
      <c r="B2180" t="s">
        <v>1611</v>
      </c>
      <c r="C2180" t="s">
        <v>3051</v>
      </c>
      <c r="D2180" t="s">
        <v>3735</v>
      </c>
      <c r="E2180" t="s">
        <v>6194</v>
      </c>
      <c r="F2180" t="s">
        <v>5858</v>
      </c>
      <c r="G2180" t="s">
        <v>6206</v>
      </c>
      <c r="H2180" s="6" t="s">
        <v>8773</v>
      </c>
    </row>
    <row r="2181" spans="1:8" ht="85" x14ac:dyDescent="0.2">
      <c r="A2181">
        <v>2179</v>
      </c>
      <c r="B2181" t="s">
        <v>1611</v>
      </c>
      <c r="C2181" t="s">
        <v>3051</v>
      </c>
      <c r="D2181" t="s">
        <v>3735</v>
      </c>
      <c r="E2181" t="s">
        <v>6194</v>
      </c>
      <c r="F2181" t="s">
        <v>5858</v>
      </c>
      <c r="G2181" t="s">
        <v>6207</v>
      </c>
      <c r="H2181" s="6" t="s">
        <v>8774</v>
      </c>
    </row>
    <row r="2182" spans="1:8" ht="102" x14ac:dyDescent="0.2">
      <c r="A2182">
        <v>2180</v>
      </c>
      <c r="B2182" t="s">
        <v>1611</v>
      </c>
      <c r="C2182" t="s">
        <v>3051</v>
      </c>
      <c r="D2182" t="s">
        <v>3735</v>
      </c>
      <c r="E2182" t="s">
        <v>6194</v>
      </c>
      <c r="F2182" t="s">
        <v>5858</v>
      </c>
      <c r="G2182" t="s">
        <v>6208</v>
      </c>
      <c r="H2182" s="6" t="s">
        <v>8775</v>
      </c>
    </row>
    <row r="2183" spans="1:8" ht="102" x14ac:dyDescent="0.2">
      <c r="A2183">
        <v>2181</v>
      </c>
      <c r="B2183" t="s">
        <v>1611</v>
      </c>
      <c r="C2183" t="s">
        <v>3051</v>
      </c>
      <c r="D2183" t="s">
        <v>3735</v>
      </c>
      <c r="E2183" t="s">
        <v>6194</v>
      </c>
      <c r="F2183" t="s">
        <v>5858</v>
      </c>
      <c r="G2183" t="s">
        <v>6209</v>
      </c>
      <c r="H2183" s="6" t="s">
        <v>8776</v>
      </c>
    </row>
    <row r="2184" spans="1:8" ht="102" x14ac:dyDescent="0.2">
      <c r="A2184">
        <v>2182</v>
      </c>
      <c r="B2184" t="s">
        <v>1611</v>
      </c>
      <c r="C2184" t="s">
        <v>3051</v>
      </c>
      <c r="D2184" t="s">
        <v>3735</v>
      </c>
      <c r="E2184" t="s">
        <v>6194</v>
      </c>
      <c r="F2184" t="s">
        <v>5858</v>
      </c>
      <c r="G2184" t="s">
        <v>6210</v>
      </c>
      <c r="H2184" s="6" t="s">
        <v>8777</v>
      </c>
    </row>
    <row r="2185" spans="1:8" ht="119" x14ac:dyDescent="0.2">
      <c r="A2185">
        <v>2183</v>
      </c>
      <c r="B2185" t="s">
        <v>1611</v>
      </c>
      <c r="C2185" t="s">
        <v>3051</v>
      </c>
      <c r="D2185" t="s">
        <v>3735</v>
      </c>
      <c r="E2185" t="s">
        <v>6194</v>
      </c>
      <c r="F2185" t="s">
        <v>5858</v>
      </c>
      <c r="G2185" t="s">
        <v>6211</v>
      </c>
      <c r="H2185" s="6" t="s">
        <v>8778</v>
      </c>
    </row>
    <row r="2186" spans="1:8" ht="102" x14ac:dyDescent="0.2">
      <c r="A2186">
        <v>2184</v>
      </c>
      <c r="B2186" t="s">
        <v>1611</v>
      </c>
      <c r="C2186" t="s">
        <v>3051</v>
      </c>
      <c r="D2186" t="s">
        <v>3735</v>
      </c>
      <c r="E2186" t="s">
        <v>6194</v>
      </c>
      <c r="F2186" t="s">
        <v>5858</v>
      </c>
      <c r="G2186" t="s">
        <v>6212</v>
      </c>
      <c r="H2186" s="6" t="s">
        <v>8779</v>
      </c>
    </row>
    <row r="2187" spans="1:8" ht="85" x14ac:dyDescent="0.2">
      <c r="A2187">
        <v>2185</v>
      </c>
      <c r="B2187" t="s">
        <v>1611</v>
      </c>
      <c r="C2187" t="s">
        <v>3051</v>
      </c>
      <c r="D2187" t="s">
        <v>3735</v>
      </c>
      <c r="E2187" t="s">
        <v>6194</v>
      </c>
      <c r="F2187" t="s">
        <v>5858</v>
      </c>
      <c r="G2187" t="s">
        <v>6213</v>
      </c>
      <c r="H2187" s="6" t="s">
        <v>8780</v>
      </c>
    </row>
    <row r="2188" spans="1:8" ht="170" x14ac:dyDescent="0.2">
      <c r="A2188">
        <v>2186</v>
      </c>
      <c r="B2188" t="s">
        <v>1611</v>
      </c>
      <c r="C2188" t="s">
        <v>3051</v>
      </c>
      <c r="D2188" t="s">
        <v>3735</v>
      </c>
      <c r="E2188" t="s">
        <v>6194</v>
      </c>
      <c r="F2188" t="s">
        <v>5858</v>
      </c>
      <c r="G2188" t="s">
        <v>6214</v>
      </c>
      <c r="H2188" s="6" t="s">
        <v>8781</v>
      </c>
    </row>
    <row r="2189" spans="1:8" ht="119" x14ac:dyDescent="0.2">
      <c r="A2189">
        <v>2187</v>
      </c>
      <c r="B2189" t="s">
        <v>1611</v>
      </c>
      <c r="C2189" t="s">
        <v>3051</v>
      </c>
      <c r="D2189" t="s">
        <v>3735</v>
      </c>
      <c r="E2189" t="s">
        <v>6194</v>
      </c>
      <c r="F2189" t="s">
        <v>5858</v>
      </c>
      <c r="G2189" t="s">
        <v>6215</v>
      </c>
      <c r="H2189" s="6" t="s">
        <v>8782</v>
      </c>
    </row>
    <row r="2190" spans="1:8" ht="102" x14ac:dyDescent="0.2">
      <c r="A2190">
        <v>2188</v>
      </c>
      <c r="B2190" t="s">
        <v>1611</v>
      </c>
      <c r="C2190" t="s">
        <v>3051</v>
      </c>
      <c r="D2190" t="s">
        <v>3735</v>
      </c>
      <c r="E2190" t="s">
        <v>6194</v>
      </c>
      <c r="F2190" t="s">
        <v>5858</v>
      </c>
      <c r="G2190" t="s">
        <v>6216</v>
      </c>
      <c r="H2190" s="6" t="s">
        <v>8783</v>
      </c>
    </row>
    <row r="2191" spans="1:8" ht="85" x14ac:dyDescent="0.2">
      <c r="A2191">
        <v>2189</v>
      </c>
      <c r="B2191" t="s">
        <v>1611</v>
      </c>
      <c r="C2191" t="s">
        <v>3051</v>
      </c>
      <c r="D2191" t="s">
        <v>3735</v>
      </c>
      <c r="E2191" t="s">
        <v>6194</v>
      </c>
      <c r="F2191" t="s">
        <v>5858</v>
      </c>
      <c r="G2191" t="s">
        <v>6217</v>
      </c>
      <c r="H2191" s="6" t="s">
        <v>8784</v>
      </c>
    </row>
    <row r="2192" spans="1:8" ht="170" x14ac:dyDescent="0.2">
      <c r="A2192">
        <v>2190</v>
      </c>
      <c r="B2192" t="s">
        <v>1611</v>
      </c>
      <c r="C2192" t="s">
        <v>3051</v>
      </c>
      <c r="D2192" t="s">
        <v>3735</v>
      </c>
      <c r="E2192" t="s">
        <v>6194</v>
      </c>
      <c r="F2192" t="s">
        <v>5858</v>
      </c>
      <c r="G2192" t="s">
        <v>6218</v>
      </c>
      <c r="H2192" s="6" t="s">
        <v>8785</v>
      </c>
    </row>
    <row r="2193" spans="1:8" ht="102" x14ac:dyDescent="0.2">
      <c r="A2193">
        <v>2191</v>
      </c>
      <c r="B2193" t="s">
        <v>1611</v>
      </c>
      <c r="C2193" t="s">
        <v>3051</v>
      </c>
      <c r="D2193" t="s">
        <v>3735</v>
      </c>
      <c r="E2193" t="s">
        <v>6194</v>
      </c>
      <c r="F2193" t="s">
        <v>5858</v>
      </c>
      <c r="G2193" t="s">
        <v>6219</v>
      </c>
      <c r="H2193" s="6" t="s">
        <v>8786</v>
      </c>
    </row>
    <row r="2194" spans="1:8" ht="102" x14ac:dyDescent="0.2">
      <c r="A2194">
        <v>2192</v>
      </c>
      <c r="B2194" t="s">
        <v>1611</v>
      </c>
      <c r="C2194" t="s">
        <v>3051</v>
      </c>
      <c r="D2194" t="s">
        <v>3735</v>
      </c>
      <c r="E2194" t="s">
        <v>6194</v>
      </c>
      <c r="F2194" t="s">
        <v>5858</v>
      </c>
      <c r="G2194" t="s">
        <v>6220</v>
      </c>
      <c r="H2194" s="6" t="s">
        <v>8787</v>
      </c>
    </row>
    <row r="2195" spans="1:8" ht="85" x14ac:dyDescent="0.2">
      <c r="A2195">
        <v>2193</v>
      </c>
      <c r="B2195" t="s">
        <v>1611</v>
      </c>
      <c r="C2195" t="s">
        <v>3051</v>
      </c>
      <c r="D2195" t="s">
        <v>3735</v>
      </c>
      <c r="E2195" t="s">
        <v>6194</v>
      </c>
      <c r="F2195" t="s">
        <v>5858</v>
      </c>
      <c r="G2195" t="s">
        <v>6221</v>
      </c>
      <c r="H2195" s="6" t="s">
        <v>8788</v>
      </c>
    </row>
    <row r="2196" spans="1:8" ht="255" x14ac:dyDescent="0.2">
      <c r="A2196">
        <v>2194</v>
      </c>
      <c r="B2196" t="s">
        <v>1611</v>
      </c>
      <c r="C2196" t="s">
        <v>3051</v>
      </c>
      <c r="D2196" t="s">
        <v>3735</v>
      </c>
      <c r="E2196" t="s">
        <v>6194</v>
      </c>
      <c r="F2196" t="s">
        <v>5858</v>
      </c>
      <c r="G2196" t="s">
        <v>6222</v>
      </c>
      <c r="H2196" s="6" t="s">
        <v>8789</v>
      </c>
    </row>
    <row r="2197" spans="1:8" ht="102" x14ac:dyDescent="0.2">
      <c r="A2197">
        <v>2195</v>
      </c>
      <c r="B2197" t="s">
        <v>1611</v>
      </c>
      <c r="C2197" t="s">
        <v>3051</v>
      </c>
      <c r="D2197" t="s">
        <v>3735</v>
      </c>
      <c r="E2197" t="s">
        <v>6194</v>
      </c>
      <c r="F2197" t="s">
        <v>5858</v>
      </c>
      <c r="G2197" t="s">
        <v>6223</v>
      </c>
      <c r="H2197" s="6" t="s">
        <v>8790</v>
      </c>
    </row>
    <row r="2198" spans="1:8" ht="102" x14ac:dyDescent="0.2">
      <c r="A2198">
        <v>2196</v>
      </c>
      <c r="B2198" t="s">
        <v>1611</v>
      </c>
      <c r="C2198" t="s">
        <v>3051</v>
      </c>
      <c r="D2198" t="s">
        <v>3735</v>
      </c>
      <c r="E2198" t="s">
        <v>6194</v>
      </c>
      <c r="F2198" t="s">
        <v>5858</v>
      </c>
      <c r="G2198" t="s">
        <v>6224</v>
      </c>
      <c r="H2198" s="6" t="s">
        <v>8791</v>
      </c>
    </row>
    <row r="2199" spans="1:8" ht="102" x14ac:dyDescent="0.2">
      <c r="A2199">
        <v>2197</v>
      </c>
      <c r="B2199" t="s">
        <v>1611</v>
      </c>
      <c r="C2199" t="s">
        <v>3051</v>
      </c>
      <c r="D2199" t="s">
        <v>3735</v>
      </c>
      <c r="E2199" t="s">
        <v>6194</v>
      </c>
      <c r="F2199" t="s">
        <v>5858</v>
      </c>
      <c r="G2199" t="s">
        <v>6225</v>
      </c>
      <c r="H2199" s="6" t="s">
        <v>8792</v>
      </c>
    </row>
    <row r="2200" spans="1:8" ht="85" x14ac:dyDescent="0.2">
      <c r="A2200">
        <v>2198</v>
      </c>
      <c r="B2200" t="s">
        <v>1611</v>
      </c>
      <c r="C2200" t="s">
        <v>3051</v>
      </c>
      <c r="D2200" t="s">
        <v>3735</v>
      </c>
      <c r="E2200" t="s">
        <v>6194</v>
      </c>
      <c r="F2200" t="s">
        <v>5858</v>
      </c>
      <c r="G2200" t="s">
        <v>6226</v>
      </c>
      <c r="H2200" s="6" t="s">
        <v>8793</v>
      </c>
    </row>
    <row r="2201" spans="1:8" ht="85" x14ac:dyDescent="0.2">
      <c r="A2201">
        <v>2199</v>
      </c>
      <c r="B2201" t="s">
        <v>1611</v>
      </c>
      <c r="C2201" t="s">
        <v>3051</v>
      </c>
      <c r="D2201" t="s">
        <v>3735</v>
      </c>
      <c r="E2201" t="s">
        <v>6194</v>
      </c>
      <c r="F2201" t="s">
        <v>5858</v>
      </c>
      <c r="G2201" t="s">
        <v>6227</v>
      </c>
      <c r="H2201" s="6" t="s">
        <v>8794</v>
      </c>
    </row>
    <row r="2202" spans="1:8" ht="102" x14ac:dyDescent="0.2">
      <c r="A2202">
        <v>2200</v>
      </c>
      <c r="B2202" t="s">
        <v>1611</v>
      </c>
      <c r="C2202" t="s">
        <v>3051</v>
      </c>
      <c r="D2202" t="s">
        <v>3735</v>
      </c>
      <c r="E2202" t="s">
        <v>6194</v>
      </c>
      <c r="F2202" t="s">
        <v>5858</v>
      </c>
      <c r="G2202" t="s">
        <v>6228</v>
      </c>
      <c r="H2202" s="6" t="s">
        <v>8795</v>
      </c>
    </row>
    <row r="2203" spans="1:8" ht="102" x14ac:dyDescent="0.2">
      <c r="A2203">
        <v>2201</v>
      </c>
      <c r="B2203" t="s">
        <v>1611</v>
      </c>
      <c r="C2203" t="s">
        <v>3051</v>
      </c>
      <c r="D2203" t="s">
        <v>3735</v>
      </c>
      <c r="E2203" t="s">
        <v>6194</v>
      </c>
      <c r="F2203" t="s">
        <v>5858</v>
      </c>
      <c r="G2203" t="s">
        <v>6229</v>
      </c>
      <c r="H2203" s="6" t="s">
        <v>8796</v>
      </c>
    </row>
    <row r="2204" spans="1:8" ht="187" x14ac:dyDescent="0.2">
      <c r="A2204">
        <v>2202</v>
      </c>
      <c r="B2204" t="s">
        <v>1611</v>
      </c>
      <c r="C2204" t="s">
        <v>3051</v>
      </c>
      <c r="D2204" t="s">
        <v>3735</v>
      </c>
      <c r="E2204" t="s">
        <v>6194</v>
      </c>
      <c r="F2204" t="s">
        <v>5858</v>
      </c>
      <c r="G2204" t="s">
        <v>6230</v>
      </c>
      <c r="H2204" s="6" t="s">
        <v>8797</v>
      </c>
    </row>
    <row r="2205" spans="1:8" ht="102" x14ac:dyDescent="0.2">
      <c r="A2205">
        <v>2203</v>
      </c>
      <c r="B2205" t="s">
        <v>1611</v>
      </c>
      <c r="C2205" t="s">
        <v>3051</v>
      </c>
      <c r="D2205" t="s">
        <v>3735</v>
      </c>
      <c r="E2205" t="s">
        <v>6194</v>
      </c>
      <c r="F2205" t="s">
        <v>5858</v>
      </c>
      <c r="G2205" t="s">
        <v>6231</v>
      </c>
      <c r="H2205" s="6" t="s">
        <v>8798</v>
      </c>
    </row>
    <row r="2206" spans="1:8" ht="119" x14ac:dyDescent="0.2">
      <c r="A2206">
        <v>2204</v>
      </c>
      <c r="B2206" t="s">
        <v>1611</v>
      </c>
      <c r="C2206" t="s">
        <v>3051</v>
      </c>
      <c r="D2206" t="s">
        <v>3735</v>
      </c>
      <c r="E2206" t="s">
        <v>6194</v>
      </c>
      <c r="F2206" t="s">
        <v>5858</v>
      </c>
      <c r="G2206" t="s">
        <v>6232</v>
      </c>
      <c r="H2206" s="6" t="s">
        <v>8799</v>
      </c>
    </row>
    <row r="2207" spans="1:8" ht="119" x14ac:dyDescent="0.2">
      <c r="A2207">
        <v>2205</v>
      </c>
      <c r="B2207" t="s">
        <v>1611</v>
      </c>
      <c r="C2207" t="s">
        <v>3051</v>
      </c>
      <c r="D2207" t="s">
        <v>3735</v>
      </c>
      <c r="E2207" t="s">
        <v>6194</v>
      </c>
      <c r="F2207" t="s">
        <v>5858</v>
      </c>
      <c r="G2207" t="s">
        <v>6233</v>
      </c>
      <c r="H2207" s="6" t="s">
        <v>8800</v>
      </c>
    </row>
    <row r="2208" spans="1:8" ht="136" x14ac:dyDescent="0.2">
      <c r="A2208">
        <v>2206</v>
      </c>
      <c r="B2208" t="s">
        <v>1611</v>
      </c>
      <c r="C2208" t="s">
        <v>3051</v>
      </c>
      <c r="D2208" t="s">
        <v>3735</v>
      </c>
      <c r="E2208" t="s">
        <v>6194</v>
      </c>
      <c r="F2208" t="s">
        <v>5858</v>
      </c>
      <c r="G2208" t="s">
        <v>6234</v>
      </c>
      <c r="H2208" s="6" t="s">
        <v>8801</v>
      </c>
    </row>
    <row r="2209" spans="1:8" ht="102" x14ac:dyDescent="0.2">
      <c r="A2209">
        <v>2207</v>
      </c>
      <c r="B2209" t="s">
        <v>1611</v>
      </c>
      <c r="C2209" t="s">
        <v>3051</v>
      </c>
      <c r="D2209" t="s">
        <v>3735</v>
      </c>
      <c r="E2209" t="s">
        <v>6194</v>
      </c>
      <c r="F2209" t="s">
        <v>5858</v>
      </c>
      <c r="G2209" t="s">
        <v>6235</v>
      </c>
      <c r="H2209" s="6" t="s">
        <v>8802</v>
      </c>
    </row>
    <row r="2210" spans="1:8" ht="85" x14ac:dyDescent="0.2">
      <c r="A2210">
        <v>2208</v>
      </c>
      <c r="B2210" t="s">
        <v>1611</v>
      </c>
      <c r="C2210" t="s">
        <v>3051</v>
      </c>
      <c r="D2210" t="s">
        <v>3735</v>
      </c>
      <c r="E2210" t="s">
        <v>6194</v>
      </c>
      <c r="F2210" t="s">
        <v>5858</v>
      </c>
      <c r="G2210" t="s">
        <v>6236</v>
      </c>
      <c r="H2210" s="6" t="s">
        <v>8803</v>
      </c>
    </row>
    <row r="2211" spans="1:8" ht="187" x14ac:dyDescent="0.2">
      <c r="A2211">
        <v>2209</v>
      </c>
      <c r="B2211" t="s">
        <v>1611</v>
      </c>
      <c r="C2211" t="s">
        <v>3051</v>
      </c>
      <c r="D2211" t="s">
        <v>3735</v>
      </c>
      <c r="E2211" t="s">
        <v>6194</v>
      </c>
      <c r="F2211" t="s">
        <v>5858</v>
      </c>
      <c r="G2211" t="s">
        <v>6237</v>
      </c>
      <c r="H2211" s="6" t="s">
        <v>8804</v>
      </c>
    </row>
    <row r="2212" spans="1:8" ht="102" x14ac:dyDescent="0.2">
      <c r="A2212">
        <v>2210</v>
      </c>
      <c r="B2212" t="s">
        <v>1611</v>
      </c>
      <c r="C2212" t="s">
        <v>3051</v>
      </c>
      <c r="D2212" t="s">
        <v>3735</v>
      </c>
      <c r="E2212" t="s">
        <v>6194</v>
      </c>
      <c r="F2212" t="s">
        <v>5858</v>
      </c>
      <c r="G2212" t="s">
        <v>6238</v>
      </c>
      <c r="H2212" s="6" t="s">
        <v>8805</v>
      </c>
    </row>
    <row r="2213" spans="1:8" ht="102" x14ac:dyDescent="0.2">
      <c r="A2213">
        <v>2211</v>
      </c>
      <c r="B2213" t="s">
        <v>1611</v>
      </c>
      <c r="C2213" t="s">
        <v>3051</v>
      </c>
      <c r="D2213" t="s">
        <v>3735</v>
      </c>
      <c r="E2213" t="s">
        <v>6194</v>
      </c>
      <c r="F2213" t="s">
        <v>5858</v>
      </c>
      <c r="G2213" t="s">
        <v>6239</v>
      </c>
      <c r="H2213" s="6" t="s">
        <v>8791</v>
      </c>
    </row>
    <row r="2214" spans="1:8" ht="119" x14ac:dyDescent="0.2">
      <c r="A2214">
        <v>2212</v>
      </c>
      <c r="B2214" t="s">
        <v>1611</v>
      </c>
      <c r="C2214" t="s">
        <v>3051</v>
      </c>
      <c r="D2214" t="s">
        <v>3735</v>
      </c>
      <c r="E2214" t="s">
        <v>6194</v>
      </c>
      <c r="F2214" t="s">
        <v>5858</v>
      </c>
      <c r="G2214" t="s">
        <v>6240</v>
      </c>
      <c r="H2214" s="6" t="s">
        <v>8806</v>
      </c>
    </row>
    <row r="2215" spans="1:8" ht="255" x14ac:dyDescent="0.2">
      <c r="A2215">
        <v>2213</v>
      </c>
      <c r="B2215" t="s">
        <v>1611</v>
      </c>
      <c r="C2215" t="s">
        <v>3051</v>
      </c>
      <c r="D2215" t="s">
        <v>3735</v>
      </c>
      <c r="E2215" t="s">
        <v>6241</v>
      </c>
      <c r="F2215" t="s">
        <v>5891</v>
      </c>
      <c r="G2215" t="s">
        <v>6242</v>
      </c>
      <c r="H2215" s="6" t="s">
        <v>8807</v>
      </c>
    </row>
    <row r="2216" spans="1:8" ht="136" x14ac:dyDescent="0.2">
      <c r="A2216">
        <v>2214</v>
      </c>
      <c r="B2216" t="s">
        <v>1611</v>
      </c>
      <c r="C2216" t="s">
        <v>3051</v>
      </c>
      <c r="D2216" t="s">
        <v>3735</v>
      </c>
      <c r="E2216" t="s">
        <v>6241</v>
      </c>
      <c r="F2216" t="s">
        <v>5891</v>
      </c>
      <c r="G2216" t="s">
        <v>6243</v>
      </c>
      <c r="H2216" s="6" t="s">
        <v>8808</v>
      </c>
    </row>
    <row r="2217" spans="1:8" ht="85" x14ac:dyDescent="0.2">
      <c r="A2217">
        <v>2215</v>
      </c>
      <c r="B2217" t="s">
        <v>1611</v>
      </c>
      <c r="C2217" t="s">
        <v>3051</v>
      </c>
      <c r="D2217" t="s">
        <v>3735</v>
      </c>
      <c r="E2217" t="s">
        <v>6241</v>
      </c>
      <c r="F2217" t="s">
        <v>5891</v>
      </c>
      <c r="G2217" t="s">
        <v>6244</v>
      </c>
      <c r="H2217" s="6" t="s">
        <v>8809</v>
      </c>
    </row>
    <row r="2218" spans="1:8" ht="85" x14ac:dyDescent="0.2">
      <c r="A2218">
        <v>2216</v>
      </c>
      <c r="B2218" t="s">
        <v>1611</v>
      </c>
      <c r="C2218" t="s">
        <v>3051</v>
      </c>
      <c r="D2218" t="s">
        <v>3735</v>
      </c>
      <c r="E2218" t="s">
        <v>6241</v>
      </c>
      <c r="F2218" t="s">
        <v>5891</v>
      </c>
      <c r="G2218" t="s">
        <v>6245</v>
      </c>
      <c r="H2218" s="6" t="s">
        <v>8810</v>
      </c>
    </row>
    <row r="2219" spans="1:8" ht="85" x14ac:dyDescent="0.2">
      <c r="A2219">
        <v>2217</v>
      </c>
      <c r="B2219" t="s">
        <v>1611</v>
      </c>
      <c r="C2219" t="s">
        <v>3051</v>
      </c>
      <c r="D2219" t="s">
        <v>3735</v>
      </c>
      <c r="E2219" t="s">
        <v>6241</v>
      </c>
      <c r="F2219" t="s">
        <v>5891</v>
      </c>
      <c r="G2219" t="s">
        <v>6246</v>
      </c>
      <c r="H2219" s="6" t="s">
        <v>8811</v>
      </c>
    </row>
    <row r="2220" spans="1:8" ht="68" x14ac:dyDescent="0.2">
      <c r="A2220">
        <v>2218</v>
      </c>
      <c r="B2220" t="s">
        <v>1611</v>
      </c>
      <c r="C2220" t="s">
        <v>3051</v>
      </c>
      <c r="D2220" t="s">
        <v>3735</v>
      </c>
      <c r="E2220" t="s">
        <v>6241</v>
      </c>
      <c r="F2220" t="s">
        <v>5891</v>
      </c>
      <c r="G2220" t="s">
        <v>6247</v>
      </c>
      <c r="H2220" s="6" t="s">
        <v>8812</v>
      </c>
    </row>
    <row r="2221" spans="1:8" ht="170" x14ac:dyDescent="0.2">
      <c r="A2221">
        <v>2219</v>
      </c>
      <c r="B2221" t="s">
        <v>1611</v>
      </c>
      <c r="C2221" t="s">
        <v>3051</v>
      </c>
      <c r="D2221" t="s">
        <v>3735</v>
      </c>
      <c r="E2221" t="s">
        <v>6248</v>
      </c>
      <c r="F2221" t="s">
        <v>4566</v>
      </c>
      <c r="G2221" t="s">
        <v>6249</v>
      </c>
      <c r="H2221" s="6" t="s">
        <v>8813</v>
      </c>
    </row>
    <row r="2222" spans="1:8" ht="102" x14ac:dyDescent="0.2">
      <c r="A2222">
        <v>2220</v>
      </c>
      <c r="B2222" t="s">
        <v>1611</v>
      </c>
      <c r="C2222" t="s">
        <v>3051</v>
      </c>
      <c r="D2222" t="s">
        <v>3735</v>
      </c>
      <c r="E2222" t="s">
        <v>6248</v>
      </c>
      <c r="F2222" t="s">
        <v>4566</v>
      </c>
      <c r="G2222" t="s">
        <v>6250</v>
      </c>
      <c r="H2222" s="6" t="s">
        <v>8814</v>
      </c>
    </row>
    <row r="2223" spans="1:8" ht="119" x14ac:dyDescent="0.2">
      <c r="A2223">
        <v>2221</v>
      </c>
      <c r="B2223" t="s">
        <v>1611</v>
      </c>
      <c r="C2223" t="s">
        <v>3051</v>
      </c>
      <c r="D2223" t="s">
        <v>3735</v>
      </c>
      <c r="E2223" t="s">
        <v>6248</v>
      </c>
      <c r="F2223" t="s">
        <v>4566</v>
      </c>
      <c r="G2223" t="s">
        <v>6251</v>
      </c>
      <c r="H2223" s="6" t="s">
        <v>8815</v>
      </c>
    </row>
    <row r="2224" spans="1:8" ht="187" x14ac:dyDescent="0.2">
      <c r="A2224">
        <v>2222</v>
      </c>
      <c r="B2224" t="s">
        <v>1611</v>
      </c>
      <c r="C2224" t="s">
        <v>3051</v>
      </c>
      <c r="D2224" t="s">
        <v>3735</v>
      </c>
      <c r="E2224" t="s">
        <v>6248</v>
      </c>
      <c r="F2224" t="s">
        <v>4566</v>
      </c>
      <c r="G2224" t="s">
        <v>6252</v>
      </c>
      <c r="H2224" s="6" t="s">
        <v>8816</v>
      </c>
    </row>
    <row r="2225" spans="1:8" ht="170" x14ac:dyDescent="0.2">
      <c r="A2225">
        <v>2223</v>
      </c>
      <c r="B2225" t="s">
        <v>1611</v>
      </c>
      <c r="C2225" t="s">
        <v>3051</v>
      </c>
      <c r="D2225" t="s">
        <v>3735</v>
      </c>
      <c r="E2225" t="s">
        <v>6248</v>
      </c>
      <c r="F2225" t="s">
        <v>4566</v>
      </c>
      <c r="G2225" t="s">
        <v>6253</v>
      </c>
      <c r="H2225" s="6" t="s">
        <v>8817</v>
      </c>
    </row>
    <row r="2226" spans="1:8" ht="119" x14ac:dyDescent="0.2">
      <c r="A2226">
        <v>2224</v>
      </c>
      <c r="B2226" t="s">
        <v>1611</v>
      </c>
      <c r="C2226" t="s">
        <v>3051</v>
      </c>
      <c r="D2226" t="s">
        <v>3735</v>
      </c>
      <c r="E2226" t="s">
        <v>6248</v>
      </c>
      <c r="F2226" t="s">
        <v>4566</v>
      </c>
      <c r="G2226" t="s">
        <v>6254</v>
      </c>
      <c r="H2226" s="6" t="s">
        <v>8818</v>
      </c>
    </row>
    <row r="2227" spans="1:8" ht="119" x14ac:dyDescent="0.2">
      <c r="A2227">
        <v>2225</v>
      </c>
      <c r="B2227" t="s">
        <v>1611</v>
      </c>
      <c r="C2227" t="s">
        <v>3051</v>
      </c>
      <c r="D2227" t="s">
        <v>3735</v>
      </c>
      <c r="E2227" t="s">
        <v>6248</v>
      </c>
      <c r="F2227" t="s">
        <v>4566</v>
      </c>
      <c r="G2227" t="s">
        <v>6255</v>
      </c>
      <c r="H2227" s="6" t="s">
        <v>8819</v>
      </c>
    </row>
    <row r="2228" spans="1:8" ht="119" x14ac:dyDescent="0.2">
      <c r="A2228">
        <v>2226</v>
      </c>
      <c r="B2228" t="s">
        <v>1611</v>
      </c>
      <c r="C2228" t="s">
        <v>3051</v>
      </c>
      <c r="D2228" t="s">
        <v>3735</v>
      </c>
      <c r="E2228" t="s">
        <v>6248</v>
      </c>
      <c r="F2228" t="s">
        <v>4566</v>
      </c>
      <c r="G2228" t="s">
        <v>6256</v>
      </c>
      <c r="H2228" s="6" t="s">
        <v>8820</v>
      </c>
    </row>
    <row r="2229" spans="1:8" ht="102" x14ac:dyDescent="0.2">
      <c r="A2229">
        <v>2227</v>
      </c>
      <c r="B2229" t="s">
        <v>1611</v>
      </c>
      <c r="C2229" t="s">
        <v>3051</v>
      </c>
      <c r="D2229" t="s">
        <v>3735</v>
      </c>
      <c r="E2229" t="s">
        <v>6248</v>
      </c>
      <c r="F2229" t="s">
        <v>4566</v>
      </c>
      <c r="G2229" t="s">
        <v>6257</v>
      </c>
      <c r="H2229" s="6" t="s">
        <v>8821</v>
      </c>
    </row>
    <row r="2230" spans="1:8" ht="102" x14ac:dyDescent="0.2">
      <c r="A2230">
        <v>2228</v>
      </c>
      <c r="B2230" t="s">
        <v>1611</v>
      </c>
      <c r="C2230" t="s">
        <v>3051</v>
      </c>
      <c r="D2230" t="s">
        <v>3735</v>
      </c>
      <c r="E2230" t="s">
        <v>6248</v>
      </c>
      <c r="F2230" t="s">
        <v>4566</v>
      </c>
      <c r="G2230" t="s">
        <v>6258</v>
      </c>
      <c r="H2230" s="6" t="s">
        <v>8822</v>
      </c>
    </row>
    <row r="2231" spans="1:8" ht="85" x14ac:dyDescent="0.2">
      <c r="A2231">
        <v>2229</v>
      </c>
      <c r="B2231" t="s">
        <v>1611</v>
      </c>
      <c r="C2231" t="s">
        <v>3051</v>
      </c>
      <c r="D2231" t="s">
        <v>3735</v>
      </c>
      <c r="E2231" t="s">
        <v>6248</v>
      </c>
      <c r="F2231" t="s">
        <v>4566</v>
      </c>
      <c r="G2231" t="s">
        <v>6259</v>
      </c>
      <c r="H2231" s="6" t="s">
        <v>8823</v>
      </c>
    </row>
    <row r="2232" spans="1:8" ht="85" x14ac:dyDescent="0.2">
      <c r="A2232">
        <v>2230</v>
      </c>
      <c r="B2232" t="s">
        <v>1611</v>
      </c>
      <c r="C2232" t="s">
        <v>3051</v>
      </c>
      <c r="D2232" t="s">
        <v>3735</v>
      </c>
      <c r="E2232" t="s">
        <v>6248</v>
      </c>
      <c r="F2232" t="s">
        <v>4566</v>
      </c>
      <c r="G2232" t="s">
        <v>6260</v>
      </c>
      <c r="H2232" s="6" t="s">
        <v>8824</v>
      </c>
    </row>
    <row r="2233" spans="1:8" ht="119" x14ac:dyDescent="0.2">
      <c r="A2233">
        <v>2231</v>
      </c>
      <c r="B2233" t="s">
        <v>1611</v>
      </c>
      <c r="C2233" t="s">
        <v>3051</v>
      </c>
      <c r="D2233" t="s">
        <v>3735</v>
      </c>
      <c r="E2233" t="s">
        <v>6248</v>
      </c>
      <c r="F2233" t="s">
        <v>4566</v>
      </c>
      <c r="G2233" t="s">
        <v>6261</v>
      </c>
      <c r="H2233" s="6" t="s">
        <v>8825</v>
      </c>
    </row>
    <row r="2234" spans="1:8" ht="85" x14ac:dyDescent="0.2">
      <c r="A2234">
        <v>2232</v>
      </c>
      <c r="B2234" t="s">
        <v>1611</v>
      </c>
      <c r="C2234" t="s">
        <v>3051</v>
      </c>
      <c r="D2234" t="s">
        <v>3735</v>
      </c>
      <c r="E2234" t="s">
        <v>6248</v>
      </c>
      <c r="F2234" t="s">
        <v>4566</v>
      </c>
      <c r="G2234" t="s">
        <v>6262</v>
      </c>
      <c r="H2234" s="6" t="s">
        <v>8826</v>
      </c>
    </row>
    <row r="2235" spans="1:8" ht="238" x14ac:dyDescent="0.2">
      <c r="A2235">
        <v>2233</v>
      </c>
      <c r="B2235" t="s">
        <v>1611</v>
      </c>
      <c r="C2235" t="s">
        <v>3051</v>
      </c>
      <c r="D2235" t="s">
        <v>3735</v>
      </c>
      <c r="E2235" t="s">
        <v>6248</v>
      </c>
      <c r="F2235" t="s">
        <v>4566</v>
      </c>
      <c r="G2235" t="s">
        <v>6263</v>
      </c>
      <c r="H2235" s="6" t="s">
        <v>8827</v>
      </c>
    </row>
    <row r="2236" spans="1:8" ht="136" x14ac:dyDescent="0.2">
      <c r="A2236">
        <v>2234</v>
      </c>
      <c r="B2236" t="s">
        <v>1611</v>
      </c>
      <c r="C2236" t="s">
        <v>3051</v>
      </c>
      <c r="D2236" t="s">
        <v>3735</v>
      </c>
      <c r="E2236" t="s">
        <v>6248</v>
      </c>
      <c r="F2236" t="s">
        <v>4566</v>
      </c>
      <c r="G2236" t="s">
        <v>6264</v>
      </c>
      <c r="H2236" s="6" t="s">
        <v>8828</v>
      </c>
    </row>
    <row r="2237" spans="1:8" ht="85" x14ac:dyDescent="0.2">
      <c r="A2237">
        <v>2235</v>
      </c>
      <c r="B2237" t="s">
        <v>1611</v>
      </c>
      <c r="C2237" t="s">
        <v>3051</v>
      </c>
      <c r="D2237" t="s">
        <v>3735</v>
      </c>
      <c r="E2237" t="s">
        <v>6248</v>
      </c>
      <c r="F2237" t="s">
        <v>4566</v>
      </c>
      <c r="G2237" t="s">
        <v>6265</v>
      </c>
      <c r="H2237" s="6" t="s">
        <v>8829</v>
      </c>
    </row>
    <row r="2238" spans="1:8" ht="102" x14ac:dyDescent="0.2">
      <c r="A2238">
        <v>2236</v>
      </c>
      <c r="B2238" t="s">
        <v>1611</v>
      </c>
      <c r="C2238" t="s">
        <v>3051</v>
      </c>
      <c r="D2238" t="s">
        <v>3735</v>
      </c>
      <c r="E2238" t="s">
        <v>6266</v>
      </c>
      <c r="F2238" t="s">
        <v>5585</v>
      </c>
      <c r="G2238" t="s">
        <v>6267</v>
      </c>
      <c r="H2238" s="6" t="s">
        <v>8830</v>
      </c>
    </row>
    <row r="2239" spans="1:8" ht="187" x14ac:dyDescent="0.2">
      <c r="A2239">
        <v>2237</v>
      </c>
      <c r="B2239" t="s">
        <v>1611</v>
      </c>
      <c r="C2239" t="s">
        <v>3051</v>
      </c>
      <c r="D2239" t="s">
        <v>3735</v>
      </c>
      <c r="E2239" t="s">
        <v>6266</v>
      </c>
      <c r="F2239" t="s">
        <v>5585</v>
      </c>
      <c r="G2239" t="s">
        <v>6268</v>
      </c>
      <c r="H2239" s="6" t="s">
        <v>8831</v>
      </c>
    </row>
    <row r="2240" spans="1:8" ht="102" x14ac:dyDescent="0.2">
      <c r="A2240">
        <v>2238</v>
      </c>
      <c r="B2240" t="s">
        <v>1611</v>
      </c>
      <c r="C2240" t="s">
        <v>3051</v>
      </c>
      <c r="D2240" t="s">
        <v>3735</v>
      </c>
      <c r="E2240" t="s">
        <v>6266</v>
      </c>
      <c r="F2240" t="s">
        <v>5585</v>
      </c>
      <c r="G2240" t="s">
        <v>6269</v>
      </c>
      <c r="H2240" s="6" t="s">
        <v>8832</v>
      </c>
    </row>
    <row r="2241" spans="1:8" ht="119" x14ac:dyDescent="0.2">
      <c r="A2241">
        <v>2239</v>
      </c>
      <c r="B2241" t="s">
        <v>1611</v>
      </c>
      <c r="C2241" t="s">
        <v>3051</v>
      </c>
      <c r="D2241" t="s">
        <v>3735</v>
      </c>
      <c r="E2241" t="s">
        <v>6266</v>
      </c>
      <c r="F2241" t="s">
        <v>5585</v>
      </c>
      <c r="G2241" t="s">
        <v>6270</v>
      </c>
      <c r="H2241" s="6" t="s">
        <v>8833</v>
      </c>
    </row>
    <row r="2242" spans="1:8" ht="119" x14ac:dyDescent="0.2">
      <c r="A2242">
        <v>2240</v>
      </c>
      <c r="B2242" t="s">
        <v>1611</v>
      </c>
      <c r="C2242" t="s">
        <v>3051</v>
      </c>
      <c r="D2242" t="s">
        <v>3735</v>
      </c>
      <c r="E2242" t="s">
        <v>6266</v>
      </c>
      <c r="F2242" t="s">
        <v>5585</v>
      </c>
      <c r="G2242" t="s">
        <v>6271</v>
      </c>
      <c r="H2242" s="6" t="s">
        <v>8834</v>
      </c>
    </row>
    <row r="2243" spans="1:8" ht="119" x14ac:dyDescent="0.2">
      <c r="A2243">
        <v>2241</v>
      </c>
      <c r="B2243" t="s">
        <v>1611</v>
      </c>
      <c r="C2243" t="s">
        <v>3051</v>
      </c>
      <c r="D2243" t="s">
        <v>3735</v>
      </c>
      <c r="E2243" t="s">
        <v>6266</v>
      </c>
      <c r="F2243" t="s">
        <v>5585</v>
      </c>
      <c r="G2243" t="s">
        <v>6272</v>
      </c>
      <c r="H2243" s="6" t="s">
        <v>8835</v>
      </c>
    </row>
    <row r="2244" spans="1:8" ht="102" x14ac:dyDescent="0.2">
      <c r="A2244">
        <v>2242</v>
      </c>
      <c r="B2244" t="s">
        <v>1611</v>
      </c>
      <c r="C2244" t="s">
        <v>3051</v>
      </c>
      <c r="D2244" t="s">
        <v>3735</v>
      </c>
      <c r="E2244" t="s">
        <v>6266</v>
      </c>
      <c r="F2244" t="s">
        <v>5585</v>
      </c>
      <c r="G2244" t="s">
        <v>6273</v>
      </c>
      <c r="H2244" s="6" t="s">
        <v>8836</v>
      </c>
    </row>
    <row r="2245" spans="1:8" ht="102" x14ac:dyDescent="0.2">
      <c r="A2245">
        <v>2243</v>
      </c>
      <c r="B2245" t="s">
        <v>1611</v>
      </c>
      <c r="C2245" t="s">
        <v>3051</v>
      </c>
      <c r="D2245" t="s">
        <v>3735</v>
      </c>
      <c r="E2245" t="s">
        <v>6266</v>
      </c>
      <c r="F2245" t="s">
        <v>5585</v>
      </c>
      <c r="G2245" t="s">
        <v>6274</v>
      </c>
      <c r="H2245" s="6" t="s">
        <v>8837</v>
      </c>
    </row>
    <row r="2246" spans="1:8" ht="102" x14ac:dyDescent="0.2">
      <c r="A2246">
        <v>2244</v>
      </c>
      <c r="B2246" t="s">
        <v>1611</v>
      </c>
      <c r="C2246" t="s">
        <v>3051</v>
      </c>
      <c r="D2246" t="s">
        <v>3735</v>
      </c>
      <c r="E2246" t="s">
        <v>6266</v>
      </c>
      <c r="F2246" t="s">
        <v>5585</v>
      </c>
      <c r="G2246" t="s">
        <v>6275</v>
      </c>
      <c r="H2246" s="6" t="s">
        <v>8838</v>
      </c>
    </row>
    <row r="2247" spans="1:8" ht="102" x14ac:dyDescent="0.2">
      <c r="A2247">
        <v>2245</v>
      </c>
      <c r="B2247" t="s">
        <v>1611</v>
      </c>
      <c r="C2247" t="s">
        <v>3051</v>
      </c>
      <c r="D2247" t="s">
        <v>3735</v>
      </c>
      <c r="E2247" t="s">
        <v>6266</v>
      </c>
      <c r="F2247" t="s">
        <v>5585</v>
      </c>
      <c r="G2247" t="s">
        <v>6276</v>
      </c>
      <c r="H2247" s="6" t="s">
        <v>8839</v>
      </c>
    </row>
    <row r="2248" spans="1:8" ht="102" x14ac:dyDescent="0.2">
      <c r="A2248">
        <v>2246</v>
      </c>
      <c r="B2248" t="s">
        <v>1611</v>
      </c>
      <c r="C2248" t="s">
        <v>3051</v>
      </c>
      <c r="D2248" t="s">
        <v>3735</v>
      </c>
      <c r="E2248" t="s">
        <v>6266</v>
      </c>
      <c r="F2248" t="s">
        <v>5585</v>
      </c>
      <c r="G2248" t="s">
        <v>6277</v>
      </c>
      <c r="H2248" s="6" t="s">
        <v>8840</v>
      </c>
    </row>
    <row r="2249" spans="1:8" ht="102" x14ac:dyDescent="0.2">
      <c r="A2249">
        <v>2247</v>
      </c>
      <c r="B2249" t="s">
        <v>1611</v>
      </c>
      <c r="C2249" t="s">
        <v>3051</v>
      </c>
      <c r="D2249" t="s">
        <v>3735</v>
      </c>
      <c r="E2249" t="s">
        <v>6266</v>
      </c>
      <c r="F2249" t="s">
        <v>5585</v>
      </c>
      <c r="G2249" t="s">
        <v>6278</v>
      </c>
      <c r="H2249" s="6" t="s">
        <v>8841</v>
      </c>
    </row>
    <row r="2250" spans="1:8" ht="323" x14ac:dyDescent="0.2">
      <c r="A2250">
        <v>2248</v>
      </c>
      <c r="B2250" t="s">
        <v>1611</v>
      </c>
      <c r="C2250" t="s">
        <v>3051</v>
      </c>
      <c r="D2250" t="s">
        <v>3735</v>
      </c>
      <c r="E2250" t="s">
        <v>6279</v>
      </c>
      <c r="F2250" t="s">
        <v>4676</v>
      </c>
      <c r="G2250" t="s">
        <v>6280</v>
      </c>
      <c r="H2250" s="6" t="s">
        <v>8842</v>
      </c>
    </row>
    <row r="2251" spans="1:8" ht="119" x14ac:dyDescent="0.2">
      <c r="A2251">
        <v>2249</v>
      </c>
      <c r="B2251" t="s">
        <v>1611</v>
      </c>
      <c r="C2251" t="s">
        <v>3051</v>
      </c>
      <c r="D2251" t="s">
        <v>3735</v>
      </c>
      <c r="E2251" t="s">
        <v>6279</v>
      </c>
      <c r="F2251" t="s">
        <v>4676</v>
      </c>
      <c r="G2251" t="s">
        <v>6281</v>
      </c>
      <c r="H2251" s="6" t="s">
        <v>8843</v>
      </c>
    </row>
    <row r="2252" spans="1:8" ht="119" x14ac:dyDescent="0.2">
      <c r="A2252">
        <v>2250</v>
      </c>
      <c r="B2252" t="s">
        <v>1611</v>
      </c>
      <c r="C2252" t="s">
        <v>3051</v>
      </c>
      <c r="D2252" t="s">
        <v>3735</v>
      </c>
      <c r="E2252" t="s">
        <v>6279</v>
      </c>
      <c r="F2252" t="s">
        <v>4676</v>
      </c>
      <c r="G2252" t="s">
        <v>6282</v>
      </c>
      <c r="H2252" s="6" t="s">
        <v>8844</v>
      </c>
    </row>
    <row r="2253" spans="1:8" ht="85" x14ac:dyDescent="0.2">
      <c r="A2253">
        <v>2251</v>
      </c>
      <c r="B2253" t="s">
        <v>1611</v>
      </c>
      <c r="C2253" t="s">
        <v>3051</v>
      </c>
      <c r="D2253" t="s">
        <v>3735</v>
      </c>
      <c r="E2253" t="s">
        <v>6279</v>
      </c>
      <c r="F2253" t="s">
        <v>4676</v>
      </c>
      <c r="G2253" t="s">
        <v>6283</v>
      </c>
      <c r="H2253" s="6" t="s">
        <v>8845</v>
      </c>
    </row>
    <row r="2254" spans="1:8" ht="187" x14ac:dyDescent="0.2">
      <c r="A2254">
        <v>2252</v>
      </c>
      <c r="B2254" t="s">
        <v>1611</v>
      </c>
      <c r="C2254" t="s">
        <v>3051</v>
      </c>
      <c r="D2254" t="s">
        <v>3735</v>
      </c>
      <c r="E2254" t="s">
        <v>6279</v>
      </c>
      <c r="F2254" t="s">
        <v>4676</v>
      </c>
      <c r="G2254" t="s">
        <v>6284</v>
      </c>
      <c r="H2254" s="6" t="s">
        <v>8846</v>
      </c>
    </row>
    <row r="2255" spans="1:8" ht="85" x14ac:dyDescent="0.2">
      <c r="A2255">
        <v>2253</v>
      </c>
      <c r="B2255" t="s">
        <v>1611</v>
      </c>
      <c r="C2255" t="s">
        <v>3051</v>
      </c>
      <c r="D2255" t="s">
        <v>3735</v>
      </c>
      <c r="E2255" t="s">
        <v>6279</v>
      </c>
      <c r="F2255" t="s">
        <v>4676</v>
      </c>
      <c r="G2255" t="s">
        <v>6285</v>
      </c>
      <c r="H2255" s="6" t="s">
        <v>8847</v>
      </c>
    </row>
    <row r="2256" spans="1:8" ht="119" x14ac:dyDescent="0.2">
      <c r="A2256">
        <v>2254</v>
      </c>
      <c r="B2256" t="s">
        <v>1611</v>
      </c>
      <c r="C2256" t="s">
        <v>3051</v>
      </c>
      <c r="D2256" t="s">
        <v>3735</v>
      </c>
      <c r="E2256" t="s">
        <v>6279</v>
      </c>
      <c r="F2256" t="s">
        <v>4676</v>
      </c>
      <c r="G2256" t="s">
        <v>6286</v>
      </c>
      <c r="H2256" s="6" t="s">
        <v>8848</v>
      </c>
    </row>
    <row r="2257" spans="1:8" ht="119" x14ac:dyDescent="0.2">
      <c r="A2257">
        <v>2255</v>
      </c>
      <c r="B2257" t="s">
        <v>1611</v>
      </c>
      <c r="C2257" t="s">
        <v>3051</v>
      </c>
      <c r="D2257" t="s">
        <v>3735</v>
      </c>
      <c r="E2257" t="s">
        <v>6279</v>
      </c>
      <c r="F2257" t="s">
        <v>4676</v>
      </c>
      <c r="G2257" t="s">
        <v>6287</v>
      </c>
      <c r="H2257" s="6" t="s">
        <v>8849</v>
      </c>
    </row>
    <row r="2258" spans="1:8" ht="170" x14ac:dyDescent="0.2">
      <c r="A2258">
        <v>2256</v>
      </c>
      <c r="B2258" t="s">
        <v>1611</v>
      </c>
      <c r="C2258" t="s">
        <v>3051</v>
      </c>
      <c r="D2258" t="s">
        <v>3735</v>
      </c>
      <c r="E2258" t="s">
        <v>6279</v>
      </c>
      <c r="F2258" t="s">
        <v>4676</v>
      </c>
      <c r="G2258" t="s">
        <v>6288</v>
      </c>
      <c r="H2258" s="6" t="s">
        <v>8850</v>
      </c>
    </row>
    <row r="2259" spans="1:8" ht="102" x14ac:dyDescent="0.2">
      <c r="A2259">
        <v>2257</v>
      </c>
      <c r="B2259" t="s">
        <v>1611</v>
      </c>
      <c r="C2259" t="s">
        <v>3051</v>
      </c>
      <c r="D2259" t="s">
        <v>3735</v>
      </c>
      <c r="E2259" t="s">
        <v>6279</v>
      </c>
      <c r="F2259" t="s">
        <v>4676</v>
      </c>
      <c r="G2259" t="s">
        <v>6289</v>
      </c>
      <c r="H2259" s="6" t="s">
        <v>8851</v>
      </c>
    </row>
    <row r="2260" spans="1:8" ht="102" x14ac:dyDescent="0.2">
      <c r="A2260">
        <v>2258</v>
      </c>
      <c r="B2260" t="s">
        <v>1611</v>
      </c>
      <c r="C2260" t="s">
        <v>3051</v>
      </c>
      <c r="D2260" t="s">
        <v>3735</v>
      </c>
      <c r="E2260" t="s">
        <v>6279</v>
      </c>
      <c r="F2260" t="s">
        <v>4676</v>
      </c>
      <c r="G2260" t="s">
        <v>6290</v>
      </c>
      <c r="H2260" s="6" t="s">
        <v>8852</v>
      </c>
    </row>
    <row r="2261" spans="1:8" ht="102" x14ac:dyDescent="0.2">
      <c r="A2261">
        <v>2259</v>
      </c>
      <c r="B2261" t="s">
        <v>1611</v>
      </c>
      <c r="C2261" t="s">
        <v>3051</v>
      </c>
      <c r="D2261" t="s">
        <v>3735</v>
      </c>
      <c r="E2261" t="s">
        <v>6279</v>
      </c>
      <c r="F2261" t="s">
        <v>4676</v>
      </c>
      <c r="G2261" t="s">
        <v>6291</v>
      </c>
      <c r="H2261" s="6" t="s">
        <v>8853</v>
      </c>
    </row>
    <row r="2262" spans="1:8" ht="102" x14ac:dyDescent="0.2">
      <c r="A2262">
        <v>2260</v>
      </c>
      <c r="B2262" t="s">
        <v>1611</v>
      </c>
      <c r="C2262" t="s">
        <v>3051</v>
      </c>
      <c r="D2262" t="s">
        <v>3735</v>
      </c>
      <c r="E2262" t="s">
        <v>6279</v>
      </c>
      <c r="F2262" t="s">
        <v>4676</v>
      </c>
      <c r="G2262" t="s">
        <v>6292</v>
      </c>
      <c r="H2262" s="6" t="s">
        <v>8854</v>
      </c>
    </row>
    <row r="2263" spans="1:8" ht="119" x14ac:dyDescent="0.2">
      <c r="A2263">
        <v>2261</v>
      </c>
      <c r="B2263" t="s">
        <v>1611</v>
      </c>
      <c r="C2263" t="s">
        <v>3051</v>
      </c>
      <c r="D2263" t="s">
        <v>3735</v>
      </c>
      <c r="E2263" t="s">
        <v>6279</v>
      </c>
      <c r="F2263" t="s">
        <v>4676</v>
      </c>
      <c r="G2263" t="s">
        <v>6293</v>
      </c>
      <c r="H2263" s="6" t="s">
        <v>8855</v>
      </c>
    </row>
    <row r="2264" spans="1:8" ht="153" x14ac:dyDescent="0.2">
      <c r="A2264">
        <v>2262</v>
      </c>
      <c r="B2264" t="s">
        <v>1611</v>
      </c>
      <c r="C2264" t="s">
        <v>3051</v>
      </c>
      <c r="D2264" t="s">
        <v>3735</v>
      </c>
      <c r="E2264" t="s">
        <v>6279</v>
      </c>
      <c r="F2264" t="s">
        <v>4676</v>
      </c>
      <c r="G2264" t="s">
        <v>6294</v>
      </c>
      <c r="H2264" s="6" t="s">
        <v>8856</v>
      </c>
    </row>
    <row r="2265" spans="1:8" ht="102" x14ac:dyDescent="0.2">
      <c r="A2265">
        <v>2263</v>
      </c>
      <c r="B2265" t="s">
        <v>1611</v>
      </c>
      <c r="C2265" t="s">
        <v>3051</v>
      </c>
      <c r="D2265" t="s">
        <v>3735</v>
      </c>
      <c r="E2265" t="s">
        <v>6279</v>
      </c>
      <c r="F2265" t="s">
        <v>4676</v>
      </c>
      <c r="G2265" t="s">
        <v>6295</v>
      </c>
      <c r="H2265" s="6" t="s">
        <v>8857</v>
      </c>
    </row>
    <row r="2266" spans="1:8" ht="119" x14ac:dyDescent="0.2">
      <c r="A2266">
        <v>2264</v>
      </c>
      <c r="B2266" t="s">
        <v>1611</v>
      </c>
      <c r="C2266" t="s">
        <v>3051</v>
      </c>
      <c r="D2266" t="s">
        <v>3735</v>
      </c>
      <c r="E2266" t="s">
        <v>6279</v>
      </c>
      <c r="F2266" t="s">
        <v>4676</v>
      </c>
      <c r="G2266" t="s">
        <v>6296</v>
      </c>
      <c r="H2266" s="6" t="s">
        <v>8858</v>
      </c>
    </row>
    <row r="2267" spans="1:8" ht="204" x14ac:dyDescent="0.2">
      <c r="A2267">
        <v>2265</v>
      </c>
      <c r="B2267" t="s">
        <v>1611</v>
      </c>
      <c r="C2267" t="s">
        <v>3051</v>
      </c>
      <c r="D2267" t="s">
        <v>3735</v>
      </c>
      <c r="E2267" t="s">
        <v>6279</v>
      </c>
      <c r="F2267" t="s">
        <v>4676</v>
      </c>
      <c r="G2267" t="s">
        <v>6297</v>
      </c>
      <c r="H2267" s="6" t="s">
        <v>8859</v>
      </c>
    </row>
    <row r="2268" spans="1:8" ht="102" x14ac:dyDescent="0.2">
      <c r="A2268">
        <v>2266</v>
      </c>
      <c r="B2268" t="s">
        <v>1611</v>
      </c>
      <c r="C2268" t="s">
        <v>3051</v>
      </c>
      <c r="D2268" t="s">
        <v>3735</v>
      </c>
      <c r="E2268" t="s">
        <v>6279</v>
      </c>
      <c r="F2268" t="s">
        <v>4676</v>
      </c>
      <c r="G2268" t="s">
        <v>6298</v>
      </c>
      <c r="H2268" s="6" t="s">
        <v>8851</v>
      </c>
    </row>
    <row r="2269" spans="1:8" ht="170" x14ac:dyDescent="0.2">
      <c r="A2269">
        <v>2267</v>
      </c>
      <c r="B2269" t="s">
        <v>1611</v>
      </c>
      <c r="C2269" t="s">
        <v>3051</v>
      </c>
      <c r="D2269" t="s">
        <v>3735</v>
      </c>
      <c r="E2269" t="s">
        <v>6279</v>
      </c>
      <c r="F2269" t="s">
        <v>4676</v>
      </c>
      <c r="G2269" t="s">
        <v>6299</v>
      </c>
      <c r="H2269" s="6" t="s">
        <v>8860</v>
      </c>
    </row>
    <row r="2270" spans="1:8" ht="102" x14ac:dyDescent="0.2">
      <c r="A2270">
        <v>2268</v>
      </c>
      <c r="B2270" t="s">
        <v>1611</v>
      </c>
      <c r="C2270" t="s">
        <v>3051</v>
      </c>
      <c r="D2270" t="s">
        <v>3735</v>
      </c>
      <c r="E2270" t="s">
        <v>6279</v>
      </c>
      <c r="F2270" t="s">
        <v>4676</v>
      </c>
      <c r="G2270" t="s">
        <v>6300</v>
      </c>
      <c r="H2270" s="6" t="s">
        <v>8861</v>
      </c>
    </row>
    <row r="2271" spans="1:8" ht="102" x14ac:dyDescent="0.2">
      <c r="A2271">
        <v>2269</v>
      </c>
      <c r="B2271" t="s">
        <v>1611</v>
      </c>
      <c r="C2271" t="s">
        <v>3051</v>
      </c>
      <c r="D2271" t="s">
        <v>3735</v>
      </c>
      <c r="E2271" t="s">
        <v>6279</v>
      </c>
      <c r="F2271" t="s">
        <v>4676</v>
      </c>
      <c r="G2271" t="s">
        <v>6301</v>
      </c>
      <c r="H2271" s="6" t="s">
        <v>8862</v>
      </c>
    </row>
    <row r="2272" spans="1:8" ht="102" x14ac:dyDescent="0.2">
      <c r="A2272">
        <v>2270</v>
      </c>
      <c r="B2272" t="s">
        <v>1611</v>
      </c>
      <c r="C2272" t="s">
        <v>3051</v>
      </c>
      <c r="D2272" t="s">
        <v>3735</v>
      </c>
      <c r="E2272" t="s">
        <v>6279</v>
      </c>
      <c r="F2272" t="s">
        <v>4676</v>
      </c>
      <c r="G2272" t="s">
        <v>6302</v>
      </c>
      <c r="H2272" s="6" t="s">
        <v>8863</v>
      </c>
    </row>
    <row r="2273" spans="1:8" ht="85" x14ac:dyDescent="0.2">
      <c r="A2273">
        <v>2271</v>
      </c>
      <c r="B2273" t="s">
        <v>1611</v>
      </c>
      <c r="C2273" t="s">
        <v>3051</v>
      </c>
      <c r="D2273" t="s">
        <v>3735</v>
      </c>
      <c r="E2273" t="s">
        <v>6279</v>
      </c>
      <c r="F2273" t="s">
        <v>4676</v>
      </c>
      <c r="G2273" t="s">
        <v>6303</v>
      </c>
      <c r="H2273" s="6" t="s">
        <v>8864</v>
      </c>
    </row>
    <row r="2274" spans="1:8" ht="85" x14ac:dyDescent="0.2">
      <c r="A2274">
        <v>2272</v>
      </c>
      <c r="B2274" t="s">
        <v>1611</v>
      </c>
      <c r="C2274" t="s">
        <v>3051</v>
      </c>
      <c r="D2274" t="s">
        <v>3735</v>
      </c>
      <c r="E2274" t="s">
        <v>6279</v>
      </c>
      <c r="F2274" t="s">
        <v>4676</v>
      </c>
      <c r="G2274" t="s">
        <v>6304</v>
      </c>
      <c r="H2274" s="6" t="s">
        <v>8865</v>
      </c>
    </row>
    <row r="2275" spans="1:8" ht="119" x14ac:dyDescent="0.2">
      <c r="A2275">
        <v>2273</v>
      </c>
      <c r="B2275" t="s">
        <v>1611</v>
      </c>
      <c r="C2275" t="s">
        <v>3051</v>
      </c>
      <c r="D2275" t="s">
        <v>3735</v>
      </c>
      <c r="E2275" t="s">
        <v>6279</v>
      </c>
      <c r="F2275" t="s">
        <v>4676</v>
      </c>
      <c r="G2275" t="s">
        <v>6305</v>
      </c>
      <c r="H2275" s="6" t="s">
        <v>8866</v>
      </c>
    </row>
    <row r="2276" spans="1:8" ht="85" x14ac:dyDescent="0.2">
      <c r="A2276">
        <v>2274</v>
      </c>
      <c r="B2276" t="s">
        <v>1611</v>
      </c>
      <c r="C2276" t="s">
        <v>3051</v>
      </c>
      <c r="D2276" t="s">
        <v>3735</v>
      </c>
      <c r="E2276" t="s">
        <v>6279</v>
      </c>
      <c r="F2276" t="s">
        <v>4676</v>
      </c>
      <c r="G2276" t="s">
        <v>6306</v>
      </c>
      <c r="H2276" s="6" t="s">
        <v>8867</v>
      </c>
    </row>
    <row r="2277" spans="1:8" ht="187" x14ac:dyDescent="0.2">
      <c r="A2277">
        <v>2275</v>
      </c>
      <c r="B2277" t="s">
        <v>1611</v>
      </c>
      <c r="C2277" t="s">
        <v>3051</v>
      </c>
      <c r="D2277" t="s">
        <v>3735</v>
      </c>
      <c r="E2277" t="s">
        <v>6307</v>
      </c>
      <c r="F2277" t="s">
        <v>6308</v>
      </c>
      <c r="G2277" t="s">
        <v>6309</v>
      </c>
      <c r="H2277" s="6" t="s">
        <v>8868</v>
      </c>
    </row>
    <row r="2278" spans="1:8" ht="102" x14ac:dyDescent="0.2">
      <c r="A2278">
        <v>2276</v>
      </c>
      <c r="B2278" t="s">
        <v>1611</v>
      </c>
      <c r="C2278" t="s">
        <v>3051</v>
      </c>
      <c r="D2278" t="s">
        <v>3735</v>
      </c>
      <c r="E2278" t="s">
        <v>6307</v>
      </c>
      <c r="F2278" t="s">
        <v>6308</v>
      </c>
      <c r="G2278" t="s">
        <v>6310</v>
      </c>
      <c r="H2278" s="6" t="s">
        <v>8869</v>
      </c>
    </row>
    <row r="2279" spans="1:8" ht="102" x14ac:dyDescent="0.2">
      <c r="A2279">
        <v>2277</v>
      </c>
      <c r="B2279" t="s">
        <v>1611</v>
      </c>
      <c r="C2279" t="s">
        <v>3051</v>
      </c>
      <c r="D2279" t="s">
        <v>3735</v>
      </c>
      <c r="E2279" t="s">
        <v>6307</v>
      </c>
      <c r="F2279" t="s">
        <v>6308</v>
      </c>
      <c r="G2279" t="s">
        <v>6311</v>
      </c>
      <c r="H2279" s="6" t="s">
        <v>8870</v>
      </c>
    </row>
    <row r="2280" spans="1:8" ht="85" x14ac:dyDescent="0.2">
      <c r="A2280">
        <v>2278</v>
      </c>
      <c r="B2280" t="s">
        <v>1611</v>
      </c>
      <c r="C2280" t="s">
        <v>3051</v>
      </c>
      <c r="D2280" t="s">
        <v>3735</v>
      </c>
      <c r="E2280" t="s">
        <v>6307</v>
      </c>
      <c r="F2280" t="s">
        <v>6308</v>
      </c>
      <c r="G2280" t="s">
        <v>6312</v>
      </c>
      <c r="H2280" s="6" t="s">
        <v>8871</v>
      </c>
    </row>
    <row r="2281" spans="1:8" ht="136" x14ac:dyDescent="0.2">
      <c r="A2281">
        <v>2279</v>
      </c>
      <c r="B2281" t="s">
        <v>1611</v>
      </c>
      <c r="C2281" t="s">
        <v>3051</v>
      </c>
      <c r="D2281" t="s">
        <v>3735</v>
      </c>
      <c r="E2281" t="s">
        <v>6307</v>
      </c>
      <c r="F2281" t="s">
        <v>6308</v>
      </c>
      <c r="G2281" t="s">
        <v>6313</v>
      </c>
      <c r="H2281" s="6" t="s">
        <v>8872</v>
      </c>
    </row>
    <row r="2282" spans="1:8" ht="153" x14ac:dyDescent="0.2">
      <c r="A2282">
        <v>2280</v>
      </c>
      <c r="B2282" t="s">
        <v>1611</v>
      </c>
      <c r="C2282" t="s">
        <v>3051</v>
      </c>
      <c r="D2282" t="s">
        <v>3735</v>
      </c>
      <c r="E2282" t="s">
        <v>6307</v>
      </c>
      <c r="F2282" t="s">
        <v>6308</v>
      </c>
      <c r="G2282" t="s">
        <v>6314</v>
      </c>
      <c r="H2282" s="6" t="s">
        <v>8873</v>
      </c>
    </row>
    <row r="2283" spans="1:8" ht="85" x14ac:dyDescent="0.2">
      <c r="A2283">
        <v>2281</v>
      </c>
      <c r="B2283" t="s">
        <v>1611</v>
      </c>
      <c r="C2283" t="s">
        <v>3051</v>
      </c>
      <c r="D2283" t="s">
        <v>3735</v>
      </c>
      <c r="E2283" t="s">
        <v>6307</v>
      </c>
      <c r="F2283" t="s">
        <v>6308</v>
      </c>
      <c r="G2283" t="s">
        <v>6315</v>
      </c>
      <c r="H2283" s="6" t="s">
        <v>8874</v>
      </c>
    </row>
    <row r="2284" spans="1:8" ht="85" x14ac:dyDescent="0.2">
      <c r="A2284">
        <v>2282</v>
      </c>
      <c r="B2284" t="s">
        <v>1611</v>
      </c>
      <c r="C2284" t="s">
        <v>3051</v>
      </c>
      <c r="D2284" t="s">
        <v>3735</v>
      </c>
      <c r="E2284" t="s">
        <v>6307</v>
      </c>
      <c r="F2284" t="s">
        <v>6308</v>
      </c>
      <c r="G2284" t="s">
        <v>6316</v>
      </c>
      <c r="H2284" s="6" t="s">
        <v>8875</v>
      </c>
    </row>
    <row r="2285" spans="1:8" ht="119" x14ac:dyDescent="0.2">
      <c r="A2285">
        <v>2283</v>
      </c>
      <c r="B2285" t="s">
        <v>1611</v>
      </c>
      <c r="C2285" t="s">
        <v>3051</v>
      </c>
      <c r="D2285" t="s">
        <v>3735</v>
      </c>
      <c r="E2285" t="s">
        <v>6307</v>
      </c>
      <c r="F2285" t="s">
        <v>6308</v>
      </c>
      <c r="G2285" t="s">
        <v>6317</v>
      </c>
      <c r="H2285" s="6" t="s">
        <v>8876</v>
      </c>
    </row>
    <row r="2286" spans="1:8" ht="85" x14ac:dyDescent="0.2">
      <c r="A2286">
        <v>2284</v>
      </c>
      <c r="B2286" t="s">
        <v>1611</v>
      </c>
      <c r="C2286" t="s">
        <v>3051</v>
      </c>
      <c r="D2286" t="s">
        <v>3735</v>
      </c>
      <c r="E2286" t="s">
        <v>6307</v>
      </c>
      <c r="F2286" t="s">
        <v>6308</v>
      </c>
      <c r="G2286" t="s">
        <v>6318</v>
      </c>
      <c r="H2286" s="6" t="s">
        <v>8877</v>
      </c>
    </row>
    <row r="2287" spans="1:8" ht="85" x14ac:dyDescent="0.2">
      <c r="A2287">
        <v>2285</v>
      </c>
      <c r="B2287" t="s">
        <v>1611</v>
      </c>
      <c r="C2287" t="s">
        <v>3051</v>
      </c>
      <c r="D2287" t="s">
        <v>3735</v>
      </c>
      <c r="E2287" t="s">
        <v>6307</v>
      </c>
      <c r="F2287" t="s">
        <v>6308</v>
      </c>
      <c r="G2287" t="s">
        <v>6319</v>
      </c>
      <c r="H2287" s="6" t="s">
        <v>8878</v>
      </c>
    </row>
    <row r="2288" spans="1:8" ht="170" x14ac:dyDescent="0.2">
      <c r="A2288">
        <v>2286</v>
      </c>
      <c r="B2288" t="s">
        <v>1611</v>
      </c>
      <c r="C2288" t="s">
        <v>3051</v>
      </c>
      <c r="D2288" t="s">
        <v>3735</v>
      </c>
      <c r="E2288" t="s">
        <v>6307</v>
      </c>
      <c r="F2288" t="s">
        <v>6308</v>
      </c>
      <c r="G2288" t="s">
        <v>6320</v>
      </c>
      <c r="H2288" s="6" t="s">
        <v>8879</v>
      </c>
    </row>
    <row r="2289" spans="1:8" ht="102" x14ac:dyDescent="0.2">
      <c r="A2289">
        <v>2287</v>
      </c>
      <c r="B2289" t="s">
        <v>1611</v>
      </c>
      <c r="C2289" t="s">
        <v>3051</v>
      </c>
      <c r="D2289" t="s">
        <v>3735</v>
      </c>
      <c r="E2289" t="s">
        <v>6307</v>
      </c>
      <c r="F2289" t="s">
        <v>6308</v>
      </c>
      <c r="G2289" t="s">
        <v>6321</v>
      </c>
      <c r="H2289" s="6" t="s">
        <v>8880</v>
      </c>
    </row>
    <row r="2290" spans="1:8" ht="102" x14ac:dyDescent="0.2">
      <c r="A2290">
        <v>2288</v>
      </c>
      <c r="B2290" t="s">
        <v>1611</v>
      </c>
      <c r="C2290" t="s">
        <v>3051</v>
      </c>
      <c r="D2290" t="s">
        <v>3735</v>
      </c>
      <c r="E2290" t="s">
        <v>6307</v>
      </c>
      <c r="F2290" t="s">
        <v>6308</v>
      </c>
      <c r="G2290" t="s">
        <v>6322</v>
      </c>
      <c r="H2290" s="6" t="s">
        <v>8787</v>
      </c>
    </row>
    <row r="2291" spans="1:8" ht="85" x14ac:dyDescent="0.2">
      <c r="A2291">
        <v>2289</v>
      </c>
      <c r="B2291" t="s">
        <v>1611</v>
      </c>
      <c r="C2291" t="s">
        <v>3051</v>
      </c>
      <c r="D2291" t="s">
        <v>3735</v>
      </c>
      <c r="E2291" t="s">
        <v>6307</v>
      </c>
      <c r="F2291" t="s">
        <v>6308</v>
      </c>
      <c r="G2291" t="s">
        <v>6323</v>
      </c>
      <c r="H2291" s="6" t="s">
        <v>8788</v>
      </c>
    </row>
    <row r="2292" spans="1:8" ht="187" x14ac:dyDescent="0.2">
      <c r="A2292">
        <v>2290</v>
      </c>
      <c r="B2292" t="s">
        <v>1611</v>
      </c>
      <c r="C2292" t="s">
        <v>3051</v>
      </c>
      <c r="D2292" t="s">
        <v>3735</v>
      </c>
      <c r="E2292" t="s">
        <v>6307</v>
      </c>
      <c r="F2292" t="s">
        <v>6308</v>
      </c>
      <c r="G2292" t="s">
        <v>6324</v>
      </c>
      <c r="H2292" s="6" t="s">
        <v>8881</v>
      </c>
    </row>
    <row r="2293" spans="1:8" ht="153" x14ac:dyDescent="0.2">
      <c r="A2293">
        <v>2291</v>
      </c>
      <c r="B2293" t="s">
        <v>1611</v>
      </c>
      <c r="C2293" t="s">
        <v>3051</v>
      </c>
      <c r="D2293" t="s">
        <v>3735</v>
      </c>
      <c r="E2293" t="s">
        <v>6325</v>
      </c>
      <c r="F2293" t="s">
        <v>5029</v>
      </c>
      <c r="G2293" t="s">
        <v>6326</v>
      </c>
      <c r="H2293" s="6" t="s">
        <v>8882</v>
      </c>
    </row>
    <row r="2294" spans="1:8" ht="85" x14ac:dyDescent="0.2">
      <c r="A2294">
        <v>2292</v>
      </c>
      <c r="B2294" t="s">
        <v>1611</v>
      </c>
      <c r="C2294" t="s">
        <v>3051</v>
      </c>
      <c r="D2294" t="s">
        <v>3735</v>
      </c>
      <c r="E2294" t="s">
        <v>6325</v>
      </c>
      <c r="F2294" t="s">
        <v>5029</v>
      </c>
      <c r="G2294" t="s">
        <v>6327</v>
      </c>
      <c r="H2294" s="6" t="s">
        <v>8883</v>
      </c>
    </row>
    <row r="2295" spans="1:8" ht="102" x14ac:dyDescent="0.2">
      <c r="A2295">
        <v>2293</v>
      </c>
      <c r="B2295" t="s">
        <v>1611</v>
      </c>
      <c r="C2295" t="s">
        <v>3051</v>
      </c>
      <c r="D2295" t="s">
        <v>3735</v>
      </c>
      <c r="E2295" t="s">
        <v>6325</v>
      </c>
      <c r="F2295" t="s">
        <v>5029</v>
      </c>
      <c r="G2295" t="s">
        <v>6328</v>
      </c>
      <c r="H2295" s="6" t="s">
        <v>8884</v>
      </c>
    </row>
    <row r="2296" spans="1:8" ht="306" x14ac:dyDescent="0.2">
      <c r="A2296">
        <v>2294</v>
      </c>
      <c r="B2296" t="s">
        <v>1611</v>
      </c>
      <c r="C2296" t="s">
        <v>3051</v>
      </c>
      <c r="D2296" t="s">
        <v>3735</v>
      </c>
      <c r="E2296" t="s">
        <v>6325</v>
      </c>
      <c r="F2296" t="s">
        <v>5029</v>
      </c>
      <c r="G2296" t="s">
        <v>6329</v>
      </c>
      <c r="H2296" s="6" t="s">
        <v>8885</v>
      </c>
    </row>
    <row r="2297" spans="1:8" ht="85" x14ac:dyDescent="0.2">
      <c r="A2297">
        <v>2295</v>
      </c>
      <c r="B2297" t="s">
        <v>1611</v>
      </c>
      <c r="C2297" t="s">
        <v>3051</v>
      </c>
      <c r="D2297" t="s">
        <v>3735</v>
      </c>
      <c r="E2297" t="s">
        <v>6325</v>
      </c>
      <c r="F2297" t="s">
        <v>5029</v>
      </c>
      <c r="G2297" t="s">
        <v>6330</v>
      </c>
      <c r="H2297" s="6" t="s">
        <v>8886</v>
      </c>
    </row>
    <row r="2298" spans="1:8" ht="85" x14ac:dyDescent="0.2">
      <c r="A2298">
        <v>2296</v>
      </c>
      <c r="B2298" t="s">
        <v>1611</v>
      </c>
      <c r="C2298" t="s">
        <v>3051</v>
      </c>
      <c r="D2298" t="s">
        <v>3735</v>
      </c>
      <c r="E2298" t="s">
        <v>6325</v>
      </c>
      <c r="F2298" t="s">
        <v>5029</v>
      </c>
      <c r="G2298" t="s">
        <v>6331</v>
      </c>
      <c r="H2298" s="6" t="s">
        <v>8887</v>
      </c>
    </row>
    <row r="2299" spans="1:8" ht="85" x14ac:dyDescent="0.2">
      <c r="A2299">
        <v>2297</v>
      </c>
      <c r="B2299" t="s">
        <v>1611</v>
      </c>
      <c r="C2299" t="s">
        <v>3051</v>
      </c>
      <c r="D2299" t="s">
        <v>3735</v>
      </c>
      <c r="E2299" t="s">
        <v>6325</v>
      </c>
      <c r="F2299" t="s">
        <v>5029</v>
      </c>
      <c r="G2299" t="s">
        <v>6332</v>
      </c>
      <c r="H2299" s="6" t="s">
        <v>8888</v>
      </c>
    </row>
    <row r="2300" spans="1:8" ht="102" x14ac:dyDescent="0.2">
      <c r="A2300">
        <v>2298</v>
      </c>
      <c r="B2300" t="s">
        <v>1611</v>
      </c>
      <c r="C2300" t="s">
        <v>3051</v>
      </c>
      <c r="D2300" t="s">
        <v>3735</v>
      </c>
      <c r="E2300" t="s">
        <v>6325</v>
      </c>
      <c r="F2300" t="s">
        <v>5029</v>
      </c>
      <c r="G2300" t="s">
        <v>6333</v>
      </c>
      <c r="H2300" s="6" t="s">
        <v>8889</v>
      </c>
    </row>
    <row r="2301" spans="1:8" ht="102" x14ac:dyDescent="0.2">
      <c r="A2301">
        <v>2299</v>
      </c>
      <c r="B2301" t="s">
        <v>1611</v>
      </c>
      <c r="C2301" t="s">
        <v>3051</v>
      </c>
      <c r="D2301" t="s">
        <v>3735</v>
      </c>
      <c r="E2301" t="s">
        <v>6325</v>
      </c>
      <c r="F2301" t="s">
        <v>5029</v>
      </c>
      <c r="G2301" t="s">
        <v>6334</v>
      </c>
      <c r="H2301" s="6" t="s">
        <v>8890</v>
      </c>
    </row>
    <row r="2302" spans="1:8" ht="85" x14ac:dyDescent="0.2">
      <c r="A2302">
        <v>2300</v>
      </c>
      <c r="B2302" t="s">
        <v>1611</v>
      </c>
      <c r="C2302" t="s">
        <v>3051</v>
      </c>
      <c r="D2302" t="s">
        <v>3735</v>
      </c>
      <c r="E2302" t="s">
        <v>6325</v>
      </c>
      <c r="F2302" t="s">
        <v>5029</v>
      </c>
      <c r="G2302" t="s">
        <v>6335</v>
      </c>
      <c r="H2302" s="6" t="s">
        <v>8891</v>
      </c>
    </row>
    <row r="2303" spans="1:8" ht="85" x14ac:dyDescent="0.2">
      <c r="A2303">
        <v>2301</v>
      </c>
      <c r="B2303" t="s">
        <v>1611</v>
      </c>
      <c r="C2303" t="s">
        <v>3051</v>
      </c>
      <c r="D2303" t="s">
        <v>3735</v>
      </c>
      <c r="E2303" t="s">
        <v>6325</v>
      </c>
      <c r="F2303" t="s">
        <v>5029</v>
      </c>
      <c r="G2303" t="s">
        <v>6336</v>
      </c>
      <c r="H2303" s="6" t="s">
        <v>8892</v>
      </c>
    </row>
    <row r="2304" spans="1:8" ht="153" x14ac:dyDescent="0.2">
      <c r="A2304">
        <v>2302</v>
      </c>
      <c r="B2304" t="s">
        <v>1611</v>
      </c>
      <c r="C2304" t="s">
        <v>3051</v>
      </c>
      <c r="D2304" t="s">
        <v>3735</v>
      </c>
      <c r="E2304" t="s">
        <v>6337</v>
      </c>
      <c r="F2304" t="s">
        <v>4710</v>
      </c>
      <c r="G2304" t="s">
        <v>6338</v>
      </c>
      <c r="H2304" s="6" t="s">
        <v>8893</v>
      </c>
    </row>
    <row r="2305" spans="1:8" ht="85" x14ac:dyDescent="0.2">
      <c r="A2305">
        <v>2303</v>
      </c>
      <c r="B2305" t="s">
        <v>1611</v>
      </c>
      <c r="C2305" t="s">
        <v>3051</v>
      </c>
      <c r="D2305" t="s">
        <v>3735</v>
      </c>
      <c r="E2305" t="s">
        <v>6337</v>
      </c>
      <c r="F2305" t="s">
        <v>4710</v>
      </c>
      <c r="G2305" t="s">
        <v>6339</v>
      </c>
      <c r="H2305" s="6" t="s">
        <v>8894</v>
      </c>
    </row>
    <row r="2306" spans="1:8" ht="85" x14ac:dyDescent="0.2">
      <c r="A2306">
        <v>2304</v>
      </c>
      <c r="B2306" t="s">
        <v>1611</v>
      </c>
      <c r="C2306" t="s">
        <v>3051</v>
      </c>
      <c r="D2306" t="s">
        <v>3735</v>
      </c>
      <c r="E2306" t="s">
        <v>6337</v>
      </c>
      <c r="F2306" t="s">
        <v>4710</v>
      </c>
      <c r="G2306" t="s">
        <v>6340</v>
      </c>
      <c r="H2306" s="6" t="s">
        <v>8895</v>
      </c>
    </row>
    <row r="2307" spans="1:8" ht="204" x14ac:dyDescent="0.2">
      <c r="A2307">
        <v>2305</v>
      </c>
      <c r="B2307" t="s">
        <v>1611</v>
      </c>
      <c r="C2307" t="s">
        <v>3051</v>
      </c>
      <c r="D2307" t="s">
        <v>3735</v>
      </c>
      <c r="E2307" t="s">
        <v>6337</v>
      </c>
      <c r="F2307" t="s">
        <v>4710</v>
      </c>
      <c r="G2307" t="s">
        <v>6341</v>
      </c>
      <c r="H2307" s="6" t="s">
        <v>8896</v>
      </c>
    </row>
    <row r="2308" spans="1:8" ht="85" x14ac:dyDescent="0.2">
      <c r="A2308">
        <v>2306</v>
      </c>
      <c r="B2308" t="s">
        <v>1611</v>
      </c>
      <c r="C2308" t="s">
        <v>3051</v>
      </c>
      <c r="D2308" t="s">
        <v>3735</v>
      </c>
      <c r="E2308" t="s">
        <v>6337</v>
      </c>
      <c r="F2308" t="s">
        <v>4710</v>
      </c>
      <c r="G2308" t="s">
        <v>6342</v>
      </c>
      <c r="H2308" s="6" t="s">
        <v>8897</v>
      </c>
    </row>
    <row r="2309" spans="1:8" ht="102" x14ac:dyDescent="0.2">
      <c r="A2309">
        <v>2307</v>
      </c>
      <c r="B2309" t="s">
        <v>1611</v>
      </c>
      <c r="C2309" t="s">
        <v>3051</v>
      </c>
      <c r="D2309" t="s">
        <v>3735</v>
      </c>
      <c r="E2309" t="s">
        <v>6337</v>
      </c>
      <c r="F2309" t="s">
        <v>4710</v>
      </c>
      <c r="G2309" t="s">
        <v>6343</v>
      </c>
      <c r="H2309" s="6" t="s">
        <v>8898</v>
      </c>
    </row>
    <row r="2310" spans="1:8" ht="102" x14ac:dyDescent="0.2">
      <c r="A2310">
        <v>2308</v>
      </c>
      <c r="B2310" t="s">
        <v>1611</v>
      </c>
      <c r="C2310" t="s">
        <v>3051</v>
      </c>
      <c r="D2310" t="s">
        <v>3735</v>
      </c>
      <c r="E2310" t="s">
        <v>6337</v>
      </c>
      <c r="F2310" t="s">
        <v>4710</v>
      </c>
      <c r="G2310" t="s">
        <v>6344</v>
      </c>
      <c r="H2310" s="6" t="s">
        <v>8899</v>
      </c>
    </row>
    <row r="2311" spans="1:8" ht="85" x14ac:dyDescent="0.2">
      <c r="A2311">
        <v>2309</v>
      </c>
      <c r="B2311" t="s">
        <v>1611</v>
      </c>
      <c r="C2311" t="s">
        <v>3051</v>
      </c>
      <c r="D2311" t="s">
        <v>3735</v>
      </c>
      <c r="E2311" t="s">
        <v>6337</v>
      </c>
      <c r="F2311" t="s">
        <v>4710</v>
      </c>
      <c r="G2311" t="s">
        <v>6345</v>
      </c>
      <c r="H2311" s="6" t="s">
        <v>8900</v>
      </c>
    </row>
    <row r="2312" spans="1:8" ht="119" x14ac:dyDescent="0.2">
      <c r="A2312">
        <v>2310</v>
      </c>
      <c r="B2312" t="s">
        <v>1611</v>
      </c>
      <c r="C2312" t="s">
        <v>3051</v>
      </c>
      <c r="D2312" t="s">
        <v>3735</v>
      </c>
      <c r="E2312" t="s">
        <v>6337</v>
      </c>
      <c r="F2312" t="s">
        <v>4710</v>
      </c>
      <c r="G2312" t="s">
        <v>6346</v>
      </c>
      <c r="H2312" s="6" t="s">
        <v>8901</v>
      </c>
    </row>
    <row r="2313" spans="1:8" ht="136" x14ac:dyDescent="0.2">
      <c r="A2313">
        <v>2311</v>
      </c>
      <c r="B2313" t="s">
        <v>1611</v>
      </c>
      <c r="C2313" t="s">
        <v>3051</v>
      </c>
      <c r="D2313" t="s">
        <v>3735</v>
      </c>
      <c r="E2313" t="s">
        <v>6337</v>
      </c>
      <c r="F2313" t="s">
        <v>4710</v>
      </c>
      <c r="G2313" t="s">
        <v>6347</v>
      </c>
      <c r="H2313" s="6" t="s">
        <v>8902</v>
      </c>
    </row>
    <row r="2314" spans="1:8" ht="204" x14ac:dyDescent="0.2">
      <c r="A2314">
        <v>2312</v>
      </c>
      <c r="B2314" t="s">
        <v>1611</v>
      </c>
      <c r="C2314" t="s">
        <v>3051</v>
      </c>
      <c r="D2314" t="s">
        <v>3735</v>
      </c>
      <c r="E2314" t="s">
        <v>6337</v>
      </c>
      <c r="F2314" t="s">
        <v>4710</v>
      </c>
      <c r="G2314" t="s">
        <v>6348</v>
      </c>
      <c r="H2314" s="6" t="s">
        <v>8903</v>
      </c>
    </row>
    <row r="2315" spans="1:8" ht="85" x14ac:dyDescent="0.2">
      <c r="A2315">
        <v>2313</v>
      </c>
      <c r="B2315" t="s">
        <v>1611</v>
      </c>
      <c r="C2315" t="s">
        <v>3051</v>
      </c>
      <c r="D2315" t="s">
        <v>3735</v>
      </c>
      <c r="E2315" t="s">
        <v>6337</v>
      </c>
      <c r="F2315" t="s">
        <v>4710</v>
      </c>
      <c r="G2315" t="s">
        <v>6349</v>
      </c>
      <c r="H2315" s="6" t="s">
        <v>8904</v>
      </c>
    </row>
    <row r="2316" spans="1:8" ht="102" x14ac:dyDescent="0.2">
      <c r="A2316">
        <v>2314</v>
      </c>
      <c r="B2316" t="s">
        <v>1611</v>
      </c>
      <c r="C2316" t="s">
        <v>3051</v>
      </c>
      <c r="D2316" t="s">
        <v>3735</v>
      </c>
      <c r="E2316" t="s">
        <v>6337</v>
      </c>
      <c r="F2316" t="s">
        <v>4710</v>
      </c>
      <c r="G2316" t="s">
        <v>6350</v>
      </c>
      <c r="H2316" s="6" t="s">
        <v>8905</v>
      </c>
    </row>
    <row r="2317" spans="1:8" ht="119" x14ac:dyDescent="0.2">
      <c r="A2317">
        <v>2315</v>
      </c>
      <c r="B2317" t="s">
        <v>1611</v>
      </c>
      <c r="C2317" t="s">
        <v>3051</v>
      </c>
      <c r="D2317" t="s">
        <v>3735</v>
      </c>
      <c r="E2317" t="s">
        <v>6337</v>
      </c>
      <c r="F2317" t="s">
        <v>4710</v>
      </c>
      <c r="G2317" t="s">
        <v>6351</v>
      </c>
      <c r="H2317" s="6" t="s">
        <v>8906</v>
      </c>
    </row>
    <row r="2318" spans="1:8" ht="102" x14ac:dyDescent="0.2">
      <c r="A2318">
        <v>2316</v>
      </c>
      <c r="B2318" t="s">
        <v>1611</v>
      </c>
      <c r="C2318" t="s">
        <v>3051</v>
      </c>
      <c r="D2318" t="s">
        <v>3735</v>
      </c>
      <c r="E2318" t="s">
        <v>6337</v>
      </c>
      <c r="F2318" t="s">
        <v>4710</v>
      </c>
      <c r="G2318" t="s">
        <v>6352</v>
      </c>
      <c r="H2318" s="6" t="s">
        <v>8907</v>
      </c>
    </row>
    <row r="2319" spans="1:8" ht="119" x14ac:dyDescent="0.2">
      <c r="A2319">
        <v>2317</v>
      </c>
      <c r="B2319" t="s">
        <v>1611</v>
      </c>
      <c r="C2319" t="s">
        <v>3051</v>
      </c>
      <c r="D2319" t="s">
        <v>3735</v>
      </c>
      <c r="E2319" t="s">
        <v>6337</v>
      </c>
      <c r="F2319" t="s">
        <v>4710</v>
      </c>
      <c r="G2319" t="s">
        <v>6353</v>
      </c>
      <c r="H2319" s="6" t="s">
        <v>8908</v>
      </c>
    </row>
    <row r="2320" spans="1:8" ht="136" x14ac:dyDescent="0.2">
      <c r="A2320">
        <v>2318</v>
      </c>
      <c r="B2320" t="s">
        <v>1611</v>
      </c>
      <c r="C2320" t="s">
        <v>3051</v>
      </c>
      <c r="D2320" t="s">
        <v>3735</v>
      </c>
      <c r="E2320" t="s">
        <v>6337</v>
      </c>
      <c r="F2320" t="s">
        <v>4710</v>
      </c>
      <c r="G2320" t="s">
        <v>6354</v>
      </c>
      <c r="H2320" s="6" t="s">
        <v>8909</v>
      </c>
    </row>
    <row r="2321" spans="1:8" ht="221" x14ac:dyDescent="0.2">
      <c r="A2321">
        <v>2319</v>
      </c>
      <c r="B2321" t="s">
        <v>1611</v>
      </c>
      <c r="C2321" t="s">
        <v>3051</v>
      </c>
      <c r="D2321" t="s">
        <v>3735</v>
      </c>
      <c r="E2321" t="s">
        <v>6337</v>
      </c>
      <c r="F2321" t="s">
        <v>4710</v>
      </c>
      <c r="G2321" t="s">
        <v>6355</v>
      </c>
      <c r="H2321" s="6" t="s">
        <v>8910</v>
      </c>
    </row>
    <row r="2322" spans="1:8" ht="119" x14ac:dyDescent="0.2">
      <c r="A2322">
        <v>2320</v>
      </c>
      <c r="B2322" t="s">
        <v>1611</v>
      </c>
      <c r="C2322" t="s">
        <v>3051</v>
      </c>
      <c r="D2322" t="s">
        <v>3735</v>
      </c>
      <c r="E2322" t="s">
        <v>6337</v>
      </c>
      <c r="F2322" t="s">
        <v>4710</v>
      </c>
      <c r="G2322" t="s">
        <v>6356</v>
      </c>
      <c r="H2322" s="6" t="s">
        <v>8911</v>
      </c>
    </row>
    <row r="2323" spans="1:8" ht="102" x14ac:dyDescent="0.2">
      <c r="A2323">
        <v>2321</v>
      </c>
      <c r="B2323" t="s">
        <v>1611</v>
      </c>
      <c r="C2323" t="s">
        <v>3051</v>
      </c>
      <c r="D2323" t="s">
        <v>3735</v>
      </c>
      <c r="E2323" t="s">
        <v>6337</v>
      </c>
      <c r="F2323" t="s">
        <v>4710</v>
      </c>
      <c r="G2323" t="s">
        <v>6357</v>
      </c>
      <c r="H2323" s="6" t="s">
        <v>8912</v>
      </c>
    </row>
    <row r="2324" spans="1:8" ht="153" x14ac:dyDescent="0.2">
      <c r="A2324">
        <v>2322</v>
      </c>
      <c r="B2324" t="s">
        <v>1611</v>
      </c>
      <c r="C2324" t="s">
        <v>3051</v>
      </c>
      <c r="D2324" t="s">
        <v>3735</v>
      </c>
      <c r="E2324" t="s">
        <v>6358</v>
      </c>
      <c r="F2324" t="s">
        <v>6308</v>
      </c>
      <c r="G2324" t="s">
        <v>6359</v>
      </c>
      <c r="H2324" s="6" t="s">
        <v>8913</v>
      </c>
    </row>
    <row r="2325" spans="1:8" ht="85" x14ac:dyDescent="0.2">
      <c r="A2325">
        <v>2323</v>
      </c>
      <c r="B2325" t="s">
        <v>1611</v>
      </c>
      <c r="C2325" t="s">
        <v>3051</v>
      </c>
      <c r="D2325" t="s">
        <v>3735</v>
      </c>
      <c r="E2325" t="s">
        <v>6358</v>
      </c>
      <c r="F2325" t="s">
        <v>6308</v>
      </c>
      <c r="G2325" t="s">
        <v>6360</v>
      </c>
      <c r="H2325" s="6" t="s">
        <v>8487</v>
      </c>
    </row>
    <row r="2326" spans="1:8" ht="102" x14ac:dyDescent="0.2">
      <c r="A2326">
        <v>2324</v>
      </c>
      <c r="B2326" t="s">
        <v>1611</v>
      </c>
      <c r="C2326" t="s">
        <v>3051</v>
      </c>
      <c r="D2326" t="s">
        <v>3735</v>
      </c>
      <c r="E2326" t="s">
        <v>6358</v>
      </c>
      <c r="F2326" t="s">
        <v>6308</v>
      </c>
      <c r="G2326" t="s">
        <v>6361</v>
      </c>
      <c r="H2326" s="6" t="s">
        <v>8488</v>
      </c>
    </row>
    <row r="2327" spans="1:8" ht="153" x14ac:dyDescent="0.2">
      <c r="A2327">
        <v>2325</v>
      </c>
      <c r="B2327" t="s">
        <v>1611</v>
      </c>
      <c r="C2327" t="s">
        <v>3051</v>
      </c>
      <c r="D2327" t="s">
        <v>3735</v>
      </c>
      <c r="E2327" t="s">
        <v>6358</v>
      </c>
      <c r="F2327" t="s">
        <v>6308</v>
      </c>
      <c r="G2327" t="s">
        <v>6362</v>
      </c>
      <c r="H2327" s="6" t="s">
        <v>8914</v>
      </c>
    </row>
    <row r="2328" spans="1:8" ht="85" x14ac:dyDescent="0.2">
      <c r="A2328">
        <v>2326</v>
      </c>
      <c r="B2328" t="s">
        <v>1611</v>
      </c>
      <c r="C2328" t="s">
        <v>3051</v>
      </c>
      <c r="D2328" t="s">
        <v>3735</v>
      </c>
      <c r="E2328" t="s">
        <v>6358</v>
      </c>
      <c r="F2328" t="s">
        <v>6308</v>
      </c>
      <c r="G2328" t="s">
        <v>6363</v>
      </c>
      <c r="H2328" s="6" t="s">
        <v>8490</v>
      </c>
    </row>
    <row r="2329" spans="1:8" ht="102" x14ac:dyDescent="0.2">
      <c r="A2329">
        <v>2327</v>
      </c>
      <c r="B2329" t="s">
        <v>1611</v>
      </c>
      <c r="C2329" t="s">
        <v>3051</v>
      </c>
      <c r="D2329" t="s">
        <v>3735</v>
      </c>
      <c r="E2329" t="s">
        <v>6358</v>
      </c>
      <c r="F2329" t="s">
        <v>6308</v>
      </c>
      <c r="G2329" t="s">
        <v>6364</v>
      </c>
      <c r="H2329" s="6" t="s">
        <v>8491</v>
      </c>
    </row>
    <row r="2330" spans="1:8" ht="102" x14ac:dyDescent="0.2">
      <c r="A2330">
        <v>2328</v>
      </c>
      <c r="B2330" t="s">
        <v>1611</v>
      </c>
      <c r="C2330" t="s">
        <v>3051</v>
      </c>
      <c r="D2330" t="s">
        <v>3735</v>
      </c>
      <c r="E2330" t="s">
        <v>6358</v>
      </c>
      <c r="F2330" t="s">
        <v>6308</v>
      </c>
      <c r="G2330" t="s">
        <v>6365</v>
      </c>
      <c r="H2330" s="6" t="s">
        <v>8492</v>
      </c>
    </row>
    <row r="2331" spans="1:8" ht="85" x14ac:dyDescent="0.2">
      <c r="A2331">
        <v>2329</v>
      </c>
      <c r="B2331" t="s">
        <v>1611</v>
      </c>
      <c r="C2331" t="s">
        <v>3051</v>
      </c>
      <c r="D2331" t="s">
        <v>3735</v>
      </c>
      <c r="E2331" t="s">
        <v>6358</v>
      </c>
      <c r="F2331" t="s">
        <v>6308</v>
      </c>
      <c r="G2331" t="s">
        <v>6366</v>
      </c>
      <c r="H2331" s="6" t="s">
        <v>8493</v>
      </c>
    </row>
    <row r="2332" spans="1:8" ht="85" x14ac:dyDescent="0.2">
      <c r="A2332">
        <v>2330</v>
      </c>
      <c r="B2332" t="s">
        <v>1611</v>
      </c>
      <c r="C2332" t="s">
        <v>3051</v>
      </c>
      <c r="D2332" t="s">
        <v>3735</v>
      </c>
      <c r="E2332" t="s">
        <v>6358</v>
      </c>
      <c r="F2332" t="s">
        <v>6308</v>
      </c>
      <c r="G2332" t="s">
        <v>6367</v>
      </c>
      <c r="H2332" s="6" t="s">
        <v>8494</v>
      </c>
    </row>
    <row r="2333" spans="1:8" ht="85" x14ac:dyDescent="0.2">
      <c r="A2333">
        <v>2331</v>
      </c>
      <c r="B2333" t="s">
        <v>1611</v>
      </c>
      <c r="C2333" t="s">
        <v>3051</v>
      </c>
      <c r="D2333" t="s">
        <v>3735</v>
      </c>
      <c r="E2333" t="s">
        <v>6358</v>
      </c>
      <c r="F2333" t="s">
        <v>6308</v>
      </c>
      <c r="G2333" t="s">
        <v>6368</v>
      </c>
      <c r="H2333" s="6" t="s">
        <v>8495</v>
      </c>
    </row>
    <row r="2334" spans="1:8" ht="238" x14ac:dyDescent="0.2">
      <c r="A2334">
        <v>2332</v>
      </c>
      <c r="B2334" t="s">
        <v>1611</v>
      </c>
      <c r="C2334" t="s">
        <v>3051</v>
      </c>
      <c r="D2334" t="s">
        <v>3735</v>
      </c>
      <c r="E2334" t="s">
        <v>6358</v>
      </c>
      <c r="F2334" t="s">
        <v>6308</v>
      </c>
      <c r="G2334" t="s">
        <v>6369</v>
      </c>
      <c r="H2334" s="6" t="s">
        <v>8915</v>
      </c>
    </row>
    <row r="2335" spans="1:8" ht="85" x14ac:dyDescent="0.2">
      <c r="A2335">
        <v>2333</v>
      </c>
      <c r="B2335" t="s">
        <v>1611</v>
      </c>
      <c r="C2335" t="s">
        <v>3051</v>
      </c>
      <c r="D2335" t="s">
        <v>3735</v>
      </c>
      <c r="E2335" t="s">
        <v>6358</v>
      </c>
      <c r="F2335" t="s">
        <v>6308</v>
      </c>
      <c r="G2335" t="s">
        <v>6370</v>
      </c>
      <c r="H2335" s="6" t="s">
        <v>8916</v>
      </c>
    </row>
    <row r="2336" spans="1:8" ht="85" x14ac:dyDescent="0.2">
      <c r="A2336">
        <v>2334</v>
      </c>
      <c r="B2336" t="s">
        <v>1611</v>
      </c>
      <c r="C2336" t="s">
        <v>3051</v>
      </c>
      <c r="D2336" t="s">
        <v>3735</v>
      </c>
      <c r="E2336" t="s">
        <v>6358</v>
      </c>
      <c r="F2336" t="s">
        <v>6308</v>
      </c>
      <c r="G2336" t="s">
        <v>6371</v>
      </c>
      <c r="H2336" s="6" t="s">
        <v>8917</v>
      </c>
    </row>
    <row r="2337" spans="1:8" ht="85" x14ac:dyDescent="0.2">
      <c r="A2337">
        <v>2335</v>
      </c>
      <c r="B2337" t="s">
        <v>1611</v>
      </c>
      <c r="C2337" t="s">
        <v>3051</v>
      </c>
      <c r="D2337" t="s">
        <v>3735</v>
      </c>
      <c r="E2337" t="s">
        <v>6372</v>
      </c>
      <c r="F2337" t="s">
        <v>6373</v>
      </c>
      <c r="G2337" t="s">
        <v>6374</v>
      </c>
      <c r="H2337" s="6" t="s">
        <v>8918</v>
      </c>
    </row>
    <row r="2338" spans="1:8" ht="85" x14ac:dyDescent="0.2">
      <c r="A2338">
        <v>2336</v>
      </c>
      <c r="B2338" t="s">
        <v>1611</v>
      </c>
      <c r="C2338" t="s">
        <v>3051</v>
      </c>
      <c r="D2338" t="s">
        <v>3735</v>
      </c>
      <c r="E2338" t="s">
        <v>6375</v>
      </c>
      <c r="F2338" t="s">
        <v>6376</v>
      </c>
      <c r="G2338" t="s">
        <v>6377</v>
      </c>
      <c r="H2338" s="6" t="s">
        <v>8919</v>
      </c>
    </row>
    <row r="2339" spans="1:8" ht="85" x14ac:dyDescent="0.2">
      <c r="A2339">
        <v>2337</v>
      </c>
      <c r="B2339" t="s">
        <v>1611</v>
      </c>
      <c r="C2339" t="s">
        <v>3051</v>
      </c>
      <c r="D2339" t="s">
        <v>3735</v>
      </c>
      <c r="E2339" t="s">
        <v>6375</v>
      </c>
      <c r="F2339" t="s">
        <v>6376</v>
      </c>
      <c r="G2339" t="s">
        <v>6378</v>
      </c>
      <c r="H2339" s="6" t="s">
        <v>8920</v>
      </c>
    </row>
    <row r="2340" spans="1:8" ht="85" x14ac:dyDescent="0.2">
      <c r="A2340">
        <v>2338</v>
      </c>
      <c r="B2340" t="s">
        <v>1611</v>
      </c>
      <c r="C2340" t="s">
        <v>3051</v>
      </c>
      <c r="D2340" t="s">
        <v>3735</v>
      </c>
      <c r="E2340" t="s">
        <v>6375</v>
      </c>
      <c r="F2340" t="s">
        <v>6376</v>
      </c>
      <c r="G2340" t="s">
        <v>6379</v>
      </c>
      <c r="H2340" s="6" t="s">
        <v>8919</v>
      </c>
    </row>
    <row r="2341" spans="1:8" ht="85" x14ac:dyDescent="0.2">
      <c r="A2341">
        <v>2339</v>
      </c>
      <c r="B2341" t="s">
        <v>1611</v>
      </c>
      <c r="C2341" t="s">
        <v>3051</v>
      </c>
      <c r="D2341" t="s">
        <v>3735</v>
      </c>
      <c r="E2341" t="s">
        <v>6375</v>
      </c>
      <c r="F2341" t="s">
        <v>6376</v>
      </c>
      <c r="G2341" t="s">
        <v>6380</v>
      </c>
      <c r="H2341" s="6" t="s">
        <v>8920</v>
      </c>
    </row>
    <row r="2342" spans="1:8" ht="102" x14ac:dyDescent="0.2">
      <c r="A2342">
        <v>2340</v>
      </c>
      <c r="B2342" t="s">
        <v>1611</v>
      </c>
      <c r="C2342" t="s">
        <v>3051</v>
      </c>
      <c r="D2342" t="s">
        <v>3735</v>
      </c>
      <c r="E2342" t="s">
        <v>6375</v>
      </c>
      <c r="F2342" t="s">
        <v>6376</v>
      </c>
      <c r="G2342" t="s">
        <v>6381</v>
      </c>
      <c r="H2342" s="6" t="s">
        <v>8921</v>
      </c>
    </row>
    <row r="2343" spans="1:8" ht="85" x14ac:dyDescent="0.2">
      <c r="A2343">
        <v>2341</v>
      </c>
      <c r="B2343" t="s">
        <v>1611</v>
      </c>
      <c r="C2343" t="s">
        <v>3051</v>
      </c>
      <c r="D2343" t="s">
        <v>3735</v>
      </c>
      <c r="E2343" t="s">
        <v>6375</v>
      </c>
      <c r="F2343" t="s">
        <v>6376</v>
      </c>
      <c r="G2343" t="s">
        <v>6382</v>
      </c>
      <c r="H2343" s="6" t="s">
        <v>8922</v>
      </c>
    </row>
    <row r="2344" spans="1:8" ht="85" x14ac:dyDescent="0.2">
      <c r="A2344">
        <v>2342</v>
      </c>
      <c r="B2344" t="s">
        <v>1611</v>
      </c>
      <c r="C2344" t="s">
        <v>3051</v>
      </c>
      <c r="D2344" t="s">
        <v>3735</v>
      </c>
      <c r="E2344" t="s">
        <v>6375</v>
      </c>
      <c r="F2344" t="s">
        <v>6376</v>
      </c>
      <c r="G2344" t="s">
        <v>6383</v>
      </c>
      <c r="H2344" s="6" t="s">
        <v>8919</v>
      </c>
    </row>
    <row r="2345" spans="1:8" ht="85" x14ac:dyDescent="0.2">
      <c r="A2345">
        <v>2343</v>
      </c>
      <c r="B2345" t="s">
        <v>1611</v>
      </c>
      <c r="C2345" t="s">
        <v>3051</v>
      </c>
      <c r="D2345" t="s">
        <v>3735</v>
      </c>
      <c r="E2345" t="s">
        <v>6375</v>
      </c>
      <c r="F2345" t="s">
        <v>6376</v>
      </c>
      <c r="G2345" t="s">
        <v>6384</v>
      </c>
      <c r="H2345" s="6" t="s">
        <v>8923</v>
      </c>
    </row>
    <row r="2346" spans="1:8" ht="85" x14ac:dyDescent="0.2">
      <c r="A2346">
        <v>2344</v>
      </c>
      <c r="B2346" t="s">
        <v>1611</v>
      </c>
      <c r="C2346" t="s">
        <v>3051</v>
      </c>
      <c r="D2346" t="s">
        <v>3735</v>
      </c>
      <c r="E2346" t="s">
        <v>6375</v>
      </c>
      <c r="F2346" t="s">
        <v>6376</v>
      </c>
      <c r="G2346" t="s">
        <v>6385</v>
      </c>
      <c r="H2346" s="6" t="s">
        <v>8919</v>
      </c>
    </row>
    <row r="2347" spans="1:8" ht="85" x14ac:dyDescent="0.2">
      <c r="A2347">
        <v>2345</v>
      </c>
      <c r="B2347" t="s">
        <v>1611</v>
      </c>
      <c r="C2347" t="s">
        <v>3051</v>
      </c>
      <c r="D2347" t="s">
        <v>3735</v>
      </c>
      <c r="E2347" t="s">
        <v>6375</v>
      </c>
      <c r="F2347" t="s">
        <v>6376</v>
      </c>
      <c r="G2347" t="s">
        <v>6386</v>
      </c>
      <c r="H2347" s="6" t="s">
        <v>8920</v>
      </c>
    </row>
    <row r="2348" spans="1:8" ht="85" x14ac:dyDescent="0.2">
      <c r="A2348">
        <v>2346</v>
      </c>
      <c r="B2348" t="s">
        <v>1611</v>
      </c>
      <c r="C2348" t="s">
        <v>3051</v>
      </c>
      <c r="D2348" t="s">
        <v>3735</v>
      </c>
      <c r="E2348" t="s">
        <v>6375</v>
      </c>
      <c r="F2348" t="s">
        <v>6376</v>
      </c>
      <c r="G2348" t="s">
        <v>6387</v>
      </c>
      <c r="H2348" s="6" t="s">
        <v>8924</v>
      </c>
    </row>
    <row r="2349" spans="1:8" ht="102" x14ac:dyDescent="0.2">
      <c r="A2349">
        <v>2347</v>
      </c>
      <c r="B2349" t="s">
        <v>1611</v>
      </c>
      <c r="C2349" t="s">
        <v>3051</v>
      </c>
      <c r="D2349" t="s">
        <v>3735</v>
      </c>
      <c r="E2349" t="s">
        <v>6375</v>
      </c>
      <c r="F2349" t="s">
        <v>6376</v>
      </c>
      <c r="G2349" t="s">
        <v>6388</v>
      </c>
      <c r="H2349" s="6" t="s">
        <v>8925</v>
      </c>
    </row>
    <row r="2350" spans="1:8" ht="204" x14ac:dyDescent="0.2">
      <c r="A2350">
        <v>2348</v>
      </c>
      <c r="B2350" t="s">
        <v>1611</v>
      </c>
      <c r="C2350" t="s">
        <v>3051</v>
      </c>
      <c r="D2350" t="s">
        <v>3735</v>
      </c>
      <c r="E2350" t="s">
        <v>6389</v>
      </c>
      <c r="F2350" t="s">
        <v>6390</v>
      </c>
      <c r="G2350" t="s">
        <v>6391</v>
      </c>
      <c r="H2350" s="6" t="s">
        <v>8926</v>
      </c>
    </row>
    <row r="2351" spans="1:8" ht="221" x14ac:dyDescent="0.2">
      <c r="A2351">
        <v>2349</v>
      </c>
      <c r="B2351" t="s">
        <v>1611</v>
      </c>
      <c r="C2351" t="s">
        <v>3051</v>
      </c>
      <c r="D2351" t="s">
        <v>3735</v>
      </c>
      <c r="E2351" t="s">
        <v>6389</v>
      </c>
      <c r="F2351" t="s">
        <v>6390</v>
      </c>
      <c r="G2351" t="s">
        <v>6392</v>
      </c>
      <c r="H2351" s="6" t="s">
        <v>8927</v>
      </c>
    </row>
    <row r="2352" spans="1:8" ht="85" x14ac:dyDescent="0.2">
      <c r="A2352">
        <v>2350</v>
      </c>
      <c r="B2352" t="s">
        <v>1611</v>
      </c>
      <c r="C2352" t="s">
        <v>3051</v>
      </c>
      <c r="D2352" t="s">
        <v>3735</v>
      </c>
      <c r="E2352" t="s">
        <v>6393</v>
      </c>
      <c r="F2352" t="s">
        <v>6394</v>
      </c>
      <c r="G2352" t="s">
        <v>6395</v>
      </c>
      <c r="H2352" s="6" t="s">
        <v>8928</v>
      </c>
    </row>
    <row r="2353" spans="1:8" ht="85" x14ac:dyDescent="0.2">
      <c r="A2353">
        <v>2351</v>
      </c>
      <c r="B2353" t="s">
        <v>1611</v>
      </c>
      <c r="C2353" t="s">
        <v>3051</v>
      </c>
      <c r="D2353" t="s">
        <v>3735</v>
      </c>
      <c r="E2353" t="s">
        <v>6396</v>
      </c>
      <c r="F2353" t="s">
        <v>6397</v>
      </c>
      <c r="G2353" t="s">
        <v>6398</v>
      </c>
      <c r="H2353" s="6" t="s">
        <v>8929</v>
      </c>
    </row>
    <row r="2354" spans="1:8" ht="85" x14ac:dyDescent="0.2">
      <c r="A2354">
        <v>2352</v>
      </c>
      <c r="B2354" t="s">
        <v>1611</v>
      </c>
      <c r="C2354" t="s">
        <v>3051</v>
      </c>
      <c r="D2354" t="s">
        <v>3735</v>
      </c>
      <c r="E2354" t="s">
        <v>6396</v>
      </c>
      <c r="F2354" t="s">
        <v>6397</v>
      </c>
      <c r="G2354" t="s">
        <v>6399</v>
      </c>
      <c r="H2354" s="6" t="s">
        <v>8930</v>
      </c>
    </row>
    <row r="2355" spans="1:8" ht="170" x14ac:dyDescent="0.2">
      <c r="A2355">
        <v>2353</v>
      </c>
      <c r="B2355" t="s">
        <v>1611</v>
      </c>
      <c r="C2355" t="s">
        <v>3051</v>
      </c>
      <c r="D2355" t="s">
        <v>3735</v>
      </c>
      <c r="E2355" t="s">
        <v>6396</v>
      </c>
      <c r="F2355" t="s">
        <v>6397</v>
      </c>
      <c r="G2355" t="s">
        <v>6400</v>
      </c>
      <c r="H2355" s="6" t="s">
        <v>8931</v>
      </c>
    </row>
    <row r="2356" spans="1:8" ht="85" x14ac:dyDescent="0.2">
      <c r="A2356">
        <v>2354</v>
      </c>
      <c r="B2356" t="s">
        <v>1611</v>
      </c>
      <c r="C2356" t="s">
        <v>3051</v>
      </c>
      <c r="D2356" t="s">
        <v>3735</v>
      </c>
      <c r="E2356" t="s">
        <v>6396</v>
      </c>
      <c r="F2356" t="s">
        <v>6397</v>
      </c>
      <c r="G2356" t="s">
        <v>6401</v>
      </c>
      <c r="H2356" s="6" t="s">
        <v>8932</v>
      </c>
    </row>
    <row r="2357" spans="1:8" ht="255" x14ac:dyDescent="0.2">
      <c r="A2357">
        <v>2355</v>
      </c>
      <c r="B2357" t="s">
        <v>1611</v>
      </c>
      <c r="C2357" t="s">
        <v>3051</v>
      </c>
      <c r="D2357" t="s">
        <v>3735</v>
      </c>
      <c r="E2357" t="s">
        <v>6396</v>
      </c>
      <c r="F2357" t="s">
        <v>6397</v>
      </c>
      <c r="G2357" t="s">
        <v>6402</v>
      </c>
      <c r="H2357" s="6" t="s">
        <v>8933</v>
      </c>
    </row>
    <row r="2358" spans="1:8" ht="85" x14ac:dyDescent="0.2">
      <c r="A2358">
        <v>2356</v>
      </c>
      <c r="B2358" t="s">
        <v>1611</v>
      </c>
      <c r="C2358" t="s">
        <v>3051</v>
      </c>
      <c r="D2358" t="s">
        <v>3735</v>
      </c>
      <c r="E2358" t="s">
        <v>6396</v>
      </c>
      <c r="F2358" t="s">
        <v>6397</v>
      </c>
      <c r="G2358" t="s">
        <v>6403</v>
      </c>
      <c r="H2358" s="6" t="s">
        <v>8934</v>
      </c>
    </row>
    <row r="2359" spans="1:8" ht="85" x14ac:dyDescent="0.2">
      <c r="A2359">
        <v>2357</v>
      </c>
      <c r="B2359" t="s">
        <v>1611</v>
      </c>
      <c r="C2359" t="s">
        <v>3051</v>
      </c>
      <c r="D2359" t="s">
        <v>3735</v>
      </c>
      <c r="E2359" t="s">
        <v>6396</v>
      </c>
      <c r="F2359" t="s">
        <v>6397</v>
      </c>
      <c r="G2359" t="s">
        <v>6404</v>
      </c>
      <c r="H2359" s="6" t="s">
        <v>8935</v>
      </c>
    </row>
    <row r="2360" spans="1:8" ht="85" x14ac:dyDescent="0.2">
      <c r="A2360">
        <v>2358</v>
      </c>
      <c r="B2360" t="s">
        <v>1611</v>
      </c>
      <c r="C2360" t="s">
        <v>3051</v>
      </c>
      <c r="D2360" t="s">
        <v>3735</v>
      </c>
      <c r="E2360" t="s">
        <v>6396</v>
      </c>
      <c r="F2360" t="s">
        <v>6397</v>
      </c>
      <c r="G2360" t="s">
        <v>6405</v>
      </c>
      <c r="H2360" s="6" t="s">
        <v>8936</v>
      </c>
    </row>
    <row r="2361" spans="1:8" ht="85" x14ac:dyDescent="0.2">
      <c r="A2361">
        <v>2359</v>
      </c>
      <c r="B2361" t="s">
        <v>1611</v>
      </c>
      <c r="C2361" t="s">
        <v>3051</v>
      </c>
      <c r="D2361" t="s">
        <v>3735</v>
      </c>
      <c r="E2361" t="s">
        <v>6396</v>
      </c>
      <c r="F2361" t="s">
        <v>6397</v>
      </c>
      <c r="G2361" t="s">
        <v>6406</v>
      </c>
      <c r="H2361" s="6" t="s">
        <v>8937</v>
      </c>
    </row>
    <row r="2362" spans="1:8" ht="102" x14ac:dyDescent="0.2">
      <c r="A2362">
        <v>2360</v>
      </c>
      <c r="B2362" t="s">
        <v>1611</v>
      </c>
      <c r="C2362" t="s">
        <v>3051</v>
      </c>
      <c r="D2362" t="s">
        <v>3735</v>
      </c>
      <c r="E2362" t="s">
        <v>6396</v>
      </c>
      <c r="F2362" t="s">
        <v>6397</v>
      </c>
      <c r="G2362" t="s">
        <v>6407</v>
      </c>
      <c r="H2362" s="6" t="s">
        <v>8938</v>
      </c>
    </row>
    <row r="2363" spans="1:8" ht="85" x14ac:dyDescent="0.2">
      <c r="A2363">
        <v>2361</v>
      </c>
      <c r="B2363" t="s">
        <v>1611</v>
      </c>
      <c r="C2363" t="s">
        <v>3051</v>
      </c>
      <c r="D2363" t="s">
        <v>3735</v>
      </c>
      <c r="E2363" t="s">
        <v>6396</v>
      </c>
      <c r="F2363" t="s">
        <v>6397</v>
      </c>
      <c r="G2363" t="s">
        <v>6408</v>
      </c>
      <c r="H2363" s="6" t="s">
        <v>8939</v>
      </c>
    </row>
    <row r="2364" spans="1:8" ht="119" x14ac:dyDescent="0.2">
      <c r="A2364">
        <v>2362</v>
      </c>
      <c r="B2364" t="s">
        <v>1611</v>
      </c>
      <c r="C2364" t="s">
        <v>3051</v>
      </c>
      <c r="D2364" t="s">
        <v>3735</v>
      </c>
      <c r="E2364" t="s">
        <v>6409</v>
      </c>
      <c r="F2364" t="s">
        <v>6410</v>
      </c>
      <c r="G2364" t="s">
        <v>6411</v>
      </c>
      <c r="H2364" s="6" t="s">
        <v>8940</v>
      </c>
    </row>
    <row r="2365" spans="1:8" ht="136" x14ac:dyDescent="0.2">
      <c r="A2365">
        <v>2363</v>
      </c>
      <c r="B2365" t="s">
        <v>1611</v>
      </c>
      <c r="C2365" t="s">
        <v>3051</v>
      </c>
      <c r="D2365" t="s">
        <v>3735</v>
      </c>
      <c r="E2365" t="s">
        <v>6409</v>
      </c>
      <c r="F2365" t="s">
        <v>6410</v>
      </c>
      <c r="G2365" t="s">
        <v>6412</v>
      </c>
      <c r="H2365" s="6" t="s">
        <v>8941</v>
      </c>
    </row>
    <row r="2366" spans="1:8" ht="119" x14ac:dyDescent="0.2">
      <c r="A2366">
        <v>2364</v>
      </c>
      <c r="B2366" t="s">
        <v>1611</v>
      </c>
      <c r="C2366" t="s">
        <v>3051</v>
      </c>
      <c r="D2366" t="s">
        <v>3735</v>
      </c>
      <c r="E2366" t="s">
        <v>6409</v>
      </c>
      <c r="F2366" t="s">
        <v>6410</v>
      </c>
      <c r="G2366" t="s">
        <v>6413</v>
      </c>
      <c r="H2366" s="6" t="s">
        <v>8942</v>
      </c>
    </row>
    <row r="2367" spans="1:8" ht="119" x14ac:dyDescent="0.2">
      <c r="A2367">
        <v>2365</v>
      </c>
      <c r="B2367" t="s">
        <v>1611</v>
      </c>
      <c r="C2367" t="s">
        <v>3051</v>
      </c>
      <c r="D2367" t="s">
        <v>3735</v>
      </c>
      <c r="E2367" t="s">
        <v>6409</v>
      </c>
      <c r="F2367" t="s">
        <v>6410</v>
      </c>
      <c r="G2367" t="s">
        <v>6414</v>
      </c>
      <c r="H2367" s="6" t="s">
        <v>8943</v>
      </c>
    </row>
    <row r="2368" spans="1:8" ht="102" x14ac:dyDescent="0.2">
      <c r="A2368">
        <v>2366</v>
      </c>
      <c r="B2368" t="s">
        <v>1611</v>
      </c>
      <c r="C2368" t="s">
        <v>3051</v>
      </c>
      <c r="D2368" t="s">
        <v>3735</v>
      </c>
      <c r="E2368" t="s">
        <v>6409</v>
      </c>
      <c r="F2368" t="s">
        <v>6410</v>
      </c>
      <c r="G2368" t="s">
        <v>6415</v>
      </c>
      <c r="H2368" s="6" t="s">
        <v>8944</v>
      </c>
    </row>
    <row r="2369" spans="1:8" ht="85" x14ac:dyDescent="0.2">
      <c r="A2369">
        <v>2367</v>
      </c>
      <c r="B2369" t="s">
        <v>1611</v>
      </c>
      <c r="C2369" t="s">
        <v>3051</v>
      </c>
      <c r="D2369" t="s">
        <v>3735</v>
      </c>
      <c r="E2369" t="s">
        <v>6409</v>
      </c>
      <c r="F2369" t="s">
        <v>6410</v>
      </c>
      <c r="G2369" t="s">
        <v>6416</v>
      </c>
      <c r="H2369" s="6" t="s">
        <v>8945</v>
      </c>
    </row>
    <row r="2370" spans="1:8" ht="119" x14ac:dyDescent="0.2">
      <c r="A2370">
        <v>2368</v>
      </c>
      <c r="B2370" t="s">
        <v>1611</v>
      </c>
      <c r="C2370" t="s">
        <v>3051</v>
      </c>
      <c r="D2370" t="s">
        <v>3735</v>
      </c>
      <c r="E2370" t="s">
        <v>6409</v>
      </c>
      <c r="F2370" t="s">
        <v>6410</v>
      </c>
      <c r="G2370" t="s">
        <v>6417</v>
      </c>
      <c r="H2370" s="6" t="s">
        <v>8946</v>
      </c>
    </row>
    <row r="2371" spans="1:8" ht="119" x14ac:dyDescent="0.2">
      <c r="A2371">
        <v>2369</v>
      </c>
      <c r="B2371" t="s">
        <v>1611</v>
      </c>
      <c r="C2371" t="s">
        <v>3051</v>
      </c>
      <c r="D2371" t="s">
        <v>3735</v>
      </c>
      <c r="E2371" t="s">
        <v>6409</v>
      </c>
      <c r="F2371" t="s">
        <v>6410</v>
      </c>
      <c r="G2371" t="s">
        <v>6418</v>
      </c>
      <c r="H2371" s="6" t="s">
        <v>8947</v>
      </c>
    </row>
    <row r="2372" spans="1:8" ht="136" x14ac:dyDescent="0.2">
      <c r="A2372">
        <v>2370</v>
      </c>
      <c r="B2372" t="s">
        <v>1611</v>
      </c>
      <c r="C2372" t="s">
        <v>3051</v>
      </c>
      <c r="D2372" t="s">
        <v>3735</v>
      </c>
      <c r="E2372" t="s">
        <v>6409</v>
      </c>
      <c r="F2372" t="s">
        <v>6410</v>
      </c>
      <c r="G2372" t="s">
        <v>6419</v>
      </c>
      <c r="H2372" s="6" t="s">
        <v>8948</v>
      </c>
    </row>
    <row r="2373" spans="1:8" ht="153" x14ac:dyDescent="0.2">
      <c r="A2373">
        <v>2371</v>
      </c>
      <c r="B2373" t="s">
        <v>1611</v>
      </c>
      <c r="C2373" t="s">
        <v>3051</v>
      </c>
      <c r="D2373" t="s">
        <v>3735</v>
      </c>
      <c r="E2373" t="s">
        <v>6409</v>
      </c>
      <c r="F2373" t="s">
        <v>6410</v>
      </c>
      <c r="G2373" t="s">
        <v>6420</v>
      </c>
      <c r="H2373" s="6" t="s">
        <v>8949</v>
      </c>
    </row>
    <row r="2374" spans="1:8" ht="136" x14ac:dyDescent="0.2">
      <c r="A2374">
        <v>2372</v>
      </c>
      <c r="B2374" t="s">
        <v>1611</v>
      </c>
      <c r="C2374" t="s">
        <v>3051</v>
      </c>
      <c r="D2374" t="s">
        <v>3735</v>
      </c>
      <c r="E2374" t="s">
        <v>6409</v>
      </c>
      <c r="F2374" t="s">
        <v>6410</v>
      </c>
      <c r="G2374" t="s">
        <v>6421</v>
      </c>
      <c r="H2374" s="6" t="s">
        <v>8950</v>
      </c>
    </row>
    <row r="2375" spans="1:8" ht="136" x14ac:dyDescent="0.2">
      <c r="A2375">
        <v>2373</v>
      </c>
      <c r="B2375" t="s">
        <v>1611</v>
      </c>
      <c r="C2375" t="s">
        <v>3051</v>
      </c>
      <c r="D2375" t="s">
        <v>3735</v>
      </c>
      <c r="E2375" t="s">
        <v>6409</v>
      </c>
      <c r="F2375" t="s">
        <v>6410</v>
      </c>
      <c r="G2375" t="s">
        <v>6422</v>
      </c>
      <c r="H2375" s="6" t="s">
        <v>8951</v>
      </c>
    </row>
    <row r="2376" spans="1:8" ht="136" x14ac:dyDescent="0.2">
      <c r="A2376">
        <v>2374</v>
      </c>
      <c r="B2376" t="s">
        <v>1611</v>
      </c>
      <c r="C2376" t="s">
        <v>3051</v>
      </c>
      <c r="D2376" t="s">
        <v>3735</v>
      </c>
      <c r="E2376" t="s">
        <v>6409</v>
      </c>
      <c r="F2376" t="s">
        <v>6410</v>
      </c>
      <c r="G2376" t="s">
        <v>6423</v>
      </c>
      <c r="H2376" s="6" t="s">
        <v>8952</v>
      </c>
    </row>
    <row r="2377" spans="1:8" ht="119" x14ac:dyDescent="0.2">
      <c r="A2377">
        <v>2375</v>
      </c>
      <c r="B2377" t="s">
        <v>1611</v>
      </c>
      <c r="C2377" t="s">
        <v>3051</v>
      </c>
      <c r="D2377" t="s">
        <v>3735</v>
      </c>
      <c r="E2377" t="s">
        <v>6409</v>
      </c>
      <c r="F2377" t="s">
        <v>6410</v>
      </c>
      <c r="G2377" t="s">
        <v>6424</v>
      </c>
      <c r="H2377" s="6" t="s">
        <v>8953</v>
      </c>
    </row>
    <row r="2378" spans="1:8" ht="102" x14ac:dyDescent="0.2">
      <c r="A2378">
        <v>2376</v>
      </c>
      <c r="B2378" t="s">
        <v>1611</v>
      </c>
      <c r="C2378" t="s">
        <v>3051</v>
      </c>
      <c r="D2378" t="s">
        <v>3735</v>
      </c>
      <c r="E2378" t="s">
        <v>6409</v>
      </c>
      <c r="F2378" t="s">
        <v>6410</v>
      </c>
      <c r="G2378" t="s">
        <v>6425</v>
      </c>
      <c r="H2378" s="6" t="s">
        <v>8954</v>
      </c>
    </row>
    <row r="2379" spans="1:8" ht="153" x14ac:dyDescent="0.2">
      <c r="A2379">
        <v>2377</v>
      </c>
      <c r="B2379" t="s">
        <v>1611</v>
      </c>
      <c r="C2379" t="s">
        <v>3051</v>
      </c>
      <c r="D2379" t="s">
        <v>3735</v>
      </c>
      <c r="E2379" t="s">
        <v>6409</v>
      </c>
      <c r="F2379" t="s">
        <v>6410</v>
      </c>
      <c r="G2379" t="s">
        <v>6426</v>
      </c>
      <c r="H2379" s="6" t="s">
        <v>8955</v>
      </c>
    </row>
    <row r="2380" spans="1:8" ht="170" x14ac:dyDescent="0.2">
      <c r="A2380">
        <v>2378</v>
      </c>
      <c r="B2380" t="s">
        <v>1611</v>
      </c>
      <c r="C2380" t="s">
        <v>3051</v>
      </c>
      <c r="D2380" t="s">
        <v>3735</v>
      </c>
      <c r="E2380" t="s">
        <v>6409</v>
      </c>
      <c r="F2380" t="s">
        <v>6410</v>
      </c>
      <c r="G2380" t="s">
        <v>6427</v>
      </c>
      <c r="H2380" s="6" t="s">
        <v>8956</v>
      </c>
    </row>
    <row r="2381" spans="1:8" ht="102" x14ac:dyDescent="0.2">
      <c r="A2381">
        <v>2379</v>
      </c>
      <c r="B2381" t="s">
        <v>1611</v>
      </c>
      <c r="C2381" t="s">
        <v>3051</v>
      </c>
      <c r="D2381" t="s">
        <v>3735</v>
      </c>
      <c r="E2381" t="s">
        <v>6409</v>
      </c>
      <c r="F2381" t="s">
        <v>6410</v>
      </c>
      <c r="G2381" t="s">
        <v>6428</v>
      </c>
      <c r="H2381" s="6" t="s">
        <v>8957</v>
      </c>
    </row>
    <row r="2382" spans="1:8" ht="136" x14ac:dyDescent="0.2">
      <c r="A2382">
        <v>2380</v>
      </c>
      <c r="B2382" t="s">
        <v>1611</v>
      </c>
      <c r="C2382" t="s">
        <v>3051</v>
      </c>
      <c r="D2382" t="s">
        <v>3735</v>
      </c>
      <c r="E2382" t="s">
        <v>6409</v>
      </c>
      <c r="F2382" t="s">
        <v>6410</v>
      </c>
      <c r="G2382" t="s">
        <v>6429</v>
      </c>
      <c r="H2382" s="6" t="s">
        <v>8958</v>
      </c>
    </row>
    <row r="2383" spans="1:8" ht="119" x14ac:dyDescent="0.2">
      <c r="A2383">
        <v>2381</v>
      </c>
      <c r="B2383" t="s">
        <v>1611</v>
      </c>
      <c r="C2383" t="s">
        <v>3051</v>
      </c>
      <c r="D2383" t="s">
        <v>3735</v>
      </c>
      <c r="E2383" t="s">
        <v>6409</v>
      </c>
      <c r="F2383" t="s">
        <v>6410</v>
      </c>
      <c r="G2383" t="s">
        <v>6430</v>
      </c>
      <c r="H2383" s="6" t="s">
        <v>8942</v>
      </c>
    </row>
    <row r="2384" spans="1:8" ht="136" x14ac:dyDescent="0.2">
      <c r="A2384">
        <v>2382</v>
      </c>
      <c r="B2384" t="s">
        <v>1611</v>
      </c>
      <c r="C2384" t="s">
        <v>3051</v>
      </c>
      <c r="D2384" t="s">
        <v>3735</v>
      </c>
      <c r="E2384" t="s">
        <v>6409</v>
      </c>
      <c r="F2384" t="s">
        <v>6410</v>
      </c>
      <c r="G2384" t="s">
        <v>6431</v>
      </c>
      <c r="H2384" s="6" t="s">
        <v>8959</v>
      </c>
    </row>
    <row r="2385" spans="1:8" ht="119" x14ac:dyDescent="0.2">
      <c r="A2385">
        <v>2383</v>
      </c>
      <c r="B2385" t="s">
        <v>1611</v>
      </c>
      <c r="C2385" t="s">
        <v>3051</v>
      </c>
      <c r="D2385" t="s">
        <v>3735</v>
      </c>
      <c r="E2385" t="s">
        <v>6409</v>
      </c>
      <c r="F2385" t="s">
        <v>6410</v>
      </c>
      <c r="G2385" t="s">
        <v>6432</v>
      </c>
      <c r="H2385" s="6" t="s">
        <v>8960</v>
      </c>
    </row>
    <row r="2386" spans="1:8" ht="85" x14ac:dyDescent="0.2">
      <c r="A2386">
        <v>2384</v>
      </c>
      <c r="B2386" t="s">
        <v>1611</v>
      </c>
      <c r="C2386" t="s">
        <v>3051</v>
      </c>
      <c r="D2386" t="s">
        <v>3735</v>
      </c>
      <c r="E2386" t="s">
        <v>6409</v>
      </c>
      <c r="F2386" t="s">
        <v>6410</v>
      </c>
      <c r="G2386" t="s">
        <v>6433</v>
      </c>
      <c r="H2386" s="6" t="s">
        <v>8945</v>
      </c>
    </row>
    <row r="2387" spans="1:8" ht="119" x14ac:dyDescent="0.2">
      <c r="A2387">
        <v>2385</v>
      </c>
      <c r="B2387" t="s">
        <v>1611</v>
      </c>
      <c r="C2387" t="s">
        <v>3051</v>
      </c>
      <c r="D2387" t="s">
        <v>3735</v>
      </c>
      <c r="E2387" t="s">
        <v>6409</v>
      </c>
      <c r="F2387" t="s">
        <v>6410</v>
      </c>
      <c r="G2387" t="s">
        <v>6434</v>
      </c>
      <c r="H2387" s="6" t="s">
        <v>8946</v>
      </c>
    </row>
    <row r="2388" spans="1:8" ht="102" x14ac:dyDescent="0.2">
      <c r="A2388">
        <v>2386</v>
      </c>
      <c r="B2388" t="s">
        <v>1611</v>
      </c>
      <c r="C2388" t="s">
        <v>3051</v>
      </c>
      <c r="D2388" t="s">
        <v>3735</v>
      </c>
      <c r="E2388" t="s">
        <v>6409</v>
      </c>
      <c r="F2388" t="s">
        <v>6410</v>
      </c>
      <c r="G2388" t="s">
        <v>6435</v>
      </c>
      <c r="H2388" s="6" t="s">
        <v>8961</v>
      </c>
    </row>
    <row r="2389" spans="1:8" ht="119" x14ac:dyDescent="0.2">
      <c r="A2389">
        <v>2387</v>
      </c>
      <c r="B2389" t="s">
        <v>1611</v>
      </c>
      <c r="C2389" t="s">
        <v>3051</v>
      </c>
      <c r="D2389" t="s">
        <v>3735</v>
      </c>
      <c r="E2389" t="s">
        <v>6409</v>
      </c>
      <c r="F2389" t="s">
        <v>6410</v>
      </c>
      <c r="G2389" t="s">
        <v>6436</v>
      </c>
      <c r="H2389" s="6" t="s">
        <v>8962</v>
      </c>
    </row>
    <row r="2390" spans="1:8" ht="153" x14ac:dyDescent="0.2">
      <c r="A2390">
        <v>2388</v>
      </c>
      <c r="B2390" t="s">
        <v>1611</v>
      </c>
      <c r="C2390" t="s">
        <v>3051</v>
      </c>
      <c r="D2390" t="s">
        <v>3735</v>
      </c>
      <c r="E2390" t="s">
        <v>6409</v>
      </c>
      <c r="F2390" t="s">
        <v>6410</v>
      </c>
      <c r="G2390" t="s">
        <v>6437</v>
      </c>
      <c r="H2390" s="6" t="s">
        <v>8949</v>
      </c>
    </row>
    <row r="2391" spans="1:8" ht="136" x14ac:dyDescent="0.2">
      <c r="A2391">
        <v>2389</v>
      </c>
      <c r="B2391" t="s">
        <v>1611</v>
      </c>
      <c r="C2391" t="s">
        <v>3051</v>
      </c>
      <c r="D2391" t="s">
        <v>3735</v>
      </c>
      <c r="E2391" t="s">
        <v>6409</v>
      </c>
      <c r="F2391" t="s">
        <v>6410</v>
      </c>
      <c r="G2391" t="s">
        <v>6438</v>
      </c>
      <c r="H2391" s="6" t="s">
        <v>8950</v>
      </c>
    </row>
    <row r="2392" spans="1:8" ht="136" x14ac:dyDescent="0.2">
      <c r="A2392">
        <v>2390</v>
      </c>
      <c r="B2392" t="s">
        <v>1611</v>
      </c>
      <c r="C2392" t="s">
        <v>3051</v>
      </c>
      <c r="D2392" t="s">
        <v>3735</v>
      </c>
      <c r="E2392" t="s">
        <v>6409</v>
      </c>
      <c r="F2392" t="s">
        <v>6410</v>
      </c>
      <c r="G2392" t="s">
        <v>6439</v>
      </c>
      <c r="H2392" s="6" t="s">
        <v>8951</v>
      </c>
    </row>
    <row r="2393" spans="1:8" ht="136" x14ac:dyDescent="0.2">
      <c r="A2393">
        <v>2391</v>
      </c>
      <c r="B2393" t="s">
        <v>1611</v>
      </c>
      <c r="C2393" t="s">
        <v>3051</v>
      </c>
      <c r="D2393" t="s">
        <v>3735</v>
      </c>
      <c r="E2393" t="s">
        <v>6409</v>
      </c>
      <c r="F2393" t="s">
        <v>6410</v>
      </c>
      <c r="G2393" t="s">
        <v>6440</v>
      </c>
      <c r="H2393" s="6" t="s">
        <v>8952</v>
      </c>
    </row>
    <row r="2394" spans="1:8" ht="136" x14ac:dyDescent="0.2">
      <c r="A2394">
        <v>2392</v>
      </c>
      <c r="B2394" t="s">
        <v>1611</v>
      </c>
      <c r="C2394" t="s">
        <v>3051</v>
      </c>
      <c r="D2394" t="s">
        <v>3735</v>
      </c>
      <c r="E2394" t="s">
        <v>6409</v>
      </c>
      <c r="F2394" t="s">
        <v>6410</v>
      </c>
      <c r="G2394" t="s">
        <v>6441</v>
      </c>
      <c r="H2394" s="6" t="s">
        <v>8963</v>
      </c>
    </row>
    <row r="2395" spans="1:8" ht="119" x14ac:dyDescent="0.2">
      <c r="A2395">
        <v>2393</v>
      </c>
      <c r="B2395" t="s">
        <v>1611</v>
      </c>
      <c r="C2395" t="s">
        <v>3051</v>
      </c>
      <c r="D2395" t="s">
        <v>3735</v>
      </c>
      <c r="E2395" t="s">
        <v>6409</v>
      </c>
      <c r="F2395" t="s">
        <v>6410</v>
      </c>
      <c r="G2395" t="s">
        <v>6442</v>
      </c>
      <c r="H2395" s="6" t="s">
        <v>8964</v>
      </c>
    </row>
    <row r="2396" spans="1:8" ht="153" x14ac:dyDescent="0.2">
      <c r="A2396">
        <v>2394</v>
      </c>
      <c r="B2396" t="s">
        <v>1611</v>
      </c>
      <c r="C2396" t="s">
        <v>3051</v>
      </c>
      <c r="D2396" t="s">
        <v>3735</v>
      </c>
      <c r="E2396" t="s">
        <v>6409</v>
      </c>
      <c r="F2396" t="s">
        <v>6410</v>
      </c>
      <c r="G2396" t="s">
        <v>6443</v>
      </c>
      <c r="H2396" s="6" t="s">
        <v>8955</v>
      </c>
    </row>
    <row r="2397" spans="1:8" ht="170" x14ac:dyDescent="0.2">
      <c r="A2397">
        <v>2395</v>
      </c>
      <c r="B2397" t="s">
        <v>1611</v>
      </c>
      <c r="C2397" t="s">
        <v>3051</v>
      </c>
      <c r="D2397" t="s">
        <v>3735</v>
      </c>
      <c r="E2397" t="s">
        <v>6409</v>
      </c>
      <c r="F2397" t="s">
        <v>6410</v>
      </c>
      <c r="G2397" t="s">
        <v>6444</v>
      </c>
      <c r="H2397" s="6" t="s">
        <v>8956</v>
      </c>
    </row>
    <row r="2398" spans="1:8" ht="102" x14ac:dyDescent="0.2">
      <c r="A2398">
        <v>2396</v>
      </c>
      <c r="B2398" t="s">
        <v>1611</v>
      </c>
      <c r="C2398" t="s">
        <v>3051</v>
      </c>
      <c r="D2398" t="s">
        <v>3735</v>
      </c>
      <c r="E2398" t="s">
        <v>6445</v>
      </c>
      <c r="F2398" t="s">
        <v>6446</v>
      </c>
      <c r="G2398" t="s">
        <v>6447</v>
      </c>
      <c r="H2398" s="6" t="s">
        <v>8965</v>
      </c>
    </row>
    <row r="2399" spans="1:8" ht="102" x14ac:dyDescent="0.2">
      <c r="A2399">
        <v>2397</v>
      </c>
      <c r="B2399" t="s">
        <v>1611</v>
      </c>
      <c r="C2399" t="s">
        <v>3051</v>
      </c>
      <c r="D2399" t="s">
        <v>3735</v>
      </c>
      <c r="E2399" t="s">
        <v>6445</v>
      </c>
      <c r="F2399" t="s">
        <v>6446</v>
      </c>
      <c r="G2399" t="s">
        <v>6448</v>
      </c>
      <c r="H2399" s="6" t="s">
        <v>8966</v>
      </c>
    </row>
    <row r="2400" spans="1:8" ht="85" x14ac:dyDescent="0.2">
      <c r="A2400">
        <v>2398</v>
      </c>
      <c r="B2400" t="s">
        <v>1611</v>
      </c>
      <c r="C2400" t="s">
        <v>3051</v>
      </c>
      <c r="D2400" t="s">
        <v>3735</v>
      </c>
      <c r="E2400" t="s">
        <v>6445</v>
      </c>
      <c r="F2400" t="s">
        <v>6446</v>
      </c>
      <c r="G2400" t="s">
        <v>6449</v>
      </c>
      <c r="H2400" s="6" t="s">
        <v>8967</v>
      </c>
    </row>
    <row r="2401" spans="1:8" ht="85" x14ac:dyDescent="0.2">
      <c r="A2401">
        <v>2399</v>
      </c>
      <c r="B2401" t="s">
        <v>1611</v>
      </c>
      <c r="C2401" t="s">
        <v>3051</v>
      </c>
      <c r="D2401" t="s">
        <v>3735</v>
      </c>
      <c r="E2401" t="s">
        <v>6445</v>
      </c>
      <c r="F2401" t="s">
        <v>6446</v>
      </c>
      <c r="G2401" t="s">
        <v>6450</v>
      </c>
      <c r="H2401" s="6" t="s">
        <v>8968</v>
      </c>
    </row>
    <row r="2402" spans="1:8" ht="85" x14ac:dyDescent="0.2">
      <c r="A2402">
        <v>2400</v>
      </c>
      <c r="B2402" t="s">
        <v>1611</v>
      </c>
      <c r="C2402" t="s">
        <v>3051</v>
      </c>
      <c r="D2402" t="s">
        <v>3735</v>
      </c>
      <c r="E2402" t="s">
        <v>6445</v>
      </c>
      <c r="F2402" t="s">
        <v>6446</v>
      </c>
      <c r="G2402" t="s">
        <v>6451</v>
      </c>
      <c r="H2402" s="6" t="s">
        <v>8969</v>
      </c>
    </row>
    <row r="2403" spans="1:8" ht="85" x14ac:dyDescent="0.2">
      <c r="A2403">
        <v>2401</v>
      </c>
      <c r="B2403" t="s">
        <v>1611</v>
      </c>
      <c r="C2403" t="s">
        <v>3051</v>
      </c>
      <c r="D2403" t="s">
        <v>3735</v>
      </c>
      <c r="E2403" t="s">
        <v>6445</v>
      </c>
      <c r="F2403" t="s">
        <v>6446</v>
      </c>
      <c r="G2403" t="s">
        <v>6452</v>
      </c>
      <c r="H2403" s="6" t="s">
        <v>8970</v>
      </c>
    </row>
    <row r="2404" spans="1:8" ht="85" x14ac:dyDescent="0.2">
      <c r="A2404">
        <v>2402</v>
      </c>
      <c r="B2404" t="s">
        <v>1611</v>
      </c>
      <c r="C2404" t="s">
        <v>3051</v>
      </c>
      <c r="D2404" t="s">
        <v>3735</v>
      </c>
      <c r="E2404" t="s">
        <v>6445</v>
      </c>
      <c r="F2404" t="s">
        <v>6446</v>
      </c>
      <c r="G2404" t="s">
        <v>6453</v>
      </c>
      <c r="H2404" s="6" t="s">
        <v>8971</v>
      </c>
    </row>
    <row r="2405" spans="1:8" ht="85" x14ac:dyDescent="0.2">
      <c r="A2405">
        <v>2403</v>
      </c>
      <c r="B2405" t="s">
        <v>1611</v>
      </c>
      <c r="C2405" t="s">
        <v>3051</v>
      </c>
      <c r="D2405" t="s">
        <v>3735</v>
      </c>
      <c r="E2405" t="s">
        <v>6445</v>
      </c>
      <c r="F2405" t="s">
        <v>6446</v>
      </c>
      <c r="G2405" t="s">
        <v>6454</v>
      </c>
      <c r="H2405" s="6" t="s">
        <v>8972</v>
      </c>
    </row>
    <row r="2406" spans="1:8" ht="85" x14ac:dyDescent="0.2">
      <c r="A2406">
        <v>2404</v>
      </c>
      <c r="B2406" t="s">
        <v>1611</v>
      </c>
      <c r="C2406" t="s">
        <v>3051</v>
      </c>
      <c r="D2406" t="s">
        <v>3735</v>
      </c>
      <c r="E2406" t="s">
        <v>6445</v>
      </c>
      <c r="F2406" t="s">
        <v>6446</v>
      </c>
      <c r="G2406" t="s">
        <v>6455</v>
      </c>
      <c r="H2406" s="6" t="s">
        <v>8969</v>
      </c>
    </row>
    <row r="2407" spans="1:8" ht="85" x14ac:dyDescent="0.2">
      <c r="A2407">
        <v>2405</v>
      </c>
      <c r="B2407" t="s">
        <v>1611</v>
      </c>
      <c r="C2407" t="s">
        <v>3051</v>
      </c>
      <c r="D2407" t="s">
        <v>3735</v>
      </c>
      <c r="E2407" t="s">
        <v>6445</v>
      </c>
      <c r="F2407" t="s">
        <v>6446</v>
      </c>
      <c r="G2407" t="s">
        <v>6456</v>
      </c>
      <c r="H2407" s="6" t="s">
        <v>8973</v>
      </c>
    </row>
    <row r="2408" spans="1:8" ht="85" x14ac:dyDescent="0.2">
      <c r="A2408">
        <v>2406</v>
      </c>
      <c r="B2408" t="s">
        <v>1611</v>
      </c>
      <c r="C2408" t="s">
        <v>3051</v>
      </c>
      <c r="D2408" t="s">
        <v>3735</v>
      </c>
      <c r="E2408" t="s">
        <v>6445</v>
      </c>
      <c r="F2408" t="s">
        <v>6446</v>
      </c>
      <c r="G2408" t="s">
        <v>6457</v>
      </c>
      <c r="H2408" s="6" t="s">
        <v>8974</v>
      </c>
    </row>
    <row r="2409" spans="1:8" ht="85" x14ac:dyDescent="0.2">
      <c r="A2409">
        <v>2407</v>
      </c>
      <c r="B2409" t="s">
        <v>1611</v>
      </c>
      <c r="C2409" t="s">
        <v>3051</v>
      </c>
      <c r="D2409" t="s">
        <v>3735</v>
      </c>
      <c r="E2409" t="s">
        <v>6458</v>
      </c>
      <c r="F2409" t="s">
        <v>6459</v>
      </c>
      <c r="G2409" t="s">
        <v>6460</v>
      </c>
      <c r="H2409" s="6" t="s">
        <v>8975</v>
      </c>
    </row>
    <row r="2410" spans="1:8" ht="119" x14ac:dyDescent="0.2">
      <c r="A2410">
        <v>2408</v>
      </c>
      <c r="B2410" t="s">
        <v>1611</v>
      </c>
      <c r="C2410" t="s">
        <v>3051</v>
      </c>
      <c r="D2410" t="s">
        <v>3735</v>
      </c>
      <c r="E2410" t="s">
        <v>6458</v>
      </c>
      <c r="F2410" t="s">
        <v>6459</v>
      </c>
      <c r="G2410" t="s">
        <v>6461</v>
      </c>
      <c r="H2410" s="6" t="s">
        <v>8976</v>
      </c>
    </row>
    <row r="2411" spans="1:8" ht="119" x14ac:dyDescent="0.2">
      <c r="A2411">
        <v>2409</v>
      </c>
      <c r="B2411" t="s">
        <v>1611</v>
      </c>
      <c r="C2411" t="s">
        <v>3051</v>
      </c>
      <c r="D2411" t="s">
        <v>3735</v>
      </c>
      <c r="E2411" t="s">
        <v>6458</v>
      </c>
      <c r="F2411" t="s">
        <v>6459</v>
      </c>
      <c r="G2411" t="s">
        <v>6462</v>
      </c>
      <c r="H2411" s="6" t="s">
        <v>8976</v>
      </c>
    </row>
    <row r="2412" spans="1:8" ht="119" x14ac:dyDescent="0.2">
      <c r="A2412">
        <v>2410</v>
      </c>
      <c r="B2412" t="s">
        <v>1611</v>
      </c>
      <c r="C2412" t="s">
        <v>3051</v>
      </c>
      <c r="D2412" t="s">
        <v>3735</v>
      </c>
      <c r="E2412" t="s">
        <v>6458</v>
      </c>
      <c r="F2412" t="s">
        <v>6459</v>
      </c>
      <c r="G2412" t="s">
        <v>6463</v>
      </c>
      <c r="H2412" s="6" t="s">
        <v>8977</v>
      </c>
    </row>
    <row r="2413" spans="1:8" ht="119" x14ac:dyDescent="0.2">
      <c r="A2413">
        <v>2411</v>
      </c>
      <c r="B2413" t="s">
        <v>1611</v>
      </c>
      <c r="C2413" t="s">
        <v>3051</v>
      </c>
      <c r="D2413" t="s">
        <v>3735</v>
      </c>
      <c r="E2413" t="s">
        <v>6458</v>
      </c>
      <c r="F2413" t="s">
        <v>6459</v>
      </c>
      <c r="G2413" t="s">
        <v>6464</v>
      </c>
      <c r="H2413" s="6" t="s">
        <v>8978</v>
      </c>
    </row>
    <row r="2414" spans="1:8" ht="119" x14ac:dyDescent="0.2">
      <c r="A2414">
        <v>2412</v>
      </c>
      <c r="B2414" t="s">
        <v>1611</v>
      </c>
      <c r="C2414" t="s">
        <v>3051</v>
      </c>
      <c r="D2414" t="s">
        <v>3735</v>
      </c>
      <c r="E2414" t="s">
        <v>6458</v>
      </c>
      <c r="F2414" t="s">
        <v>6459</v>
      </c>
      <c r="G2414" t="s">
        <v>6465</v>
      </c>
      <c r="H2414" s="6" t="s">
        <v>8979</v>
      </c>
    </row>
    <row r="2415" spans="1:8" ht="119" x14ac:dyDescent="0.2">
      <c r="A2415">
        <v>2413</v>
      </c>
      <c r="B2415" t="s">
        <v>1611</v>
      </c>
      <c r="C2415" t="s">
        <v>3051</v>
      </c>
      <c r="D2415" t="s">
        <v>3735</v>
      </c>
      <c r="E2415" t="s">
        <v>6458</v>
      </c>
      <c r="F2415" t="s">
        <v>6459</v>
      </c>
      <c r="G2415" t="s">
        <v>6466</v>
      </c>
      <c r="H2415" s="6" t="s">
        <v>8980</v>
      </c>
    </row>
    <row r="2416" spans="1:8" ht="85" x14ac:dyDescent="0.2">
      <c r="A2416">
        <v>2414</v>
      </c>
      <c r="B2416" t="s">
        <v>1611</v>
      </c>
      <c r="C2416" t="s">
        <v>3051</v>
      </c>
      <c r="D2416" t="s">
        <v>3735</v>
      </c>
      <c r="E2416" t="s">
        <v>6458</v>
      </c>
      <c r="F2416" t="s">
        <v>6459</v>
      </c>
      <c r="G2416" t="s">
        <v>6467</v>
      </c>
      <c r="H2416" s="6" t="s">
        <v>8981</v>
      </c>
    </row>
    <row r="2417" spans="1:8" ht="102" x14ac:dyDescent="0.2">
      <c r="A2417">
        <v>2415</v>
      </c>
      <c r="B2417" t="s">
        <v>1611</v>
      </c>
      <c r="C2417" t="s">
        <v>3051</v>
      </c>
      <c r="D2417" t="s">
        <v>3735</v>
      </c>
      <c r="E2417" t="s">
        <v>6468</v>
      </c>
      <c r="F2417" t="s">
        <v>6469</v>
      </c>
      <c r="G2417" t="s">
        <v>6470</v>
      </c>
      <c r="H2417" s="6" t="s">
        <v>8982</v>
      </c>
    </row>
    <row r="2418" spans="1:8" ht="119" x14ac:dyDescent="0.2">
      <c r="A2418">
        <v>2416</v>
      </c>
      <c r="B2418" t="s">
        <v>1611</v>
      </c>
      <c r="C2418" t="s">
        <v>3051</v>
      </c>
      <c r="D2418" t="s">
        <v>3735</v>
      </c>
      <c r="E2418" t="s">
        <v>6468</v>
      </c>
      <c r="F2418" t="s">
        <v>6469</v>
      </c>
      <c r="G2418" t="s">
        <v>6471</v>
      </c>
      <c r="H2418" s="6" t="s">
        <v>8983</v>
      </c>
    </row>
    <row r="2419" spans="1:8" ht="68" x14ac:dyDescent="0.2">
      <c r="A2419">
        <v>2417</v>
      </c>
      <c r="B2419" t="s">
        <v>1978</v>
      </c>
      <c r="C2419" t="s">
        <v>3052</v>
      </c>
      <c r="D2419" t="s">
        <v>6472</v>
      </c>
      <c r="E2419" t="s">
        <v>6473</v>
      </c>
      <c r="F2419" t="s">
        <v>6474</v>
      </c>
      <c r="G2419" t="s">
        <v>6475</v>
      </c>
      <c r="H2419" s="6" t="s">
        <v>8984</v>
      </c>
    </row>
    <row r="2420" spans="1:8" ht="85" x14ac:dyDescent="0.2">
      <c r="A2420">
        <v>2418</v>
      </c>
      <c r="B2420" t="s">
        <v>1978</v>
      </c>
      <c r="C2420" t="s">
        <v>3052</v>
      </c>
      <c r="D2420" t="s">
        <v>6472</v>
      </c>
      <c r="E2420" t="s">
        <v>6473</v>
      </c>
      <c r="F2420" t="s">
        <v>6474</v>
      </c>
      <c r="G2420" t="s">
        <v>6475</v>
      </c>
      <c r="H2420" s="6" t="s">
        <v>8985</v>
      </c>
    </row>
    <row r="2421" spans="1:8" ht="102" x14ac:dyDescent="0.2">
      <c r="A2421">
        <v>2419</v>
      </c>
      <c r="B2421" t="s">
        <v>1978</v>
      </c>
      <c r="C2421" t="s">
        <v>3052</v>
      </c>
      <c r="D2421" t="s">
        <v>6472</v>
      </c>
      <c r="E2421" t="s">
        <v>6473</v>
      </c>
      <c r="F2421" t="s">
        <v>6474</v>
      </c>
      <c r="G2421" t="s">
        <v>6476</v>
      </c>
      <c r="H2421" s="6" t="s">
        <v>8986</v>
      </c>
    </row>
    <row r="2422" spans="1:8" ht="51" x14ac:dyDescent="0.2">
      <c r="A2422">
        <v>2420</v>
      </c>
      <c r="B2422" t="s">
        <v>1978</v>
      </c>
      <c r="C2422" t="s">
        <v>3052</v>
      </c>
      <c r="D2422" t="s">
        <v>6472</v>
      </c>
      <c r="E2422" t="s">
        <v>6477</v>
      </c>
      <c r="F2422" t="s">
        <v>6478</v>
      </c>
      <c r="G2422" t="s">
        <v>6479</v>
      </c>
      <c r="H2422" s="6" t="s">
        <v>8987</v>
      </c>
    </row>
    <row r="2423" spans="1:8" ht="51" x14ac:dyDescent="0.2">
      <c r="A2423">
        <v>2421</v>
      </c>
      <c r="B2423" t="s">
        <v>1978</v>
      </c>
      <c r="C2423" t="s">
        <v>3052</v>
      </c>
      <c r="D2423" t="s">
        <v>6472</v>
      </c>
      <c r="E2423" t="s">
        <v>6480</v>
      </c>
      <c r="F2423" t="s">
        <v>6481</v>
      </c>
      <c r="G2423" t="s">
        <v>6482</v>
      </c>
      <c r="H2423" s="6" t="s">
        <v>8988</v>
      </c>
    </row>
    <row r="2424" spans="1:8" ht="51" x14ac:dyDescent="0.2">
      <c r="A2424">
        <v>2422</v>
      </c>
      <c r="B2424" t="s">
        <v>1978</v>
      </c>
      <c r="C2424" t="s">
        <v>3052</v>
      </c>
      <c r="D2424" t="s">
        <v>6472</v>
      </c>
      <c r="E2424" t="s">
        <v>6483</v>
      </c>
      <c r="F2424" t="s">
        <v>6484</v>
      </c>
      <c r="G2424" t="s">
        <v>6485</v>
      </c>
      <c r="H2424" s="6" t="s">
        <v>8989</v>
      </c>
    </row>
    <row r="2425" spans="1:8" ht="102" x14ac:dyDescent="0.2">
      <c r="A2425">
        <v>2423</v>
      </c>
      <c r="B2425" t="s">
        <v>1978</v>
      </c>
      <c r="C2425" t="s">
        <v>3052</v>
      </c>
      <c r="D2425" t="s">
        <v>6472</v>
      </c>
      <c r="E2425" t="s">
        <v>6486</v>
      </c>
      <c r="F2425" t="s">
        <v>6487</v>
      </c>
      <c r="G2425" t="s">
        <v>6488</v>
      </c>
      <c r="H2425" s="6" t="s">
        <v>8990</v>
      </c>
    </row>
    <row r="2426" spans="1:8" ht="51" x14ac:dyDescent="0.2">
      <c r="A2426">
        <v>2424</v>
      </c>
      <c r="B2426" t="s">
        <v>1978</v>
      </c>
      <c r="C2426" t="s">
        <v>3052</v>
      </c>
      <c r="D2426" t="s">
        <v>6472</v>
      </c>
      <c r="E2426" t="s">
        <v>6489</v>
      </c>
      <c r="F2426" t="s">
        <v>6478</v>
      </c>
      <c r="G2426" t="s">
        <v>6490</v>
      </c>
      <c r="H2426" s="6" t="s">
        <v>8987</v>
      </c>
    </row>
    <row r="2427" spans="1:8" ht="51" x14ac:dyDescent="0.2">
      <c r="A2427">
        <v>2425</v>
      </c>
      <c r="B2427" t="s">
        <v>1978</v>
      </c>
      <c r="C2427" t="s">
        <v>3052</v>
      </c>
      <c r="D2427" t="s">
        <v>6472</v>
      </c>
      <c r="E2427" t="s">
        <v>6491</v>
      </c>
      <c r="F2427" t="s">
        <v>6492</v>
      </c>
      <c r="G2427" t="s">
        <v>6493</v>
      </c>
      <c r="H2427" s="6" t="s">
        <v>8991</v>
      </c>
    </row>
    <row r="2428" spans="1:8" ht="51" x14ac:dyDescent="0.2">
      <c r="A2428">
        <v>2426</v>
      </c>
      <c r="B2428" t="s">
        <v>1978</v>
      </c>
      <c r="C2428" t="s">
        <v>3052</v>
      </c>
      <c r="D2428" t="s">
        <v>6472</v>
      </c>
      <c r="E2428" t="s">
        <v>6494</v>
      </c>
      <c r="F2428" t="s">
        <v>6484</v>
      </c>
      <c r="G2428" t="s">
        <v>6495</v>
      </c>
      <c r="H2428" s="6" t="s">
        <v>8992</v>
      </c>
    </row>
    <row r="2429" spans="1:8" ht="51" x14ac:dyDescent="0.2">
      <c r="A2429">
        <v>2427</v>
      </c>
      <c r="B2429" t="s">
        <v>1978</v>
      </c>
      <c r="C2429" t="s">
        <v>3052</v>
      </c>
      <c r="D2429" t="s">
        <v>6472</v>
      </c>
      <c r="E2429" t="s">
        <v>6496</v>
      </c>
      <c r="F2429" t="s">
        <v>6497</v>
      </c>
      <c r="G2429" t="s">
        <v>6498</v>
      </c>
      <c r="H2429" s="6" t="s">
        <v>8993</v>
      </c>
    </row>
    <row r="2430" spans="1:8" ht="204" x14ac:dyDescent="0.2">
      <c r="A2430">
        <v>2428</v>
      </c>
      <c r="B2430" t="s">
        <v>1978</v>
      </c>
      <c r="C2430" t="s">
        <v>3052</v>
      </c>
      <c r="D2430" t="s">
        <v>6472</v>
      </c>
      <c r="E2430" t="s">
        <v>6499</v>
      </c>
      <c r="F2430" t="s">
        <v>6500</v>
      </c>
      <c r="G2430" t="s">
        <v>6501</v>
      </c>
      <c r="H2430" s="6" t="s">
        <v>8994</v>
      </c>
    </row>
    <row r="2431" spans="1:8" ht="255" x14ac:dyDescent="0.2">
      <c r="A2431">
        <v>2429</v>
      </c>
      <c r="B2431" t="s">
        <v>1978</v>
      </c>
      <c r="C2431" t="s">
        <v>3052</v>
      </c>
      <c r="D2431" t="s">
        <v>6472</v>
      </c>
      <c r="E2431" t="s">
        <v>6502</v>
      </c>
      <c r="F2431" t="s">
        <v>6503</v>
      </c>
      <c r="G2431" t="s">
        <v>6504</v>
      </c>
      <c r="H2431" s="6" t="s">
        <v>8995</v>
      </c>
    </row>
    <row r="2432" spans="1:8" ht="102" x14ac:dyDescent="0.2">
      <c r="A2432">
        <v>2430</v>
      </c>
      <c r="B2432" t="s">
        <v>1978</v>
      </c>
      <c r="C2432" t="s">
        <v>3052</v>
      </c>
      <c r="D2432" t="s">
        <v>6472</v>
      </c>
      <c r="E2432" t="s">
        <v>6502</v>
      </c>
      <c r="F2432" t="s">
        <v>6503</v>
      </c>
      <c r="G2432" t="s">
        <v>6505</v>
      </c>
      <c r="H2432" s="6" t="s">
        <v>8996</v>
      </c>
    </row>
    <row r="2433" spans="1:8" ht="170" x14ac:dyDescent="0.2">
      <c r="A2433">
        <v>2431</v>
      </c>
      <c r="B2433" t="s">
        <v>1978</v>
      </c>
      <c r="C2433" t="s">
        <v>3052</v>
      </c>
      <c r="D2433" t="s">
        <v>6472</v>
      </c>
      <c r="E2433" t="s">
        <v>6502</v>
      </c>
      <c r="F2433" t="s">
        <v>6503</v>
      </c>
      <c r="G2433" t="s">
        <v>6506</v>
      </c>
      <c r="H2433" s="6" t="s">
        <v>8997</v>
      </c>
    </row>
    <row r="2434" spans="1:8" ht="170" x14ac:dyDescent="0.2">
      <c r="A2434">
        <v>2432</v>
      </c>
      <c r="B2434" t="s">
        <v>1978</v>
      </c>
      <c r="C2434" t="s">
        <v>3052</v>
      </c>
      <c r="D2434" t="s">
        <v>6472</v>
      </c>
      <c r="E2434" t="s">
        <v>6502</v>
      </c>
      <c r="F2434" t="s">
        <v>6503</v>
      </c>
      <c r="G2434" t="s">
        <v>6507</v>
      </c>
      <c r="H2434" s="6" t="s">
        <v>8998</v>
      </c>
    </row>
    <row r="2435" spans="1:8" ht="136" x14ac:dyDescent="0.2">
      <c r="A2435">
        <v>2433</v>
      </c>
      <c r="B2435" t="s">
        <v>1978</v>
      </c>
      <c r="C2435" t="s">
        <v>3052</v>
      </c>
      <c r="D2435" t="s">
        <v>6472</v>
      </c>
      <c r="E2435" t="s">
        <v>6502</v>
      </c>
      <c r="F2435" t="s">
        <v>6503</v>
      </c>
      <c r="G2435" t="s">
        <v>6508</v>
      </c>
      <c r="H2435" s="6" t="s">
        <v>8999</v>
      </c>
    </row>
    <row r="2436" spans="1:8" ht="85" x14ac:dyDescent="0.2">
      <c r="A2436">
        <v>2434</v>
      </c>
      <c r="B2436" t="s">
        <v>1978</v>
      </c>
      <c r="C2436" t="s">
        <v>3052</v>
      </c>
      <c r="D2436" t="s">
        <v>6472</v>
      </c>
      <c r="E2436" t="s">
        <v>6502</v>
      </c>
      <c r="F2436" t="s">
        <v>6503</v>
      </c>
      <c r="G2436" t="s">
        <v>6509</v>
      </c>
      <c r="H2436" s="6" t="s">
        <v>9000</v>
      </c>
    </row>
    <row r="2437" spans="1:8" ht="153" x14ac:dyDescent="0.2">
      <c r="A2437">
        <v>2435</v>
      </c>
      <c r="B2437" t="s">
        <v>1978</v>
      </c>
      <c r="C2437" t="s">
        <v>3052</v>
      </c>
      <c r="D2437" t="s">
        <v>6472</v>
      </c>
      <c r="E2437" t="s">
        <v>6502</v>
      </c>
      <c r="F2437" t="s">
        <v>6503</v>
      </c>
      <c r="G2437" t="s">
        <v>6510</v>
      </c>
      <c r="H2437" s="6" t="s">
        <v>9001</v>
      </c>
    </row>
    <row r="2438" spans="1:8" ht="136" x14ac:dyDescent="0.2">
      <c r="A2438">
        <v>2436</v>
      </c>
      <c r="B2438" t="s">
        <v>1978</v>
      </c>
      <c r="C2438" t="s">
        <v>3052</v>
      </c>
      <c r="D2438" t="s">
        <v>6472</v>
      </c>
      <c r="E2438" t="s">
        <v>6502</v>
      </c>
      <c r="F2438" t="s">
        <v>6503</v>
      </c>
      <c r="G2438" t="s">
        <v>6511</v>
      </c>
      <c r="H2438" s="6" t="s">
        <v>9002</v>
      </c>
    </row>
    <row r="2439" spans="1:8" ht="102" x14ac:dyDescent="0.2">
      <c r="A2439">
        <v>2437</v>
      </c>
      <c r="B2439" t="s">
        <v>1978</v>
      </c>
      <c r="C2439" t="s">
        <v>3052</v>
      </c>
      <c r="D2439" t="s">
        <v>6472</v>
      </c>
      <c r="E2439" t="s">
        <v>6502</v>
      </c>
      <c r="F2439" t="s">
        <v>6503</v>
      </c>
      <c r="G2439" t="s">
        <v>6512</v>
      </c>
      <c r="H2439" s="6" t="s">
        <v>9003</v>
      </c>
    </row>
    <row r="2440" spans="1:8" ht="153" x14ac:dyDescent="0.2">
      <c r="A2440">
        <v>2438</v>
      </c>
      <c r="B2440" t="s">
        <v>1978</v>
      </c>
      <c r="C2440" t="s">
        <v>3052</v>
      </c>
      <c r="D2440" t="s">
        <v>6472</v>
      </c>
      <c r="E2440" t="s">
        <v>6502</v>
      </c>
      <c r="F2440" t="s">
        <v>6503</v>
      </c>
      <c r="G2440" t="s">
        <v>6513</v>
      </c>
      <c r="H2440" s="6" t="s">
        <v>9004</v>
      </c>
    </row>
    <row r="2441" spans="1:8" ht="102" x14ac:dyDescent="0.2">
      <c r="A2441">
        <v>2439</v>
      </c>
      <c r="B2441" t="s">
        <v>1978</v>
      </c>
      <c r="C2441" t="s">
        <v>3052</v>
      </c>
      <c r="D2441" t="s">
        <v>6472</v>
      </c>
      <c r="E2441" t="s">
        <v>6502</v>
      </c>
      <c r="F2441" t="s">
        <v>6503</v>
      </c>
      <c r="G2441" t="s">
        <v>6514</v>
      </c>
      <c r="H2441" s="6" t="s">
        <v>9005</v>
      </c>
    </row>
    <row r="2442" spans="1:8" ht="119" x14ac:dyDescent="0.2">
      <c r="A2442">
        <v>2440</v>
      </c>
      <c r="B2442" t="s">
        <v>1978</v>
      </c>
      <c r="C2442" t="s">
        <v>3052</v>
      </c>
      <c r="D2442" t="s">
        <v>6472</v>
      </c>
      <c r="E2442" t="s">
        <v>6502</v>
      </c>
      <c r="F2442" t="s">
        <v>6503</v>
      </c>
      <c r="G2442" t="s">
        <v>6515</v>
      </c>
      <c r="H2442" s="6" t="s">
        <v>9006</v>
      </c>
    </row>
    <row r="2443" spans="1:8" ht="85" x14ac:dyDescent="0.2">
      <c r="A2443">
        <v>2441</v>
      </c>
      <c r="B2443" t="s">
        <v>1978</v>
      </c>
      <c r="C2443" t="s">
        <v>3052</v>
      </c>
      <c r="D2443" t="s">
        <v>6472</v>
      </c>
      <c r="E2443" t="s">
        <v>6502</v>
      </c>
      <c r="F2443" t="s">
        <v>6503</v>
      </c>
      <c r="G2443" t="s">
        <v>6516</v>
      </c>
      <c r="H2443" s="6" t="s">
        <v>9007</v>
      </c>
    </row>
    <row r="2444" spans="1:8" ht="102" x14ac:dyDescent="0.2">
      <c r="A2444">
        <v>2442</v>
      </c>
      <c r="B2444" t="s">
        <v>1978</v>
      </c>
      <c r="C2444" t="s">
        <v>3052</v>
      </c>
      <c r="D2444" t="s">
        <v>6472</v>
      </c>
      <c r="E2444" t="s">
        <v>6502</v>
      </c>
      <c r="F2444" t="s">
        <v>6503</v>
      </c>
      <c r="G2444" t="s">
        <v>6517</v>
      </c>
      <c r="H2444" s="6" t="s">
        <v>9008</v>
      </c>
    </row>
    <row r="2445" spans="1:8" ht="85" x14ac:dyDescent="0.2">
      <c r="A2445">
        <v>2443</v>
      </c>
      <c r="B2445" t="s">
        <v>1978</v>
      </c>
      <c r="C2445" t="s">
        <v>3052</v>
      </c>
      <c r="D2445" t="s">
        <v>6472</v>
      </c>
      <c r="E2445" t="s">
        <v>6502</v>
      </c>
      <c r="F2445" t="s">
        <v>6503</v>
      </c>
      <c r="G2445" t="s">
        <v>6518</v>
      </c>
      <c r="H2445" s="6" t="s">
        <v>9009</v>
      </c>
    </row>
    <row r="2446" spans="1:8" ht="153" x14ac:dyDescent="0.2">
      <c r="A2446">
        <v>2444</v>
      </c>
      <c r="B2446" t="s">
        <v>1978</v>
      </c>
      <c r="C2446" t="s">
        <v>3052</v>
      </c>
      <c r="D2446" t="s">
        <v>6472</v>
      </c>
      <c r="E2446" t="s">
        <v>6519</v>
      </c>
      <c r="F2446" t="s">
        <v>6520</v>
      </c>
      <c r="G2446" t="s">
        <v>6521</v>
      </c>
      <c r="H2446" s="6" t="s">
        <v>9010</v>
      </c>
    </row>
    <row r="2447" spans="1:8" ht="170" x14ac:dyDescent="0.2">
      <c r="A2447">
        <v>2445</v>
      </c>
      <c r="B2447" t="s">
        <v>1978</v>
      </c>
      <c r="C2447" t="s">
        <v>3052</v>
      </c>
      <c r="D2447" t="s">
        <v>6472</v>
      </c>
      <c r="E2447" t="s">
        <v>6519</v>
      </c>
      <c r="F2447" t="s">
        <v>6520</v>
      </c>
      <c r="G2447" t="s">
        <v>6522</v>
      </c>
      <c r="H2447" s="6" t="s">
        <v>9011</v>
      </c>
    </row>
    <row r="2448" spans="1:8" ht="204" x14ac:dyDescent="0.2">
      <c r="A2448">
        <v>2446</v>
      </c>
      <c r="B2448" t="s">
        <v>1978</v>
      </c>
      <c r="C2448" t="s">
        <v>3052</v>
      </c>
      <c r="D2448" t="s">
        <v>6472</v>
      </c>
      <c r="E2448" t="s">
        <v>6523</v>
      </c>
      <c r="F2448" t="s">
        <v>6524</v>
      </c>
      <c r="G2448" t="s">
        <v>6525</v>
      </c>
      <c r="H2448" s="6" t="s">
        <v>9012</v>
      </c>
    </row>
    <row r="2449" spans="1:8" ht="85" x14ac:dyDescent="0.2">
      <c r="A2449">
        <v>2447</v>
      </c>
      <c r="B2449" t="s">
        <v>1615</v>
      </c>
      <c r="C2449" t="s">
        <v>3053</v>
      </c>
      <c r="D2449" t="s">
        <v>6526</v>
      </c>
      <c r="E2449" t="s">
        <v>6527</v>
      </c>
      <c r="F2449" t="s">
        <v>6528</v>
      </c>
      <c r="G2449" t="s">
        <v>6529</v>
      </c>
      <c r="H2449" s="6" t="s">
        <v>9013</v>
      </c>
    </row>
    <row r="2450" spans="1:8" ht="102" x14ac:dyDescent="0.2">
      <c r="A2450">
        <v>2448</v>
      </c>
      <c r="B2450" t="s">
        <v>1615</v>
      </c>
      <c r="C2450" t="s">
        <v>3053</v>
      </c>
      <c r="D2450" t="s">
        <v>6526</v>
      </c>
      <c r="E2450" t="s">
        <v>6527</v>
      </c>
      <c r="F2450" t="s">
        <v>6528</v>
      </c>
      <c r="G2450" t="s">
        <v>6530</v>
      </c>
      <c r="H2450" s="6" t="s">
        <v>9014</v>
      </c>
    </row>
    <row r="2451" spans="1:8" ht="85" x14ac:dyDescent="0.2">
      <c r="A2451">
        <v>2449</v>
      </c>
      <c r="B2451" t="s">
        <v>1615</v>
      </c>
      <c r="C2451" t="s">
        <v>3053</v>
      </c>
      <c r="D2451" t="s">
        <v>6526</v>
      </c>
      <c r="E2451" t="s">
        <v>6527</v>
      </c>
      <c r="F2451" t="s">
        <v>6528</v>
      </c>
      <c r="G2451" t="s">
        <v>6531</v>
      </c>
      <c r="H2451" s="6" t="s">
        <v>9015</v>
      </c>
    </row>
    <row r="2452" spans="1:8" ht="85" x14ac:dyDescent="0.2">
      <c r="A2452">
        <v>2450</v>
      </c>
      <c r="B2452" t="s">
        <v>1615</v>
      </c>
      <c r="C2452" t="s">
        <v>3053</v>
      </c>
      <c r="D2452" t="s">
        <v>6526</v>
      </c>
      <c r="E2452" t="s">
        <v>6527</v>
      </c>
      <c r="F2452" t="s">
        <v>6528</v>
      </c>
      <c r="G2452" t="s">
        <v>6532</v>
      </c>
      <c r="H2452" s="6" t="s">
        <v>9016</v>
      </c>
    </row>
    <row r="2453" spans="1:8" ht="85" x14ac:dyDescent="0.2">
      <c r="A2453">
        <v>2451</v>
      </c>
      <c r="B2453" t="s">
        <v>1615</v>
      </c>
      <c r="C2453" t="s">
        <v>3053</v>
      </c>
      <c r="D2453" t="s">
        <v>6526</v>
      </c>
      <c r="E2453" t="s">
        <v>6527</v>
      </c>
      <c r="F2453" t="s">
        <v>6528</v>
      </c>
      <c r="G2453" t="s">
        <v>6533</v>
      </c>
      <c r="H2453" s="6" t="s">
        <v>9017</v>
      </c>
    </row>
    <row r="2454" spans="1:8" ht="102" x14ac:dyDescent="0.2">
      <c r="A2454">
        <v>2452</v>
      </c>
      <c r="B2454" t="s">
        <v>1615</v>
      </c>
      <c r="C2454" t="s">
        <v>3053</v>
      </c>
      <c r="D2454" t="s">
        <v>6526</v>
      </c>
      <c r="E2454" t="s">
        <v>6527</v>
      </c>
      <c r="F2454" t="s">
        <v>6528</v>
      </c>
      <c r="G2454" t="s">
        <v>6534</v>
      </c>
      <c r="H2454" s="6" t="s">
        <v>9018</v>
      </c>
    </row>
    <row r="2455" spans="1:8" ht="136" x14ac:dyDescent="0.2">
      <c r="A2455">
        <v>2453</v>
      </c>
      <c r="B2455" t="s">
        <v>1615</v>
      </c>
      <c r="C2455" t="s">
        <v>3053</v>
      </c>
      <c r="D2455" t="s">
        <v>6526</v>
      </c>
      <c r="E2455" t="s">
        <v>6527</v>
      </c>
      <c r="F2455" t="s">
        <v>6528</v>
      </c>
      <c r="G2455" t="s">
        <v>6535</v>
      </c>
      <c r="H2455" s="6" t="s">
        <v>9019</v>
      </c>
    </row>
    <row r="2456" spans="1:8" ht="85" x14ac:dyDescent="0.2">
      <c r="A2456">
        <v>2454</v>
      </c>
      <c r="B2456" t="s">
        <v>1615</v>
      </c>
      <c r="C2456" t="s">
        <v>3053</v>
      </c>
      <c r="D2456" t="s">
        <v>6526</v>
      </c>
      <c r="E2456" t="s">
        <v>6527</v>
      </c>
      <c r="F2456" t="s">
        <v>6528</v>
      </c>
      <c r="G2456" t="s">
        <v>6536</v>
      </c>
      <c r="H2456" s="6" t="s">
        <v>9020</v>
      </c>
    </row>
    <row r="2457" spans="1:8" ht="136" x14ac:dyDescent="0.2">
      <c r="A2457">
        <v>2455</v>
      </c>
      <c r="B2457" t="s">
        <v>1615</v>
      </c>
      <c r="C2457" t="s">
        <v>3053</v>
      </c>
      <c r="D2457" t="s">
        <v>6526</v>
      </c>
      <c r="E2457" t="s">
        <v>6527</v>
      </c>
      <c r="F2457" t="s">
        <v>6528</v>
      </c>
      <c r="G2457" t="s">
        <v>6537</v>
      </c>
      <c r="H2457" s="6" t="s">
        <v>9021</v>
      </c>
    </row>
    <row r="2458" spans="1:8" ht="85" x14ac:dyDescent="0.2">
      <c r="A2458">
        <v>2456</v>
      </c>
      <c r="B2458" t="s">
        <v>1615</v>
      </c>
      <c r="C2458" t="s">
        <v>3053</v>
      </c>
      <c r="D2458" t="s">
        <v>6526</v>
      </c>
      <c r="E2458" t="s">
        <v>6527</v>
      </c>
      <c r="F2458" t="s">
        <v>6528</v>
      </c>
      <c r="G2458" t="s">
        <v>6538</v>
      </c>
      <c r="H2458" s="6" t="s">
        <v>9022</v>
      </c>
    </row>
    <row r="2459" spans="1:8" ht="119" x14ac:dyDescent="0.2">
      <c r="A2459">
        <v>2457</v>
      </c>
      <c r="B2459" t="s">
        <v>1615</v>
      </c>
      <c r="C2459" t="s">
        <v>3053</v>
      </c>
      <c r="D2459" t="s">
        <v>6526</v>
      </c>
      <c r="E2459" t="s">
        <v>6527</v>
      </c>
      <c r="F2459" t="s">
        <v>6528</v>
      </c>
      <c r="G2459" t="s">
        <v>6539</v>
      </c>
      <c r="H2459" s="6" t="s">
        <v>9023</v>
      </c>
    </row>
    <row r="2460" spans="1:8" ht="102" x14ac:dyDescent="0.2">
      <c r="A2460">
        <v>2458</v>
      </c>
      <c r="B2460" t="s">
        <v>1615</v>
      </c>
      <c r="C2460" t="s">
        <v>3053</v>
      </c>
      <c r="D2460" t="s">
        <v>6526</v>
      </c>
      <c r="E2460" t="s">
        <v>6527</v>
      </c>
      <c r="F2460" t="s">
        <v>6528</v>
      </c>
      <c r="G2460" t="s">
        <v>6540</v>
      </c>
      <c r="H2460" s="6" t="s">
        <v>9024</v>
      </c>
    </row>
    <row r="2461" spans="1:8" ht="102" x14ac:dyDescent="0.2">
      <c r="A2461">
        <v>2459</v>
      </c>
      <c r="B2461" t="s">
        <v>1615</v>
      </c>
      <c r="C2461" t="s">
        <v>3053</v>
      </c>
      <c r="D2461" t="s">
        <v>6526</v>
      </c>
      <c r="E2461" t="s">
        <v>6527</v>
      </c>
      <c r="F2461" t="s">
        <v>6528</v>
      </c>
      <c r="G2461" t="s">
        <v>6541</v>
      </c>
      <c r="H2461" s="6" t="s">
        <v>9025</v>
      </c>
    </row>
    <row r="2462" spans="1:8" ht="85" x14ac:dyDescent="0.2">
      <c r="A2462">
        <v>2460</v>
      </c>
      <c r="B2462" t="s">
        <v>1615</v>
      </c>
      <c r="C2462" t="s">
        <v>3053</v>
      </c>
      <c r="D2462" t="s">
        <v>6526</v>
      </c>
      <c r="E2462" t="s">
        <v>6527</v>
      </c>
      <c r="F2462" t="s">
        <v>6528</v>
      </c>
      <c r="G2462" t="s">
        <v>6542</v>
      </c>
      <c r="H2462" s="6" t="s">
        <v>9026</v>
      </c>
    </row>
    <row r="2463" spans="1:8" ht="136" x14ac:dyDescent="0.2">
      <c r="A2463">
        <v>2461</v>
      </c>
      <c r="B2463" t="s">
        <v>1615</v>
      </c>
      <c r="C2463" t="s">
        <v>3053</v>
      </c>
      <c r="D2463" t="s">
        <v>6526</v>
      </c>
      <c r="E2463" t="s">
        <v>6527</v>
      </c>
      <c r="F2463" t="s">
        <v>6528</v>
      </c>
      <c r="G2463" t="s">
        <v>6543</v>
      </c>
      <c r="H2463" s="6" t="s">
        <v>9027</v>
      </c>
    </row>
    <row r="2464" spans="1:8" ht="119" x14ac:dyDescent="0.2">
      <c r="A2464">
        <v>2462</v>
      </c>
      <c r="B2464" t="s">
        <v>1615</v>
      </c>
      <c r="C2464" t="s">
        <v>3053</v>
      </c>
      <c r="D2464" t="s">
        <v>6526</v>
      </c>
      <c r="E2464" t="s">
        <v>6527</v>
      </c>
      <c r="F2464" t="s">
        <v>6528</v>
      </c>
      <c r="G2464" t="s">
        <v>6544</v>
      </c>
      <c r="H2464" s="6" t="s">
        <v>9028</v>
      </c>
    </row>
    <row r="2465" spans="1:8" ht="119" x14ac:dyDescent="0.2">
      <c r="A2465">
        <v>2463</v>
      </c>
      <c r="B2465" t="s">
        <v>1615</v>
      </c>
      <c r="C2465" t="s">
        <v>3053</v>
      </c>
      <c r="D2465" t="s">
        <v>6526</v>
      </c>
      <c r="E2465" t="s">
        <v>6527</v>
      </c>
      <c r="F2465" t="s">
        <v>6528</v>
      </c>
      <c r="G2465" t="s">
        <v>6545</v>
      </c>
      <c r="H2465" s="6" t="s">
        <v>9029</v>
      </c>
    </row>
    <row r="2466" spans="1:8" ht="119" x14ac:dyDescent="0.2">
      <c r="A2466">
        <v>2464</v>
      </c>
      <c r="B2466" t="s">
        <v>1615</v>
      </c>
      <c r="C2466" t="s">
        <v>3053</v>
      </c>
      <c r="D2466" t="s">
        <v>6526</v>
      </c>
      <c r="E2466" t="s">
        <v>6527</v>
      </c>
      <c r="F2466" t="s">
        <v>6528</v>
      </c>
      <c r="G2466" t="s">
        <v>6546</v>
      </c>
      <c r="H2466" s="6" t="s">
        <v>9030</v>
      </c>
    </row>
    <row r="2467" spans="1:8" ht="102" x14ac:dyDescent="0.2">
      <c r="A2467">
        <v>2465</v>
      </c>
      <c r="B2467" t="s">
        <v>1615</v>
      </c>
      <c r="C2467" t="s">
        <v>3053</v>
      </c>
      <c r="D2467" t="s">
        <v>6526</v>
      </c>
      <c r="E2467" t="s">
        <v>6527</v>
      </c>
      <c r="F2467" t="s">
        <v>6528</v>
      </c>
      <c r="G2467" t="s">
        <v>6547</v>
      </c>
      <c r="H2467" s="6" t="s">
        <v>9031</v>
      </c>
    </row>
    <row r="2468" spans="1:8" ht="102" x14ac:dyDescent="0.2">
      <c r="A2468">
        <v>2466</v>
      </c>
      <c r="B2468" t="s">
        <v>1615</v>
      </c>
      <c r="C2468" t="s">
        <v>3053</v>
      </c>
      <c r="D2468" t="s">
        <v>6526</v>
      </c>
      <c r="E2468" t="s">
        <v>6527</v>
      </c>
      <c r="F2468" t="s">
        <v>6528</v>
      </c>
      <c r="G2468" t="s">
        <v>6548</v>
      </c>
      <c r="H2468" s="6" t="s">
        <v>9032</v>
      </c>
    </row>
    <row r="2469" spans="1:8" ht="85" x14ac:dyDescent="0.2">
      <c r="A2469">
        <v>2467</v>
      </c>
      <c r="B2469" t="s">
        <v>1615</v>
      </c>
      <c r="C2469" t="s">
        <v>3053</v>
      </c>
      <c r="D2469" t="s">
        <v>6526</v>
      </c>
      <c r="E2469" t="s">
        <v>6527</v>
      </c>
      <c r="F2469" t="s">
        <v>6528</v>
      </c>
      <c r="G2469" t="s">
        <v>6549</v>
      </c>
      <c r="H2469" s="6" t="s">
        <v>9033</v>
      </c>
    </row>
    <row r="2470" spans="1:8" ht="119" x14ac:dyDescent="0.2">
      <c r="A2470">
        <v>2468</v>
      </c>
      <c r="B2470" t="s">
        <v>1615</v>
      </c>
      <c r="C2470" t="s">
        <v>3053</v>
      </c>
      <c r="D2470" t="s">
        <v>6526</v>
      </c>
      <c r="E2470" t="s">
        <v>6527</v>
      </c>
      <c r="F2470" t="s">
        <v>6528</v>
      </c>
      <c r="G2470" t="s">
        <v>6550</v>
      </c>
      <c r="H2470" s="6" t="s">
        <v>9034</v>
      </c>
    </row>
    <row r="2471" spans="1:8" ht="153" x14ac:dyDescent="0.2">
      <c r="A2471">
        <v>2469</v>
      </c>
      <c r="B2471" t="s">
        <v>1615</v>
      </c>
      <c r="C2471" t="s">
        <v>3053</v>
      </c>
      <c r="D2471" t="s">
        <v>6526</v>
      </c>
      <c r="E2471" t="s">
        <v>6527</v>
      </c>
      <c r="F2471" t="s">
        <v>6528</v>
      </c>
      <c r="G2471" t="s">
        <v>6551</v>
      </c>
      <c r="H2471" s="6" t="s">
        <v>9035</v>
      </c>
    </row>
    <row r="2472" spans="1:8" ht="102" x14ac:dyDescent="0.2">
      <c r="A2472">
        <v>2470</v>
      </c>
      <c r="B2472" t="s">
        <v>1615</v>
      </c>
      <c r="C2472" t="s">
        <v>3053</v>
      </c>
      <c r="D2472" t="s">
        <v>6526</v>
      </c>
      <c r="E2472" t="s">
        <v>6527</v>
      </c>
      <c r="F2472" t="s">
        <v>6528</v>
      </c>
      <c r="G2472" t="s">
        <v>6552</v>
      </c>
      <c r="H2472" s="6" t="s">
        <v>9036</v>
      </c>
    </row>
    <row r="2473" spans="1:8" ht="153" x14ac:dyDescent="0.2">
      <c r="A2473">
        <v>2471</v>
      </c>
      <c r="B2473" t="s">
        <v>1615</v>
      </c>
      <c r="C2473" t="s">
        <v>3053</v>
      </c>
      <c r="D2473" t="s">
        <v>6526</v>
      </c>
      <c r="E2473" t="s">
        <v>6527</v>
      </c>
      <c r="F2473" t="s">
        <v>6528</v>
      </c>
      <c r="G2473" t="s">
        <v>6553</v>
      </c>
      <c r="H2473" s="6" t="s">
        <v>9037</v>
      </c>
    </row>
    <row r="2474" spans="1:8" ht="136" x14ac:dyDescent="0.2">
      <c r="A2474">
        <v>2472</v>
      </c>
      <c r="B2474" t="s">
        <v>1615</v>
      </c>
      <c r="C2474" t="s">
        <v>3053</v>
      </c>
      <c r="D2474" t="s">
        <v>6526</v>
      </c>
      <c r="E2474" t="s">
        <v>6527</v>
      </c>
      <c r="F2474" t="s">
        <v>6528</v>
      </c>
      <c r="G2474" t="s">
        <v>6554</v>
      </c>
      <c r="H2474" s="6" t="s">
        <v>9038</v>
      </c>
    </row>
    <row r="2475" spans="1:8" ht="102" x14ac:dyDescent="0.2">
      <c r="A2475">
        <v>2473</v>
      </c>
      <c r="B2475" t="s">
        <v>1615</v>
      </c>
      <c r="C2475" t="s">
        <v>3053</v>
      </c>
      <c r="D2475" t="s">
        <v>6526</v>
      </c>
      <c r="E2475" t="s">
        <v>6527</v>
      </c>
      <c r="F2475" t="s">
        <v>6528</v>
      </c>
      <c r="G2475" t="s">
        <v>6555</v>
      </c>
      <c r="H2475" s="6" t="s">
        <v>9039</v>
      </c>
    </row>
    <row r="2476" spans="1:8" ht="102" x14ac:dyDescent="0.2">
      <c r="A2476">
        <v>2474</v>
      </c>
      <c r="B2476" t="s">
        <v>1615</v>
      </c>
      <c r="C2476" t="s">
        <v>3053</v>
      </c>
      <c r="D2476" t="s">
        <v>6526</v>
      </c>
      <c r="E2476" t="s">
        <v>6527</v>
      </c>
      <c r="F2476" t="s">
        <v>6528</v>
      </c>
      <c r="G2476" t="s">
        <v>6556</v>
      </c>
      <c r="H2476" s="6" t="s">
        <v>9040</v>
      </c>
    </row>
    <row r="2477" spans="1:8" ht="85" x14ac:dyDescent="0.2">
      <c r="A2477">
        <v>2475</v>
      </c>
      <c r="B2477" t="s">
        <v>1615</v>
      </c>
      <c r="C2477" t="s">
        <v>3053</v>
      </c>
      <c r="D2477" t="s">
        <v>6526</v>
      </c>
      <c r="E2477" t="s">
        <v>6527</v>
      </c>
      <c r="F2477" t="s">
        <v>6528</v>
      </c>
      <c r="G2477" t="s">
        <v>6557</v>
      </c>
      <c r="H2477" s="6" t="s">
        <v>9041</v>
      </c>
    </row>
    <row r="2478" spans="1:8" ht="102" x14ac:dyDescent="0.2">
      <c r="A2478">
        <v>2476</v>
      </c>
      <c r="B2478" t="s">
        <v>1615</v>
      </c>
      <c r="C2478" t="s">
        <v>3053</v>
      </c>
      <c r="D2478" t="s">
        <v>6526</v>
      </c>
      <c r="E2478" t="s">
        <v>6527</v>
      </c>
      <c r="F2478" t="s">
        <v>6528</v>
      </c>
      <c r="G2478" t="s">
        <v>6558</v>
      </c>
      <c r="H2478" s="6" t="s">
        <v>9042</v>
      </c>
    </row>
    <row r="2479" spans="1:8" ht="85" x14ac:dyDescent="0.2">
      <c r="A2479">
        <v>2477</v>
      </c>
      <c r="B2479" t="s">
        <v>1615</v>
      </c>
      <c r="C2479" t="s">
        <v>3053</v>
      </c>
      <c r="D2479" t="s">
        <v>6526</v>
      </c>
      <c r="E2479" t="s">
        <v>6527</v>
      </c>
      <c r="F2479" t="s">
        <v>6528</v>
      </c>
      <c r="G2479" t="s">
        <v>6559</v>
      </c>
      <c r="H2479" s="6" t="s">
        <v>9043</v>
      </c>
    </row>
    <row r="2480" spans="1:8" ht="85" x14ac:dyDescent="0.2">
      <c r="A2480">
        <v>2478</v>
      </c>
      <c r="B2480" t="s">
        <v>1615</v>
      </c>
      <c r="C2480" t="s">
        <v>3053</v>
      </c>
      <c r="D2480" t="s">
        <v>6526</v>
      </c>
      <c r="E2480" t="s">
        <v>6527</v>
      </c>
      <c r="F2480" t="s">
        <v>6528</v>
      </c>
      <c r="G2480" t="s">
        <v>6560</v>
      </c>
      <c r="H2480" s="6" t="s">
        <v>9044</v>
      </c>
    </row>
    <row r="2481" spans="1:8" ht="102" x14ac:dyDescent="0.2">
      <c r="A2481">
        <v>2479</v>
      </c>
      <c r="B2481" t="s">
        <v>1615</v>
      </c>
      <c r="C2481" t="s">
        <v>3053</v>
      </c>
      <c r="D2481" t="s">
        <v>6526</v>
      </c>
      <c r="E2481" t="s">
        <v>6527</v>
      </c>
      <c r="F2481" t="s">
        <v>6528</v>
      </c>
      <c r="G2481" t="s">
        <v>6561</v>
      </c>
      <c r="H2481" s="6" t="s">
        <v>9045</v>
      </c>
    </row>
    <row r="2482" spans="1:8" ht="136" x14ac:dyDescent="0.2">
      <c r="A2482">
        <v>2480</v>
      </c>
      <c r="B2482" t="s">
        <v>1615</v>
      </c>
      <c r="C2482" t="s">
        <v>3053</v>
      </c>
      <c r="D2482" t="s">
        <v>6526</v>
      </c>
      <c r="E2482" t="s">
        <v>6527</v>
      </c>
      <c r="F2482" t="s">
        <v>6528</v>
      </c>
      <c r="G2482" t="s">
        <v>6562</v>
      </c>
      <c r="H2482" s="6" t="s">
        <v>9046</v>
      </c>
    </row>
    <row r="2483" spans="1:8" ht="85" x14ac:dyDescent="0.2">
      <c r="A2483">
        <v>2481</v>
      </c>
      <c r="B2483" t="s">
        <v>1615</v>
      </c>
      <c r="C2483" t="s">
        <v>3053</v>
      </c>
      <c r="D2483" t="s">
        <v>6526</v>
      </c>
      <c r="E2483" t="s">
        <v>6563</v>
      </c>
      <c r="F2483" t="s">
        <v>6564</v>
      </c>
      <c r="G2483" t="s">
        <v>6565</v>
      </c>
      <c r="H2483" s="6" t="s">
        <v>9047</v>
      </c>
    </row>
    <row r="2484" spans="1:8" ht="119" x14ac:dyDescent="0.2">
      <c r="A2484">
        <v>2482</v>
      </c>
      <c r="B2484" t="s">
        <v>1615</v>
      </c>
      <c r="C2484" t="s">
        <v>3053</v>
      </c>
      <c r="D2484" t="s">
        <v>6526</v>
      </c>
      <c r="E2484" t="s">
        <v>6563</v>
      </c>
      <c r="F2484" t="s">
        <v>6564</v>
      </c>
      <c r="G2484" t="s">
        <v>6566</v>
      </c>
      <c r="H2484" s="6" t="s">
        <v>9048</v>
      </c>
    </row>
    <row r="2485" spans="1:8" ht="85" x14ac:dyDescent="0.2">
      <c r="A2485">
        <v>2483</v>
      </c>
      <c r="B2485" t="s">
        <v>1615</v>
      </c>
      <c r="C2485" t="s">
        <v>3053</v>
      </c>
      <c r="D2485" t="s">
        <v>6526</v>
      </c>
      <c r="E2485" t="s">
        <v>6563</v>
      </c>
      <c r="F2485" t="s">
        <v>6564</v>
      </c>
      <c r="G2485" t="s">
        <v>6567</v>
      </c>
      <c r="H2485" s="6" t="s">
        <v>9049</v>
      </c>
    </row>
    <row r="2486" spans="1:8" ht="119" x14ac:dyDescent="0.2">
      <c r="A2486">
        <v>2484</v>
      </c>
      <c r="B2486" t="s">
        <v>1615</v>
      </c>
      <c r="C2486" t="s">
        <v>3053</v>
      </c>
      <c r="D2486" t="s">
        <v>6526</v>
      </c>
      <c r="E2486" t="s">
        <v>6563</v>
      </c>
      <c r="F2486" t="s">
        <v>6564</v>
      </c>
      <c r="G2486" t="s">
        <v>6568</v>
      </c>
      <c r="H2486" s="6" t="s">
        <v>9050</v>
      </c>
    </row>
    <row r="2487" spans="1:8" ht="85" x14ac:dyDescent="0.2">
      <c r="A2487">
        <v>2485</v>
      </c>
      <c r="B2487" t="s">
        <v>1615</v>
      </c>
      <c r="C2487" t="s">
        <v>3053</v>
      </c>
      <c r="D2487" t="s">
        <v>6526</v>
      </c>
      <c r="E2487" t="s">
        <v>6569</v>
      </c>
      <c r="F2487" t="s">
        <v>6570</v>
      </c>
      <c r="G2487" t="s">
        <v>6571</v>
      </c>
      <c r="H2487" s="6" t="s">
        <v>9051</v>
      </c>
    </row>
    <row r="2488" spans="1:8" ht="85" x14ac:dyDescent="0.2">
      <c r="A2488">
        <v>2486</v>
      </c>
      <c r="B2488" t="s">
        <v>1615</v>
      </c>
      <c r="C2488" t="s">
        <v>3053</v>
      </c>
      <c r="D2488" t="s">
        <v>6526</v>
      </c>
      <c r="E2488" t="s">
        <v>6569</v>
      </c>
      <c r="F2488" t="s">
        <v>6570</v>
      </c>
      <c r="G2488" t="s">
        <v>6572</v>
      </c>
      <c r="H2488" s="6" t="s">
        <v>9052</v>
      </c>
    </row>
    <row r="2489" spans="1:8" ht="85" x14ac:dyDescent="0.2">
      <c r="A2489">
        <v>2487</v>
      </c>
      <c r="B2489" t="s">
        <v>1615</v>
      </c>
      <c r="C2489" t="s">
        <v>3053</v>
      </c>
      <c r="D2489" t="s">
        <v>6526</v>
      </c>
      <c r="E2489" t="s">
        <v>6569</v>
      </c>
      <c r="F2489" t="s">
        <v>6570</v>
      </c>
      <c r="G2489" t="s">
        <v>6573</v>
      </c>
      <c r="H2489" s="6" t="s">
        <v>9053</v>
      </c>
    </row>
    <row r="2490" spans="1:8" ht="119" x14ac:dyDescent="0.2">
      <c r="A2490">
        <v>2488</v>
      </c>
      <c r="B2490" t="s">
        <v>1615</v>
      </c>
      <c r="C2490" t="s">
        <v>3053</v>
      </c>
      <c r="D2490" t="s">
        <v>6526</v>
      </c>
      <c r="E2490" t="s">
        <v>6569</v>
      </c>
      <c r="F2490" t="s">
        <v>6570</v>
      </c>
      <c r="G2490" t="s">
        <v>6574</v>
      </c>
      <c r="H2490" s="6" t="s">
        <v>9054</v>
      </c>
    </row>
    <row r="2491" spans="1:8" ht="102" x14ac:dyDescent="0.2">
      <c r="A2491">
        <v>2489</v>
      </c>
      <c r="B2491" t="s">
        <v>1615</v>
      </c>
      <c r="C2491" t="s">
        <v>3053</v>
      </c>
      <c r="D2491" t="s">
        <v>6526</v>
      </c>
      <c r="E2491" t="s">
        <v>6569</v>
      </c>
      <c r="F2491" t="s">
        <v>6570</v>
      </c>
      <c r="G2491" t="s">
        <v>6575</v>
      </c>
      <c r="H2491" s="6" t="s">
        <v>9055</v>
      </c>
    </row>
    <row r="2492" spans="1:8" ht="136" x14ac:dyDescent="0.2">
      <c r="A2492">
        <v>2490</v>
      </c>
      <c r="B2492" t="s">
        <v>1615</v>
      </c>
      <c r="C2492" t="s">
        <v>3053</v>
      </c>
      <c r="D2492" t="s">
        <v>6526</v>
      </c>
      <c r="E2492" t="s">
        <v>6569</v>
      </c>
      <c r="F2492" t="s">
        <v>6570</v>
      </c>
      <c r="G2492" t="s">
        <v>6576</v>
      </c>
      <c r="H2492" s="6" t="s">
        <v>9056</v>
      </c>
    </row>
    <row r="2493" spans="1:8" ht="119" x14ac:dyDescent="0.2">
      <c r="A2493">
        <v>2491</v>
      </c>
      <c r="B2493" t="s">
        <v>1615</v>
      </c>
      <c r="C2493" t="s">
        <v>3053</v>
      </c>
      <c r="D2493" t="s">
        <v>6526</v>
      </c>
      <c r="E2493" t="s">
        <v>6569</v>
      </c>
      <c r="F2493" t="s">
        <v>6570</v>
      </c>
      <c r="G2493" t="s">
        <v>6577</v>
      </c>
      <c r="H2493" s="6" t="s">
        <v>9057</v>
      </c>
    </row>
    <row r="2494" spans="1:8" ht="85" x14ac:dyDescent="0.2">
      <c r="A2494">
        <v>2492</v>
      </c>
      <c r="B2494" t="s">
        <v>1615</v>
      </c>
      <c r="C2494" t="s">
        <v>3053</v>
      </c>
      <c r="D2494" t="s">
        <v>6526</v>
      </c>
      <c r="E2494" t="s">
        <v>6569</v>
      </c>
      <c r="F2494" t="s">
        <v>6570</v>
      </c>
      <c r="G2494" t="s">
        <v>6578</v>
      </c>
      <c r="H2494" s="6" t="s">
        <v>9058</v>
      </c>
    </row>
    <row r="2495" spans="1:8" ht="204" x14ac:dyDescent="0.2">
      <c r="A2495">
        <v>2493</v>
      </c>
      <c r="B2495" t="s">
        <v>1615</v>
      </c>
      <c r="C2495" t="s">
        <v>3053</v>
      </c>
      <c r="D2495" t="s">
        <v>6526</v>
      </c>
      <c r="E2495" t="s">
        <v>6569</v>
      </c>
      <c r="F2495" t="s">
        <v>6570</v>
      </c>
      <c r="G2495" t="s">
        <v>6579</v>
      </c>
      <c r="H2495" s="6" t="s">
        <v>9059</v>
      </c>
    </row>
    <row r="2496" spans="1:8" ht="102" x14ac:dyDescent="0.2">
      <c r="A2496">
        <v>2494</v>
      </c>
      <c r="B2496" t="s">
        <v>1615</v>
      </c>
      <c r="C2496" t="s">
        <v>3053</v>
      </c>
      <c r="D2496" t="s">
        <v>6526</v>
      </c>
      <c r="E2496" t="s">
        <v>6569</v>
      </c>
      <c r="F2496" t="s">
        <v>6570</v>
      </c>
      <c r="G2496" t="s">
        <v>6580</v>
      </c>
      <c r="H2496" s="6" t="s">
        <v>9060</v>
      </c>
    </row>
    <row r="2497" spans="1:8" ht="85" x14ac:dyDescent="0.2">
      <c r="A2497">
        <v>2495</v>
      </c>
      <c r="B2497" t="s">
        <v>1615</v>
      </c>
      <c r="C2497" t="s">
        <v>3053</v>
      </c>
      <c r="D2497" t="s">
        <v>6526</v>
      </c>
      <c r="E2497" t="s">
        <v>6569</v>
      </c>
      <c r="F2497" t="s">
        <v>6570</v>
      </c>
      <c r="G2497" t="s">
        <v>6581</v>
      </c>
      <c r="H2497" s="6" t="s">
        <v>9061</v>
      </c>
    </row>
    <row r="2498" spans="1:8" ht="102" x14ac:dyDescent="0.2">
      <c r="A2498">
        <v>2496</v>
      </c>
      <c r="B2498" t="s">
        <v>1615</v>
      </c>
      <c r="C2498" t="s">
        <v>3053</v>
      </c>
      <c r="D2498" t="s">
        <v>6526</v>
      </c>
      <c r="E2498" t="s">
        <v>6569</v>
      </c>
      <c r="F2498" t="s">
        <v>6570</v>
      </c>
      <c r="G2498" t="s">
        <v>6582</v>
      </c>
      <c r="H2498" s="6" t="s">
        <v>9062</v>
      </c>
    </row>
    <row r="2499" spans="1:8" ht="119" x14ac:dyDescent="0.2">
      <c r="A2499">
        <v>2497</v>
      </c>
      <c r="B2499" t="s">
        <v>1615</v>
      </c>
      <c r="C2499" t="s">
        <v>3053</v>
      </c>
      <c r="D2499" t="s">
        <v>6526</v>
      </c>
      <c r="E2499" t="s">
        <v>6569</v>
      </c>
      <c r="F2499" t="s">
        <v>6570</v>
      </c>
      <c r="G2499" t="s">
        <v>6583</v>
      </c>
      <c r="H2499" s="6" t="s">
        <v>9063</v>
      </c>
    </row>
    <row r="2500" spans="1:8" ht="102" x14ac:dyDescent="0.2">
      <c r="A2500">
        <v>2498</v>
      </c>
      <c r="B2500" t="s">
        <v>1615</v>
      </c>
      <c r="C2500" t="s">
        <v>3053</v>
      </c>
      <c r="D2500" t="s">
        <v>6526</v>
      </c>
      <c r="E2500" t="s">
        <v>6569</v>
      </c>
      <c r="F2500" t="s">
        <v>6570</v>
      </c>
      <c r="G2500" t="s">
        <v>6584</v>
      </c>
      <c r="H2500" s="6" t="s">
        <v>9064</v>
      </c>
    </row>
    <row r="2501" spans="1:8" ht="85" x14ac:dyDescent="0.2">
      <c r="A2501">
        <v>2499</v>
      </c>
      <c r="B2501" t="s">
        <v>1615</v>
      </c>
      <c r="C2501" t="s">
        <v>3053</v>
      </c>
      <c r="D2501" t="s">
        <v>6526</v>
      </c>
      <c r="E2501" t="s">
        <v>6569</v>
      </c>
      <c r="F2501" t="s">
        <v>6570</v>
      </c>
      <c r="G2501" t="s">
        <v>6585</v>
      </c>
      <c r="H2501" s="6" t="s">
        <v>9065</v>
      </c>
    </row>
    <row r="2502" spans="1:8" ht="102" x14ac:dyDescent="0.2">
      <c r="A2502">
        <v>2500</v>
      </c>
      <c r="B2502" t="s">
        <v>1615</v>
      </c>
      <c r="C2502" t="s">
        <v>3053</v>
      </c>
      <c r="D2502" t="s">
        <v>6526</v>
      </c>
      <c r="E2502" t="s">
        <v>6569</v>
      </c>
      <c r="F2502" t="s">
        <v>6570</v>
      </c>
      <c r="G2502" t="s">
        <v>6586</v>
      </c>
      <c r="H2502" s="6" t="s">
        <v>9066</v>
      </c>
    </row>
    <row r="2503" spans="1:8" ht="102" x14ac:dyDescent="0.2">
      <c r="A2503">
        <v>2501</v>
      </c>
      <c r="B2503" t="s">
        <v>1615</v>
      </c>
      <c r="C2503" t="s">
        <v>3053</v>
      </c>
      <c r="D2503" t="s">
        <v>6526</v>
      </c>
      <c r="E2503" t="s">
        <v>6569</v>
      </c>
      <c r="F2503" t="s">
        <v>6570</v>
      </c>
      <c r="G2503" t="s">
        <v>6587</v>
      </c>
      <c r="H2503" s="6" t="s">
        <v>9067</v>
      </c>
    </row>
    <row r="2504" spans="1:8" ht="102" x14ac:dyDescent="0.2">
      <c r="A2504">
        <v>2502</v>
      </c>
      <c r="B2504" t="s">
        <v>1615</v>
      </c>
      <c r="C2504" t="s">
        <v>3053</v>
      </c>
      <c r="D2504" t="s">
        <v>6526</v>
      </c>
      <c r="E2504" t="s">
        <v>6569</v>
      </c>
      <c r="F2504" t="s">
        <v>6570</v>
      </c>
      <c r="G2504" t="s">
        <v>6588</v>
      </c>
      <c r="H2504" s="6" t="s">
        <v>9068</v>
      </c>
    </row>
    <row r="2505" spans="1:8" ht="102" x14ac:dyDescent="0.2">
      <c r="A2505">
        <v>2503</v>
      </c>
      <c r="B2505" t="s">
        <v>1615</v>
      </c>
      <c r="C2505" t="s">
        <v>3053</v>
      </c>
      <c r="D2505" t="s">
        <v>6526</v>
      </c>
      <c r="E2505" t="s">
        <v>6569</v>
      </c>
      <c r="F2505" t="s">
        <v>6570</v>
      </c>
      <c r="G2505" t="s">
        <v>6589</v>
      </c>
      <c r="H2505" s="6" t="s">
        <v>9069</v>
      </c>
    </row>
    <row r="2506" spans="1:8" ht="102" x14ac:dyDescent="0.2">
      <c r="A2506">
        <v>2504</v>
      </c>
      <c r="B2506" t="s">
        <v>1615</v>
      </c>
      <c r="C2506" t="s">
        <v>3053</v>
      </c>
      <c r="D2506" t="s">
        <v>6526</v>
      </c>
      <c r="E2506" t="s">
        <v>6569</v>
      </c>
      <c r="F2506" t="s">
        <v>6570</v>
      </c>
      <c r="G2506" t="s">
        <v>6590</v>
      </c>
      <c r="H2506" s="6" t="s">
        <v>9070</v>
      </c>
    </row>
    <row r="2507" spans="1:8" ht="102" x14ac:dyDescent="0.2">
      <c r="A2507">
        <v>2505</v>
      </c>
      <c r="B2507" t="s">
        <v>1615</v>
      </c>
      <c r="C2507" t="s">
        <v>3053</v>
      </c>
      <c r="D2507" t="s">
        <v>6526</v>
      </c>
      <c r="E2507" t="s">
        <v>6569</v>
      </c>
      <c r="F2507" t="s">
        <v>6570</v>
      </c>
      <c r="G2507" t="s">
        <v>6591</v>
      </c>
      <c r="H2507" s="6" t="s">
        <v>9071</v>
      </c>
    </row>
    <row r="2508" spans="1:8" ht="119" x14ac:dyDescent="0.2">
      <c r="A2508">
        <v>2506</v>
      </c>
      <c r="B2508" t="s">
        <v>1615</v>
      </c>
      <c r="C2508" t="s">
        <v>3053</v>
      </c>
      <c r="D2508" t="s">
        <v>6526</v>
      </c>
      <c r="E2508" t="s">
        <v>6569</v>
      </c>
      <c r="F2508" t="s">
        <v>6570</v>
      </c>
      <c r="G2508" t="s">
        <v>6592</v>
      </c>
      <c r="H2508" s="6" t="s">
        <v>9072</v>
      </c>
    </row>
    <row r="2509" spans="1:8" ht="153" x14ac:dyDescent="0.2">
      <c r="A2509">
        <v>2507</v>
      </c>
      <c r="B2509" t="s">
        <v>1615</v>
      </c>
      <c r="C2509" t="s">
        <v>3053</v>
      </c>
      <c r="D2509" t="s">
        <v>6526</v>
      </c>
      <c r="E2509" t="s">
        <v>6569</v>
      </c>
      <c r="F2509" t="s">
        <v>6570</v>
      </c>
      <c r="G2509" t="s">
        <v>6593</v>
      </c>
      <c r="H2509" s="6" t="s">
        <v>9073</v>
      </c>
    </row>
    <row r="2510" spans="1:8" ht="136" x14ac:dyDescent="0.2">
      <c r="A2510">
        <v>2508</v>
      </c>
      <c r="B2510" t="s">
        <v>1615</v>
      </c>
      <c r="C2510" t="s">
        <v>3053</v>
      </c>
      <c r="D2510" t="s">
        <v>6526</v>
      </c>
      <c r="E2510" t="s">
        <v>6569</v>
      </c>
      <c r="F2510" t="s">
        <v>6570</v>
      </c>
      <c r="G2510" t="s">
        <v>6594</v>
      </c>
      <c r="H2510" s="6" t="s">
        <v>9074</v>
      </c>
    </row>
    <row r="2511" spans="1:8" ht="85" x14ac:dyDescent="0.2">
      <c r="A2511">
        <v>2509</v>
      </c>
      <c r="B2511" t="s">
        <v>1615</v>
      </c>
      <c r="C2511" t="s">
        <v>3053</v>
      </c>
      <c r="D2511" t="s">
        <v>6526</v>
      </c>
      <c r="E2511" t="s">
        <v>6569</v>
      </c>
      <c r="F2511" t="s">
        <v>6570</v>
      </c>
      <c r="G2511" t="s">
        <v>6595</v>
      </c>
      <c r="H2511" s="6" t="s">
        <v>9075</v>
      </c>
    </row>
    <row r="2512" spans="1:8" ht="170" x14ac:dyDescent="0.2">
      <c r="A2512">
        <v>2510</v>
      </c>
      <c r="B2512" t="s">
        <v>1615</v>
      </c>
      <c r="C2512" t="s">
        <v>3053</v>
      </c>
      <c r="D2512" t="s">
        <v>6526</v>
      </c>
      <c r="E2512" t="s">
        <v>6569</v>
      </c>
      <c r="F2512" t="s">
        <v>6570</v>
      </c>
      <c r="G2512" t="s">
        <v>6596</v>
      </c>
      <c r="H2512" s="6" t="s">
        <v>9076</v>
      </c>
    </row>
    <row r="2513" spans="1:8" ht="136" x14ac:dyDescent="0.2">
      <c r="A2513">
        <v>2511</v>
      </c>
      <c r="B2513" t="s">
        <v>1615</v>
      </c>
      <c r="C2513" t="s">
        <v>3053</v>
      </c>
      <c r="D2513" t="s">
        <v>6526</v>
      </c>
      <c r="E2513" t="s">
        <v>6569</v>
      </c>
      <c r="F2513" t="s">
        <v>6570</v>
      </c>
      <c r="G2513" t="s">
        <v>6597</v>
      </c>
      <c r="H2513" s="6" t="s">
        <v>9077</v>
      </c>
    </row>
    <row r="2514" spans="1:8" ht="119" x14ac:dyDescent="0.2">
      <c r="A2514">
        <v>2512</v>
      </c>
      <c r="B2514" t="s">
        <v>1615</v>
      </c>
      <c r="C2514" t="s">
        <v>3053</v>
      </c>
      <c r="D2514" t="s">
        <v>6526</v>
      </c>
      <c r="E2514" t="s">
        <v>6569</v>
      </c>
      <c r="F2514" t="s">
        <v>6570</v>
      </c>
      <c r="G2514" t="s">
        <v>6598</v>
      </c>
      <c r="H2514" s="6" t="s">
        <v>9078</v>
      </c>
    </row>
    <row r="2515" spans="1:8" ht="102" x14ac:dyDescent="0.2">
      <c r="A2515">
        <v>2513</v>
      </c>
      <c r="B2515" t="s">
        <v>1615</v>
      </c>
      <c r="C2515" t="s">
        <v>3053</v>
      </c>
      <c r="D2515" t="s">
        <v>6526</v>
      </c>
      <c r="E2515" t="s">
        <v>6569</v>
      </c>
      <c r="F2515" t="s">
        <v>6570</v>
      </c>
      <c r="G2515" t="s">
        <v>6599</v>
      </c>
      <c r="H2515" s="6" t="s">
        <v>9079</v>
      </c>
    </row>
    <row r="2516" spans="1:8" ht="102" x14ac:dyDescent="0.2">
      <c r="A2516">
        <v>2514</v>
      </c>
      <c r="B2516" t="s">
        <v>1615</v>
      </c>
      <c r="C2516" t="s">
        <v>3053</v>
      </c>
      <c r="D2516" t="s">
        <v>6526</v>
      </c>
      <c r="E2516" t="s">
        <v>6569</v>
      </c>
      <c r="F2516" t="s">
        <v>6570</v>
      </c>
      <c r="G2516" t="s">
        <v>6600</v>
      </c>
      <c r="H2516" s="6" t="s">
        <v>9080</v>
      </c>
    </row>
    <row r="2517" spans="1:8" ht="102" x14ac:dyDescent="0.2">
      <c r="A2517">
        <v>2515</v>
      </c>
      <c r="B2517" t="s">
        <v>1615</v>
      </c>
      <c r="C2517" t="s">
        <v>3053</v>
      </c>
      <c r="D2517" t="s">
        <v>6526</v>
      </c>
      <c r="E2517" t="s">
        <v>6569</v>
      </c>
      <c r="F2517" t="s">
        <v>6570</v>
      </c>
      <c r="G2517" t="s">
        <v>6601</v>
      </c>
      <c r="H2517" s="6" t="s">
        <v>9081</v>
      </c>
    </row>
    <row r="2518" spans="1:8" ht="102" x14ac:dyDescent="0.2">
      <c r="A2518">
        <v>2516</v>
      </c>
      <c r="B2518" t="s">
        <v>1615</v>
      </c>
      <c r="C2518" t="s">
        <v>3053</v>
      </c>
      <c r="D2518" t="s">
        <v>6526</v>
      </c>
      <c r="E2518" t="s">
        <v>6569</v>
      </c>
      <c r="F2518" t="s">
        <v>6570</v>
      </c>
      <c r="G2518" t="s">
        <v>6602</v>
      </c>
      <c r="H2518" s="6" t="s">
        <v>9082</v>
      </c>
    </row>
    <row r="2519" spans="1:8" ht="102" x14ac:dyDescent="0.2">
      <c r="A2519">
        <v>2517</v>
      </c>
      <c r="B2519" t="s">
        <v>1615</v>
      </c>
      <c r="C2519" t="s">
        <v>3053</v>
      </c>
      <c r="D2519" t="s">
        <v>6526</v>
      </c>
      <c r="E2519" t="s">
        <v>6569</v>
      </c>
      <c r="F2519" t="s">
        <v>6570</v>
      </c>
      <c r="G2519" t="s">
        <v>6603</v>
      </c>
      <c r="H2519" s="6" t="s">
        <v>9083</v>
      </c>
    </row>
    <row r="2520" spans="1:8" ht="136" x14ac:dyDescent="0.2">
      <c r="A2520">
        <v>2518</v>
      </c>
      <c r="B2520" t="s">
        <v>1615</v>
      </c>
      <c r="C2520" t="s">
        <v>3053</v>
      </c>
      <c r="D2520" t="s">
        <v>6526</v>
      </c>
      <c r="E2520" t="s">
        <v>6569</v>
      </c>
      <c r="F2520" t="s">
        <v>6570</v>
      </c>
      <c r="G2520" t="s">
        <v>6604</v>
      </c>
      <c r="H2520" s="6" t="s">
        <v>9084</v>
      </c>
    </row>
    <row r="2521" spans="1:8" ht="136" x14ac:dyDescent="0.2">
      <c r="A2521">
        <v>2519</v>
      </c>
      <c r="B2521" t="s">
        <v>1615</v>
      </c>
      <c r="C2521" t="s">
        <v>3053</v>
      </c>
      <c r="D2521" t="s">
        <v>6526</v>
      </c>
      <c r="E2521" t="s">
        <v>6569</v>
      </c>
      <c r="F2521" t="s">
        <v>6570</v>
      </c>
      <c r="G2521" t="s">
        <v>6605</v>
      </c>
      <c r="H2521" s="6" t="s">
        <v>9085</v>
      </c>
    </row>
    <row r="2522" spans="1:8" ht="85" x14ac:dyDescent="0.2">
      <c r="A2522">
        <v>2520</v>
      </c>
      <c r="B2522" t="s">
        <v>1615</v>
      </c>
      <c r="C2522" t="s">
        <v>3053</v>
      </c>
      <c r="D2522" t="s">
        <v>6526</v>
      </c>
      <c r="E2522" t="s">
        <v>6569</v>
      </c>
      <c r="F2522" t="s">
        <v>6570</v>
      </c>
      <c r="G2522" t="s">
        <v>6606</v>
      </c>
      <c r="H2522" s="6" t="s">
        <v>9086</v>
      </c>
    </row>
    <row r="2523" spans="1:8" ht="119" x14ac:dyDescent="0.2">
      <c r="A2523">
        <v>2521</v>
      </c>
      <c r="B2523" t="s">
        <v>1615</v>
      </c>
      <c r="C2523" t="s">
        <v>3053</v>
      </c>
      <c r="D2523" t="s">
        <v>6526</v>
      </c>
      <c r="E2523" t="s">
        <v>6569</v>
      </c>
      <c r="F2523" t="s">
        <v>6570</v>
      </c>
      <c r="G2523" t="s">
        <v>6607</v>
      </c>
      <c r="H2523" s="6" t="s">
        <v>9087</v>
      </c>
    </row>
    <row r="2524" spans="1:8" ht="119" x14ac:dyDescent="0.2">
      <c r="A2524">
        <v>2522</v>
      </c>
      <c r="B2524" t="s">
        <v>1615</v>
      </c>
      <c r="C2524" t="s">
        <v>3053</v>
      </c>
      <c r="D2524" t="s">
        <v>6526</v>
      </c>
      <c r="E2524" t="s">
        <v>6569</v>
      </c>
      <c r="F2524" t="s">
        <v>6570</v>
      </c>
      <c r="G2524" t="s">
        <v>6608</v>
      </c>
      <c r="H2524" s="6" t="s">
        <v>9088</v>
      </c>
    </row>
    <row r="2525" spans="1:8" ht="85" x14ac:dyDescent="0.2">
      <c r="A2525">
        <v>2523</v>
      </c>
      <c r="B2525" t="s">
        <v>1615</v>
      </c>
      <c r="C2525" t="s">
        <v>3053</v>
      </c>
      <c r="D2525" t="s">
        <v>6526</v>
      </c>
      <c r="E2525" t="s">
        <v>6569</v>
      </c>
      <c r="F2525" t="s">
        <v>6570</v>
      </c>
      <c r="G2525" t="s">
        <v>6609</v>
      </c>
      <c r="H2525" s="6" t="s">
        <v>9089</v>
      </c>
    </row>
    <row r="2526" spans="1:8" ht="85" x14ac:dyDescent="0.2">
      <c r="A2526">
        <v>2524</v>
      </c>
      <c r="B2526" t="s">
        <v>1615</v>
      </c>
      <c r="C2526" t="s">
        <v>3053</v>
      </c>
      <c r="D2526" t="s">
        <v>6526</v>
      </c>
      <c r="E2526" t="s">
        <v>6569</v>
      </c>
      <c r="F2526" t="s">
        <v>6570</v>
      </c>
      <c r="G2526" t="s">
        <v>6610</v>
      </c>
      <c r="H2526" s="6" t="s">
        <v>9090</v>
      </c>
    </row>
    <row r="2527" spans="1:8" ht="85" x14ac:dyDescent="0.2">
      <c r="A2527">
        <v>2525</v>
      </c>
      <c r="B2527" t="s">
        <v>1615</v>
      </c>
      <c r="C2527" t="s">
        <v>3053</v>
      </c>
      <c r="D2527" t="s">
        <v>6526</v>
      </c>
      <c r="E2527" t="s">
        <v>6569</v>
      </c>
      <c r="F2527" t="s">
        <v>6570</v>
      </c>
      <c r="G2527" t="s">
        <v>6611</v>
      </c>
      <c r="H2527" s="6" t="s">
        <v>9091</v>
      </c>
    </row>
    <row r="2528" spans="1:8" ht="85" x14ac:dyDescent="0.2">
      <c r="A2528">
        <v>2526</v>
      </c>
      <c r="B2528" t="s">
        <v>1615</v>
      </c>
      <c r="C2528" t="s">
        <v>3053</v>
      </c>
      <c r="D2528" t="s">
        <v>6526</v>
      </c>
      <c r="E2528" t="s">
        <v>6569</v>
      </c>
      <c r="F2528" t="s">
        <v>6570</v>
      </c>
      <c r="G2528" t="s">
        <v>6612</v>
      </c>
      <c r="H2528" s="6" t="s">
        <v>9092</v>
      </c>
    </row>
    <row r="2529" spans="1:8" ht="85" x14ac:dyDescent="0.2">
      <c r="A2529">
        <v>2527</v>
      </c>
      <c r="B2529" t="s">
        <v>1615</v>
      </c>
      <c r="C2529" t="s">
        <v>3053</v>
      </c>
      <c r="D2529" t="s">
        <v>6526</v>
      </c>
      <c r="E2529" t="s">
        <v>6569</v>
      </c>
      <c r="F2529" t="s">
        <v>6570</v>
      </c>
      <c r="G2529" t="s">
        <v>6613</v>
      </c>
      <c r="H2529" s="6" t="s">
        <v>9093</v>
      </c>
    </row>
    <row r="2530" spans="1:8" ht="102" x14ac:dyDescent="0.2">
      <c r="A2530">
        <v>2528</v>
      </c>
      <c r="B2530" t="s">
        <v>1615</v>
      </c>
      <c r="C2530" t="s">
        <v>3053</v>
      </c>
      <c r="D2530" t="s">
        <v>6526</v>
      </c>
      <c r="E2530" t="s">
        <v>6569</v>
      </c>
      <c r="F2530" t="s">
        <v>6570</v>
      </c>
      <c r="G2530" t="s">
        <v>6614</v>
      </c>
      <c r="H2530" s="6" t="s">
        <v>9094</v>
      </c>
    </row>
    <row r="2531" spans="1:8" ht="102" x14ac:dyDescent="0.2">
      <c r="A2531">
        <v>2529</v>
      </c>
      <c r="B2531" t="s">
        <v>1615</v>
      </c>
      <c r="C2531" t="s">
        <v>3053</v>
      </c>
      <c r="D2531" t="s">
        <v>6526</v>
      </c>
      <c r="E2531" t="s">
        <v>6569</v>
      </c>
      <c r="F2531" t="s">
        <v>6570</v>
      </c>
      <c r="G2531" t="s">
        <v>6615</v>
      </c>
      <c r="H2531" s="6" t="s">
        <v>9095</v>
      </c>
    </row>
    <row r="2532" spans="1:8" ht="85" x14ac:dyDescent="0.2">
      <c r="A2532">
        <v>2530</v>
      </c>
      <c r="B2532" t="s">
        <v>1615</v>
      </c>
      <c r="C2532" t="s">
        <v>3053</v>
      </c>
      <c r="D2532" t="s">
        <v>6526</v>
      </c>
      <c r="E2532" t="s">
        <v>6569</v>
      </c>
      <c r="F2532" t="s">
        <v>6570</v>
      </c>
      <c r="G2532" t="s">
        <v>6616</v>
      </c>
      <c r="H2532" s="6" t="s">
        <v>9096</v>
      </c>
    </row>
    <row r="2533" spans="1:8" ht="102" x14ac:dyDescent="0.2">
      <c r="A2533">
        <v>2531</v>
      </c>
      <c r="B2533" t="s">
        <v>1615</v>
      </c>
      <c r="C2533" t="s">
        <v>3053</v>
      </c>
      <c r="D2533" t="s">
        <v>6526</v>
      </c>
      <c r="E2533" t="s">
        <v>6569</v>
      </c>
      <c r="F2533" t="s">
        <v>6570</v>
      </c>
      <c r="G2533" t="s">
        <v>6617</v>
      </c>
      <c r="H2533" s="6" t="s">
        <v>9097</v>
      </c>
    </row>
    <row r="2534" spans="1:8" ht="136" x14ac:dyDescent="0.2">
      <c r="A2534">
        <v>2532</v>
      </c>
      <c r="B2534" t="s">
        <v>1615</v>
      </c>
      <c r="C2534" t="s">
        <v>3053</v>
      </c>
      <c r="D2534" t="s">
        <v>6526</v>
      </c>
      <c r="E2534" t="s">
        <v>6569</v>
      </c>
      <c r="F2534" t="s">
        <v>6570</v>
      </c>
      <c r="G2534" t="s">
        <v>6618</v>
      </c>
      <c r="H2534" s="6" t="s">
        <v>9098</v>
      </c>
    </row>
    <row r="2535" spans="1:8" ht="187" x14ac:dyDescent="0.2">
      <c r="A2535">
        <v>2533</v>
      </c>
      <c r="B2535" t="s">
        <v>1615</v>
      </c>
      <c r="C2535" t="s">
        <v>3053</v>
      </c>
      <c r="D2535" t="s">
        <v>6526</v>
      </c>
      <c r="E2535" t="s">
        <v>6569</v>
      </c>
      <c r="F2535" t="s">
        <v>6570</v>
      </c>
      <c r="G2535" t="s">
        <v>6619</v>
      </c>
      <c r="H2535" s="6" t="s">
        <v>9099</v>
      </c>
    </row>
    <row r="2536" spans="1:8" ht="136" x14ac:dyDescent="0.2">
      <c r="A2536">
        <v>2534</v>
      </c>
      <c r="B2536" t="s">
        <v>1615</v>
      </c>
      <c r="C2536" t="s">
        <v>3053</v>
      </c>
      <c r="D2536" t="s">
        <v>6526</v>
      </c>
      <c r="E2536" t="s">
        <v>6569</v>
      </c>
      <c r="F2536" t="s">
        <v>6570</v>
      </c>
      <c r="G2536" t="s">
        <v>6620</v>
      </c>
      <c r="H2536" s="6" t="s">
        <v>9100</v>
      </c>
    </row>
    <row r="2537" spans="1:8" ht="102" x14ac:dyDescent="0.2">
      <c r="A2537">
        <v>2535</v>
      </c>
      <c r="B2537" t="s">
        <v>1615</v>
      </c>
      <c r="C2537" t="s">
        <v>3053</v>
      </c>
      <c r="D2537" t="s">
        <v>6526</v>
      </c>
      <c r="E2537" t="s">
        <v>6569</v>
      </c>
      <c r="F2537" t="s">
        <v>6570</v>
      </c>
      <c r="G2537" t="s">
        <v>6621</v>
      </c>
      <c r="H2537" s="6" t="s">
        <v>9101</v>
      </c>
    </row>
    <row r="2538" spans="1:8" ht="85" x14ac:dyDescent="0.2">
      <c r="A2538">
        <v>2536</v>
      </c>
      <c r="B2538" t="s">
        <v>1615</v>
      </c>
      <c r="C2538" t="s">
        <v>3053</v>
      </c>
      <c r="D2538" t="s">
        <v>6526</v>
      </c>
      <c r="E2538" t="s">
        <v>6569</v>
      </c>
      <c r="F2538" t="s">
        <v>6570</v>
      </c>
      <c r="G2538" t="s">
        <v>6622</v>
      </c>
      <c r="H2538" s="6" t="s">
        <v>9102</v>
      </c>
    </row>
    <row r="2539" spans="1:8" ht="102" x14ac:dyDescent="0.2">
      <c r="A2539">
        <v>2537</v>
      </c>
      <c r="B2539" t="s">
        <v>1615</v>
      </c>
      <c r="C2539" t="s">
        <v>3053</v>
      </c>
      <c r="D2539" t="s">
        <v>6526</v>
      </c>
      <c r="E2539" t="s">
        <v>6569</v>
      </c>
      <c r="F2539" t="s">
        <v>6570</v>
      </c>
      <c r="G2539" t="s">
        <v>6623</v>
      </c>
      <c r="H2539" s="6" t="s">
        <v>9103</v>
      </c>
    </row>
    <row r="2540" spans="1:8" ht="136" x14ac:dyDescent="0.2">
      <c r="A2540">
        <v>2538</v>
      </c>
      <c r="B2540" t="s">
        <v>1615</v>
      </c>
      <c r="C2540" t="s">
        <v>3053</v>
      </c>
      <c r="D2540" t="s">
        <v>6526</v>
      </c>
      <c r="E2540" t="s">
        <v>6569</v>
      </c>
      <c r="F2540" t="s">
        <v>6570</v>
      </c>
      <c r="G2540" t="s">
        <v>6624</v>
      </c>
      <c r="H2540" s="6" t="s">
        <v>9104</v>
      </c>
    </row>
    <row r="2541" spans="1:8" ht="102" x14ac:dyDescent="0.2">
      <c r="A2541">
        <v>2539</v>
      </c>
      <c r="B2541" t="s">
        <v>1615</v>
      </c>
      <c r="C2541" t="s">
        <v>3053</v>
      </c>
      <c r="D2541" t="s">
        <v>6526</v>
      </c>
      <c r="E2541" t="s">
        <v>6569</v>
      </c>
      <c r="F2541" t="s">
        <v>6570</v>
      </c>
      <c r="G2541" t="s">
        <v>6625</v>
      </c>
      <c r="H2541" s="6" t="s">
        <v>9105</v>
      </c>
    </row>
    <row r="2542" spans="1:8" ht="102" x14ac:dyDescent="0.2">
      <c r="A2542">
        <v>2540</v>
      </c>
      <c r="B2542" t="s">
        <v>1615</v>
      </c>
      <c r="C2542" t="s">
        <v>3053</v>
      </c>
      <c r="D2542" t="s">
        <v>6526</v>
      </c>
      <c r="E2542" t="s">
        <v>6626</v>
      </c>
      <c r="F2542" t="s">
        <v>6627</v>
      </c>
      <c r="G2542" t="s">
        <v>6628</v>
      </c>
      <c r="H2542" s="6" t="s">
        <v>9106</v>
      </c>
    </row>
    <row r="2543" spans="1:8" ht="204" x14ac:dyDescent="0.2">
      <c r="A2543">
        <v>2541</v>
      </c>
      <c r="B2543" t="s">
        <v>1615</v>
      </c>
      <c r="C2543" t="s">
        <v>3053</v>
      </c>
      <c r="D2543" t="s">
        <v>6526</v>
      </c>
      <c r="E2543" t="s">
        <v>6626</v>
      </c>
      <c r="F2543" t="s">
        <v>6627</v>
      </c>
      <c r="G2543" t="s">
        <v>6629</v>
      </c>
      <c r="H2543" s="6" t="s">
        <v>9107</v>
      </c>
    </row>
    <row r="2544" spans="1:8" ht="102" x14ac:dyDescent="0.2">
      <c r="A2544">
        <v>2542</v>
      </c>
      <c r="B2544" t="s">
        <v>1615</v>
      </c>
      <c r="C2544" t="s">
        <v>3053</v>
      </c>
      <c r="D2544" t="s">
        <v>6526</v>
      </c>
      <c r="E2544" t="s">
        <v>6626</v>
      </c>
      <c r="F2544" t="s">
        <v>6627</v>
      </c>
      <c r="G2544" t="s">
        <v>6630</v>
      </c>
      <c r="H2544" s="6" t="s">
        <v>9108</v>
      </c>
    </row>
    <row r="2545" spans="1:8" ht="119" x14ac:dyDescent="0.2">
      <c r="A2545">
        <v>2543</v>
      </c>
      <c r="B2545" t="s">
        <v>1615</v>
      </c>
      <c r="C2545" t="s">
        <v>3053</v>
      </c>
      <c r="D2545" t="s">
        <v>6526</v>
      </c>
      <c r="E2545" t="s">
        <v>6626</v>
      </c>
      <c r="F2545" t="s">
        <v>6627</v>
      </c>
      <c r="G2545" t="s">
        <v>6631</v>
      </c>
      <c r="H2545" s="6" t="s">
        <v>9109</v>
      </c>
    </row>
    <row r="2546" spans="1:8" ht="102" x14ac:dyDescent="0.2">
      <c r="A2546">
        <v>2544</v>
      </c>
      <c r="B2546" t="s">
        <v>1615</v>
      </c>
      <c r="C2546" t="s">
        <v>3053</v>
      </c>
      <c r="D2546" t="s">
        <v>6526</v>
      </c>
      <c r="E2546" t="s">
        <v>6626</v>
      </c>
      <c r="F2546" t="s">
        <v>6627</v>
      </c>
      <c r="G2546" t="s">
        <v>6632</v>
      </c>
      <c r="H2546" s="6" t="s">
        <v>9110</v>
      </c>
    </row>
    <row r="2547" spans="1:8" ht="102" x14ac:dyDescent="0.2">
      <c r="A2547">
        <v>2545</v>
      </c>
      <c r="B2547" t="s">
        <v>1615</v>
      </c>
      <c r="C2547" t="s">
        <v>3053</v>
      </c>
      <c r="D2547" t="s">
        <v>6526</v>
      </c>
      <c r="E2547" t="s">
        <v>6626</v>
      </c>
      <c r="F2547" t="s">
        <v>6627</v>
      </c>
      <c r="G2547" t="s">
        <v>6633</v>
      </c>
      <c r="H2547" s="6" t="s">
        <v>9111</v>
      </c>
    </row>
    <row r="2548" spans="1:8" ht="102" x14ac:dyDescent="0.2">
      <c r="A2548">
        <v>2546</v>
      </c>
      <c r="B2548" t="s">
        <v>1615</v>
      </c>
      <c r="C2548" t="s">
        <v>3053</v>
      </c>
      <c r="D2548" t="s">
        <v>6526</v>
      </c>
      <c r="E2548" t="s">
        <v>6626</v>
      </c>
      <c r="F2548" t="s">
        <v>6627</v>
      </c>
      <c r="G2548" t="s">
        <v>6634</v>
      </c>
      <c r="H2548" s="6" t="s">
        <v>9112</v>
      </c>
    </row>
    <row r="2549" spans="1:8" ht="119" x14ac:dyDescent="0.2">
      <c r="A2549">
        <v>2547</v>
      </c>
      <c r="B2549" t="s">
        <v>1615</v>
      </c>
      <c r="C2549" t="s">
        <v>3053</v>
      </c>
      <c r="D2549" t="s">
        <v>6526</v>
      </c>
      <c r="E2549" t="s">
        <v>6626</v>
      </c>
      <c r="F2549" t="s">
        <v>6627</v>
      </c>
      <c r="G2549" t="s">
        <v>6635</v>
      </c>
      <c r="H2549" s="6" t="s">
        <v>9113</v>
      </c>
    </row>
    <row r="2550" spans="1:8" ht="102" x14ac:dyDescent="0.2">
      <c r="A2550">
        <v>2548</v>
      </c>
      <c r="B2550" t="s">
        <v>1615</v>
      </c>
      <c r="C2550" t="s">
        <v>3053</v>
      </c>
      <c r="D2550" t="s">
        <v>6526</v>
      </c>
      <c r="E2550" t="s">
        <v>6626</v>
      </c>
      <c r="F2550" t="s">
        <v>6627</v>
      </c>
      <c r="G2550" t="s">
        <v>6636</v>
      </c>
      <c r="H2550" s="6" t="s">
        <v>9114</v>
      </c>
    </row>
    <row r="2551" spans="1:8" ht="136" x14ac:dyDescent="0.2">
      <c r="A2551">
        <v>2549</v>
      </c>
      <c r="B2551" t="s">
        <v>1615</v>
      </c>
      <c r="C2551" t="s">
        <v>3053</v>
      </c>
      <c r="D2551" t="s">
        <v>6526</v>
      </c>
      <c r="E2551" t="s">
        <v>6626</v>
      </c>
      <c r="F2551" t="s">
        <v>6627</v>
      </c>
      <c r="G2551" t="s">
        <v>6637</v>
      </c>
      <c r="H2551" s="6" t="s">
        <v>9115</v>
      </c>
    </row>
    <row r="2552" spans="1:8" ht="102" x14ac:dyDescent="0.2">
      <c r="A2552">
        <v>2550</v>
      </c>
      <c r="B2552" t="s">
        <v>1615</v>
      </c>
      <c r="C2552" t="s">
        <v>3053</v>
      </c>
      <c r="D2552" t="s">
        <v>6526</v>
      </c>
      <c r="E2552" t="s">
        <v>6626</v>
      </c>
      <c r="F2552" t="s">
        <v>6627</v>
      </c>
      <c r="G2552" t="s">
        <v>6638</v>
      </c>
      <c r="H2552" s="6" t="s">
        <v>9116</v>
      </c>
    </row>
    <row r="2553" spans="1:8" ht="102" x14ac:dyDescent="0.2">
      <c r="A2553">
        <v>2551</v>
      </c>
      <c r="B2553" t="s">
        <v>1615</v>
      </c>
      <c r="C2553" t="s">
        <v>3053</v>
      </c>
      <c r="D2553" t="s">
        <v>6526</v>
      </c>
      <c r="E2553" t="s">
        <v>6626</v>
      </c>
      <c r="F2553" t="s">
        <v>6627</v>
      </c>
      <c r="G2553" t="s">
        <v>6639</v>
      </c>
      <c r="H2553" s="6" t="s">
        <v>9117</v>
      </c>
    </row>
    <row r="2554" spans="1:8" ht="136" x14ac:dyDescent="0.2">
      <c r="A2554">
        <v>2552</v>
      </c>
      <c r="B2554" t="s">
        <v>1615</v>
      </c>
      <c r="C2554" t="s">
        <v>3053</v>
      </c>
      <c r="D2554" t="s">
        <v>6526</v>
      </c>
      <c r="E2554" t="s">
        <v>6626</v>
      </c>
      <c r="F2554" t="s">
        <v>6627</v>
      </c>
      <c r="G2554" t="s">
        <v>6640</v>
      </c>
      <c r="H2554" s="6" t="s">
        <v>9118</v>
      </c>
    </row>
    <row r="2555" spans="1:8" ht="136" x14ac:dyDescent="0.2">
      <c r="A2555">
        <v>2553</v>
      </c>
      <c r="B2555" t="s">
        <v>1615</v>
      </c>
      <c r="C2555" t="s">
        <v>3053</v>
      </c>
      <c r="D2555" t="s">
        <v>6526</v>
      </c>
      <c r="E2555" t="s">
        <v>6626</v>
      </c>
      <c r="F2555" t="s">
        <v>6627</v>
      </c>
      <c r="G2555" t="s">
        <v>6641</v>
      </c>
      <c r="H2555" s="6" t="s">
        <v>9119</v>
      </c>
    </row>
    <row r="2556" spans="1:8" ht="136" x14ac:dyDescent="0.2">
      <c r="A2556">
        <v>2554</v>
      </c>
      <c r="B2556" t="s">
        <v>1615</v>
      </c>
      <c r="C2556" t="s">
        <v>3053</v>
      </c>
      <c r="D2556" t="s">
        <v>6526</v>
      </c>
      <c r="E2556" t="s">
        <v>6626</v>
      </c>
      <c r="F2556" t="s">
        <v>6627</v>
      </c>
      <c r="G2556" t="s">
        <v>6642</v>
      </c>
      <c r="H2556" s="6" t="s">
        <v>9120</v>
      </c>
    </row>
    <row r="2557" spans="1:8" ht="119" x14ac:dyDescent="0.2">
      <c r="A2557">
        <v>2555</v>
      </c>
      <c r="B2557" t="s">
        <v>1615</v>
      </c>
      <c r="C2557" t="s">
        <v>3053</v>
      </c>
      <c r="D2557" t="s">
        <v>6526</v>
      </c>
      <c r="E2557" t="s">
        <v>6626</v>
      </c>
      <c r="F2557" t="s">
        <v>6627</v>
      </c>
      <c r="G2557" t="s">
        <v>6643</v>
      </c>
      <c r="H2557" s="6" t="s">
        <v>9121</v>
      </c>
    </row>
    <row r="2558" spans="1:8" ht="119" x14ac:dyDescent="0.2">
      <c r="A2558">
        <v>2556</v>
      </c>
      <c r="B2558" t="s">
        <v>1615</v>
      </c>
      <c r="C2558" t="s">
        <v>3053</v>
      </c>
      <c r="D2558" t="s">
        <v>6526</v>
      </c>
      <c r="E2558" t="s">
        <v>6626</v>
      </c>
      <c r="F2558" t="s">
        <v>6627</v>
      </c>
      <c r="G2558" t="s">
        <v>6644</v>
      </c>
      <c r="H2558" s="6" t="s">
        <v>9122</v>
      </c>
    </row>
    <row r="2559" spans="1:8" ht="85" x14ac:dyDescent="0.2">
      <c r="A2559">
        <v>2557</v>
      </c>
      <c r="B2559" t="s">
        <v>1615</v>
      </c>
      <c r="C2559" t="s">
        <v>3053</v>
      </c>
      <c r="D2559" t="s">
        <v>6526</v>
      </c>
      <c r="E2559" t="s">
        <v>6626</v>
      </c>
      <c r="F2559" t="s">
        <v>6627</v>
      </c>
      <c r="G2559" t="s">
        <v>6645</v>
      </c>
      <c r="H2559" s="6" t="s">
        <v>9123</v>
      </c>
    </row>
    <row r="2560" spans="1:8" ht="85" x14ac:dyDescent="0.2">
      <c r="A2560">
        <v>2558</v>
      </c>
      <c r="B2560" t="s">
        <v>1615</v>
      </c>
      <c r="C2560" t="s">
        <v>3053</v>
      </c>
      <c r="D2560" t="s">
        <v>6526</v>
      </c>
      <c r="E2560" t="s">
        <v>6626</v>
      </c>
      <c r="F2560" t="s">
        <v>6627</v>
      </c>
      <c r="G2560" t="s">
        <v>6646</v>
      </c>
      <c r="H2560" s="6" t="s">
        <v>9124</v>
      </c>
    </row>
    <row r="2561" spans="1:8" ht="102" x14ac:dyDescent="0.2">
      <c r="A2561">
        <v>2559</v>
      </c>
      <c r="B2561" t="s">
        <v>1615</v>
      </c>
      <c r="C2561" t="s">
        <v>3053</v>
      </c>
      <c r="D2561" t="s">
        <v>6526</v>
      </c>
      <c r="E2561" t="s">
        <v>6626</v>
      </c>
      <c r="F2561" t="s">
        <v>6627</v>
      </c>
      <c r="G2561" t="s">
        <v>6647</v>
      </c>
      <c r="H2561" s="6" t="s">
        <v>9125</v>
      </c>
    </row>
    <row r="2562" spans="1:8" ht="102" x14ac:dyDescent="0.2">
      <c r="A2562">
        <v>2560</v>
      </c>
      <c r="B2562" t="s">
        <v>1615</v>
      </c>
      <c r="C2562" t="s">
        <v>3053</v>
      </c>
      <c r="D2562" t="s">
        <v>6526</v>
      </c>
      <c r="E2562" t="s">
        <v>6626</v>
      </c>
      <c r="F2562" t="s">
        <v>6627</v>
      </c>
      <c r="G2562" t="s">
        <v>6648</v>
      </c>
      <c r="H2562" s="6" t="s">
        <v>9126</v>
      </c>
    </row>
    <row r="2563" spans="1:8" ht="102" x14ac:dyDescent="0.2">
      <c r="A2563">
        <v>2561</v>
      </c>
      <c r="B2563" t="s">
        <v>1615</v>
      </c>
      <c r="C2563" t="s">
        <v>3053</v>
      </c>
      <c r="D2563" t="s">
        <v>6526</v>
      </c>
      <c r="E2563" t="s">
        <v>6626</v>
      </c>
      <c r="F2563" t="s">
        <v>6627</v>
      </c>
      <c r="G2563" t="s">
        <v>6649</v>
      </c>
      <c r="H2563" s="6" t="s">
        <v>9127</v>
      </c>
    </row>
    <row r="2564" spans="1:8" ht="102" x14ac:dyDescent="0.2">
      <c r="A2564">
        <v>2562</v>
      </c>
      <c r="B2564" t="s">
        <v>1615</v>
      </c>
      <c r="C2564" t="s">
        <v>3053</v>
      </c>
      <c r="D2564" t="s">
        <v>6526</v>
      </c>
      <c r="E2564" t="s">
        <v>6626</v>
      </c>
      <c r="F2564" t="s">
        <v>6627</v>
      </c>
      <c r="G2564" t="s">
        <v>6650</v>
      </c>
      <c r="H2564" s="6" t="s">
        <v>9128</v>
      </c>
    </row>
    <row r="2565" spans="1:8" ht="102" x14ac:dyDescent="0.2">
      <c r="A2565">
        <v>2563</v>
      </c>
      <c r="B2565" t="s">
        <v>1615</v>
      </c>
      <c r="C2565" t="s">
        <v>3053</v>
      </c>
      <c r="D2565" t="s">
        <v>6526</v>
      </c>
      <c r="E2565" t="s">
        <v>6626</v>
      </c>
      <c r="F2565" t="s">
        <v>6627</v>
      </c>
      <c r="G2565" t="s">
        <v>6651</v>
      </c>
      <c r="H2565" s="6" t="s">
        <v>9129</v>
      </c>
    </row>
    <row r="2566" spans="1:8" ht="136" x14ac:dyDescent="0.2">
      <c r="A2566">
        <v>2564</v>
      </c>
      <c r="B2566" t="s">
        <v>1615</v>
      </c>
      <c r="C2566" t="s">
        <v>3053</v>
      </c>
      <c r="D2566" t="s">
        <v>6526</v>
      </c>
      <c r="E2566" t="s">
        <v>6626</v>
      </c>
      <c r="F2566" t="s">
        <v>6627</v>
      </c>
      <c r="G2566" t="s">
        <v>6652</v>
      </c>
      <c r="H2566" s="6" t="s">
        <v>9130</v>
      </c>
    </row>
    <row r="2567" spans="1:8" ht="102" x14ac:dyDescent="0.2">
      <c r="A2567">
        <v>2565</v>
      </c>
      <c r="B2567" t="s">
        <v>1615</v>
      </c>
      <c r="C2567" t="s">
        <v>3053</v>
      </c>
      <c r="D2567" t="s">
        <v>6526</v>
      </c>
      <c r="E2567" t="s">
        <v>6626</v>
      </c>
      <c r="F2567" t="s">
        <v>6627</v>
      </c>
      <c r="G2567" t="s">
        <v>6653</v>
      </c>
      <c r="H2567" s="6" t="s">
        <v>9131</v>
      </c>
    </row>
    <row r="2568" spans="1:8" ht="85" x14ac:dyDescent="0.2">
      <c r="A2568">
        <v>2566</v>
      </c>
      <c r="B2568" t="s">
        <v>1615</v>
      </c>
      <c r="C2568" t="s">
        <v>3053</v>
      </c>
      <c r="D2568" t="s">
        <v>6526</v>
      </c>
      <c r="E2568" t="s">
        <v>6626</v>
      </c>
      <c r="F2568" t="s">
        <v>6627</v>
      </c>
      <c r="G2568" t="s">
        <v>6654</v>
      </c>
      <c r="H2568" s="6" t="s">
        <v>9132</v>
      </c>
    </row>
    <row r="2569" spans="1:8" ht="85" x14ac:dyDescent="0.2">
      <c r="A2569">
        <v>2567</v>
      </c>
      <c r="B2569" t="s">
        <v>1615</v>
      </c>
      <c r="C2569" t="s">
        <v>3053</v>
      </c>
      <c r="D2569" t="s">
        <v>6526</v>
      </c>
      <c r="E2569" t="s">
        <v>6626</v>
      </c>
      <c r="F2569" t="s">
        <v>6627</v>
      </c>
      <c r="G2569" t="s">
        <v>6655</v>
      </c>
      <c r="H2569" s="6" t="s">
        <v>9133</v>
      </c>
    </row>
    <row r="2570" spans="1:8" ht="85" x14ac:dyDescent="0.2">
      <c r="A2570">
        <v>2568</v>
      </c>
      <c r="B2570" t="s">
        <v>1615</v>
      </c>
      <c r="C2570" t="s">
        <v>3053</v>
      </c>
      <c r="D2570" t="s">
        <v>6526</v>
      </c>
      <c r="E2570" t="s">
        <v>6656</v>
      </c>
      <c r="F2570" t="s">
        <v>6657</v>
      </c>
      <c r="G2570" t="s">
        <v>6658</v>
      </c>
      <c r="H2570" s="6" t="s">
        <v>9134</v>
      </c>
    </row>
    <row r="2571" spans="1:8" ht="102" x14ac:dyDescent="0.2">
      <c r="A2571">
        <v>2569</v>
      </c>
      <c r="B2571" t="s">
        <v>1615</v>
      </c>
      <c r="C2571" t="s">
        <v>3053</v>
      </c>
      <c r="D2571" t="s">
        <v>6526</v>
      </c>
      <c r="E2571" t="s">
        <v>6656</v>
      </c>
      <c r="F2571" t="s">
        <v>6657</v>
      </c>
      <c r="G2571" t="s">
        <v>6659</v>
      </c>
      <c r="H2571" s="6" t="s">
        <v>9135</v>
      </c>
    </row>
    <row r="2572" spans="1:8" ht="136" x14ac:dyDescent="0.2">
      <c r="A2572">
        <v>2570</v>
      </c>
      <c r="B2572" t="s">
        <v>1615</v>
      </c>
      <c r="C2572" t="s">
        <v>3053</v>
      </c>
      <c r="D2572" t="s">
        <v>6526</v>
      </c>
      <c r="E2572" t="s">
        <v>6656</v>
      </c>
      <c r="F2572" t="s">
        <v>6657</v>
      </c>
      <c r="G2572" t="s">
        <v>6660</v>
      </c>
      <c r="H2572" s="6" t="s">
        <v>9136</v>
      </c>
    </row>
    <row r="2573" spans="1:8" ht="102" x14ac:dyDescent="0.2">
      <c r="A2573">
        <v>2571</v>
      </c>
      <c r="B2573" t="s">
        <v>1615</v>
      </c>
      <c r="C2573" t="s">
        <v>3053</v>
      </c>
      <c r="D2573" t="s">
        <v>6526</v>
      </c>
      <c r="E2573" t="s">
        <v>6656</v>
      </c>
      <c r="F2573" t="s">
        <v>6657</v>
      </c>
      <c r="G2573" t="s">
        <v>6661</v>
      </c>
      <c r="H2573" s="6" t="s">
        <v>9137</v>
      </c>
    </row>
    <row r="2574" spans="1:8" ht="102" x14ac:dyDescent="0.2">
      <c r="A2574">
        <v>2572</v>
      </c>
      <c r="B2574" t="s">
        <v>1615</v>
      </c>
      <c r="C2574" t="s">
        <v>3053</v>
      </c>
      <c r="D2574" t="s">
        <v>6526</v>
      </c>
      <c r="E2574" t="s">
        <v>6656</v>
      </c>
      <c r="F2574" t="s">
        <v>6657</v>
      </c>
      <c r="G2574" t="s">
        <v>6662</v>
      </c>
      <c r="H2574" s="6" t="s">
        <v>9138</v>
      </c>
    </row>
    <row r="2575" spans="1:8" ht="187" x14ac:dyDescent="0.2">
      <c r="A2575">
        <v>2573</v>
      </c>
      <c r="B2575" t="s">
        <v>1615</v>
      </c>
      <c r="C2575" t="s">
        <v>3053</v>
      </c>
      <c r="D2575" t="s">
        <v>6526</v>
      </c>
      <c r="E2575" t="s">
        <v>6656</v>
      </c>
      <c r="F2575" t="s">
        <v>6657</v>
      </c>
      <c r="G2575" t="s">
        <v>6663</v>
      </c>
      <c r="H2575" s="6" t="s">
        <v>9139</v>
      </c>
    </row>
    <row r="2576" spans="1:8" ht="170" x14ac:dyDescent="0.2">
      <c r="A2576">
        <v>2574</v>
      </c>
      <c r="B2576" t="s">
        <v>1615</v>
      </c>
      <c r="C2576" t="s">
        <v>3053</v>
      </c>
      <c r="D2576" t="s">
        <v>6526</v>
      </c>
      <c r="E2576" t="s">
        <v>6656</v>
      </c>
      <c r="F2576" t="s">
        <v>6657</v>
      </c>
      <c r="G2576" t="s">
        <v>6664</v>
      </c>
      <c r="H2576" s="6" t="s">
        <v>9140</v>
      </c>
    </row>
    <row r="2577" spans="1:8" ht="119" x14ac:dyDescent="0.2">
      <c r="A2577">
        <v>2575</v>
      </c>
      <c r="B2577" t="s">
        <v>1615</v>
      </c>
      <c r="C2577" t="s">
        <v>3053</v>
      </c>
      <c r="D2577" t="s">
        <v>6526</v>
      </c>
      <c r="E2577" t="s">
        <v>6656</v>
      </c>
      <c r="F2577" t="s">
        <v>6657</v>
      </c>
      <c r="G2577" t="s">
        <v>6665</v>
      </c>
      <c r="H2577" s="6" t="s">
        <v>9141</v>
      </c>
    </row>
    <row r="2578" spans="1:8" ht="85" x14ac:dyDescent="0.2">
      <c r="A2578">
        <v>2576</v>
      </c>
      <c r="B2578" t="s">
        <v>1615</v>
      </c>
      <c r="C2578" t="s">
        <v>3053</v>
      </c>
      <c r="D2578" t="s">
        <v>6526</v>
      </c>
      <c r="E2578" t="s">
        <v>6656</v>
      </c>
      <c r="F2578" t="s">
        <v>6657</v>
      </c>
      <c r="G2578" t="s">
        <v>6666</v>
      </c>
      <c r="H2578" s="6" t="s">
        <v>9142</v>
      </c>
    </row>
    <row r="2579" spans="1:8" ht="102" x14ac:dyDescent="0.2">
      <c r="A2579">
        <v>2577</v>
      </c>
      <c r="B2579" t="s">
        <v>1615</v>
      </c>
      <c r="C2579" t="s">
        <v>3053</v>
      </c>
      <c r="D2579" t="s">
        <v>6526</v>
      </c>
      <c r="E2579" t="s">
        <v>6656</v>
      </c>
      <c r="F2579" t="s">
        <v>6657</v>
      </c>
      <c r="G2579" t="s">
        <v>6667</v>
      </c>
      <c r="H2579" s="6" t="s">
        <v>9143</v>
      </c>
    </row>
    <row r="2580" spans="1:8" ht="119" x14ac:dyDescent="0.2">
      <c r="A2580">
        <v>2578</v>
      </c>
      <c r="B2580" t="s">
        <v>1615</v>
      </c>
      <c r="C2580" t="s">
        <v>3053</v>
      </c>
      <c r="D2580" t="s">
        <v>6526</v>
      </c>
      <c r="E2580" t="s">
        <v>6656</v>
      </c>
      <c r="F2580" t="s">
        <v>6657</v>
      </c>
      <c r="G2580" t="s">
        <v>6668</v>
      </c>
      <c r="H2580" s="6" t="s">
        <v>9144</v>
      </c>
    </row>
    <row r="2581" spans="1:8" ht="68" x14ac:dyDescent="0.2">
      <c r="A2581">
        <v>2579</v>
      </c>
      <c r="B2581" t="s">
        <v>1615</v>
      </c>
      <c r="C2581" t="s">
        <v>3053</v>
      </c>
      <c r="D2581" t="s">
        <v>6526</v>
      </c>
      <c r="E2581" t="s">
        <v>6669</v>
      </c>
      <c r="F2581" t="s">
        <v>3746</v>
      </c>
      <c r="G2581" t="s">
        <v>6670</v>
      </c>
      <c r="H2581" s="6" t="s">
        <v>9145</v>
      </c>
    </row>
    <row r="2582" spans="1:8" ht="85" x14ac:dyDescent="0.2">
      <c r="A2582">
        <v>2580</v>
      </c>
      <c r="B2582" t="s">
        <v>1615</v>
      </c>
      <c r="C2582" t="s">
        <v>3053</v>
      </c>
      <c r="D2582" t="s">
        <v>6526</v>
      </c>
      <c r="E2582" t="s">
        <v>6669</v>
      </c>
      <c r="F2582" t="s">
        <v>3746</v>
      </c>
      <c r="G2582" t="s">
        <v>6671</v>
      </c>
      <c r="H2582" s="6" t="s">
        <v>9146</v>
      </c>
    </row>
    <row r="2583" spans="1:8" ht="102" x14ac:dyDescent="0.2">
      <c r="A2583">
        <v>2581</v>
      </c>
      <c r="B2583" t="s">
        <v>1615</v>
      </c>
      <c r="C2583" t="s">
        <v>3053</v>
      </c>
      <c r="D2583" t="s">
        <v>6526</v>
      </c>
      <c r="E2583" t="s">
        <v>6669</v>
      </c>
      <c r="F2583" t="s">
        <v>3746</v>
      </c>
      <c r="G2583" t="s">
        <v>6672</v>
      </c>
      <c r="H2583" s="6" t="s">
        <v>9147</v>
      </c>
    </row>
    <row r="2584" spans="1:8" ht="102" x14ac:dyDescent="0.2">
      <c r="A2584">
        <v>2582</v>
      </c>
      <c r="B2584" t="s">
        <v>1615</v>
      </c>
      <c r="C2584" t="s">
        <v>3053</v>
      </c>
      <c r="D2584" t="s">
        <v>6526</v>
      </c>
      <c r="E2584" t="s">
        <v>6669</v>
      </c>
      <c r="F2584" t="s">
        <v>3746</v>
      </c>
      <c r="G2584" t="s">
        <v>6673</v>
      </c>
      <c r="H2584" s="6" t="s">
        <v>9148</v>
      </c>
    </row>
    <row r="2585" spans="1:8" ht="85" x14ac:dyDescent="0.2">
      <c r="A2585">
        <v>2583</v>
      </c>
      <c r="B2585" t="s">
        <v>1615</v>
      </c>
      <c r="C2585" t="s">
        <v>3053</v>
      </c>
      <c r="D2585" t="s">
        <v>6526</v>
      </c>
      <c r="E2585" t="s">
        <v>6669</v>
      </c>
      <c r="F2585" t="s">
        <v>3746</v>
      </c>
      <c r="G2585" t="s">
        <v>6674</v>
      </c>
      <c r="H2585" s="6" t="s">
        <v>9149</v>
      </c>
    </row>
    <row r="2586" spans="1:8" ht="102" x14ac:dyDescent="0.2">
      <c r="A2586">
        <v>2584</v>
      </c>
      <c r="B2586" t="s">
        <v>1615</v>
      </c>
      <c r="C2586" t="s">
        <v>3053</v>
      </c>
      <c r="D2586" t="s">
        <v>6526</v>
      </c>
      <c r="E2586" t="s">
        <v>6669</v>
      </c>
      <c r="F2586" t="s">
        <v>3746</v>
      </c>
      <c r="G2586" t="s">
        <v>6675</v>
      </c>
      <c r="H2586" s="6" t="s">
        <v>9150</v>
      </c>
    </row>
    <row r="2587" spans="1:8" ht="85" x14ac:dyDescent="0.2">
      <c r="A2587">
        <v>2585</v>
      </c>
      <c r="B2587" t="s">
        <v>1615</v>
      </c>
      <c r="C2587" t="s">
        <v>3053</v>
      </c>
      <c r="D2587" t="s">
        <v>6526</v>
      </c>
      <c r="E2587" t="s">
        <v>6669</v>
      </c>
      <c r="F2587" t="s">
        <v>3746</v>
      </c>
      <c r="G2587" t="s">
        <v>6676</v>
      </c>
      <c r="H2587" s="6" t="s">
        <v>9151</v>
      </c>
    </row>
    <row r="2588" spans="1:8" ht="85" x14ac:dyDescent="0.2">
      <c r="A2588">
        <v>2586</v>
      </c>
      <c r="B2588" t="s">
        <v>1615</v>
      </c>
      <c r="C2588" t="s">
        <v>3053</v>
      </c>
      <c r="D2588" t="s">
        <v>6526</v>
      </c>
      <c r="E2588" t="s">
        <v>6669</v>
      </c>
      <c r="F2588" t="s">
        <v>3746</v>
      </c>
      <c r="G2588" t="s">
        <v>6677</v>
      </c>
      <c r="H2588" s="6" t="s">
        <v>9152</v>
      </c>
    </row>
    <row r="2589" spans="1:8" ht="85" x14ac:dyDescent="0.2">
      <c r="A2589">
        <v>2587</v>
      </c>
      <c r="B2589" t="s">
        <v>1615</v>
      </c>
      <c r="C2589" t="s">
        <v>3053</v>
      </c>
      <c r="D2589" t="s">
        <v>6526</v>
      </c>
      <c r="E2589" t="s">
        <v>6669</v>
      </c>
      <c r="F2589" t="s">
        <v>3746</v>
      </c>
      <c r="G2589" t="s">
        <v>6678</v>
      </c>
      <c r="H2589" s="6" t="s">
        <v>9153</v>
      </c>
    </row>
    <row r="2590" spans="1:8" ht="85" x14ac:dyDescent="0.2">
      <c r="A2590">
        <v>2588</v>
      </c>
      <c r="B2590" t="s">
        <v>1615</v>
      </c>
      <c r="C2590" t="s">
        <v>3053</v>
      </c>
      <c r="D2590" t="s">
        <v>6526</v>
      </c>
      <c r="E2590" t="s">
        <v>6669</v>
      </c>
      <c r="F2590" t="s">
        <v>3746</v>
      </c>
      <c r="G2590" t="s">
        <v>6679</v>
      </c>
      <c r="H2590" s="6" t="s">
        <v>9154</v>
      </c>
    </row>
    <row r="2591" spans="1:8" ht="102" x14ac:dyDescent="0.2">
      <c r="A2591">
        <v>2589</v>
      </c>
      <c r="B2591" t="s">
        <v>1615</v>
      </c>
      <c r="C2591" t="s">
        <v>3053</v>
      </c>
      <c r="D2591" t="s">
        <v>6526</v>
      </c>
      <c r="E2591" t="s">
        <v>6669</v>
      </c>
      <c r="F2591" t="s">
        <v>3746</v>
      </c>
      <c r="G2591" t="s">
        <v>6680</v>
      </c>
      <c r="H2591" s="6" t="s">
        <v>9155</v>
      </c>
    </row>
    <row r="2592" spans="1:8" ht="102" x14ac:dyDescent="0.2">
      <c r="A2592">
        <v>2590</v>
      </c>
      <c r="B2592" t="s">
        <v>1615</v>
      </c>
      <c r="C2592" t="s">
        <v>3053</v>
      </c>
      <c r="D2592" t="s">
        <v>6526</v>
      </c>
      <c r="E2592" t="s">
        <v>6669</v>
      </c>
      <c r="F2592" t="s">
        <v>3746</v>
      </c>
      <c r="G2592" t="s">
        <v>6681</v>
      </c>
      <c r="H2592" s="6" t="s">
        <v>9156</v>
      </c>
    </row>
    <row r="2593" spans="1:8" ht="136" x14ac:dyDescent="0.2">
      <c r="A2593">
        <v>2591</v>
      </c>
      <c r="B2593" t="s">
        <v>1615</v>
      </c>
      <c r="C2593" t="s">
        <v>3053</v>
      </c>
      <c r="D2593" t="s">
        <v>6526</v>
      </c>
      <c r="E2593" t="s">
        <v>6669</v>
      </c>
      <c r="F2593" t="s">
        <v>3746</v>
      </c>
      <c r="G2593" t="s">
        <v>6682</v>
      </c>
      <c r="H2593" s="6" t="s">
        <v>9157</v>
      </c>
    </row>
    <row r="2594" spans="1:8" ht="102" x14ac:dyDescent="0.2">
      <c r="A2594">
        <v>2592</v>
      </c>
      <c r="B2594" t="s">
        <v>1615</v>
      </c>
      <c r="C2594" t="s">
        <v>3053</v>
      </c>
      <c r="D2594" t="s">
        <v>6526</v>
      </c>
      <c r="E2594" t="s">
        <v>6669</v>
      </c>
      <c r="F2594" t="s">
        <v>3746</v>
      </c>
      <c r="G2594" t="s">
        <v>6683</v>
      </c>
      <c r="H2594" s="6" t="s">
        <v>9158</v>
      </c>
    </row>
    <row r="2595" spans="1:8" ht="102" x14ac:dyDescent="0.2">
      <c r="A2595">
        <v>2593</v>
      </c>
      <c r="B2595" t="s">
        <v>1615</v>
      </c>
      <c r="C2595" t="s">
        <v>3053</v>
      </c>
      <c r="D2595" t="s">
        <v>6526</v>
      </c>
      <c r="E2595" t="s">
        <v>6669</v>
      </c>
      <c r="F2595" t="s">
        <v>3746</v>
      </c>
      <c r="G2595" t="s">
        <v>6684</v>
      </c>
      <c r="H2595" s="6" t="s">
        <v>9159</v>
      </c>
    </row>
    <row r="2596" spans="1:8" ht="85" x14ac:dyDescent="0.2">
      <c r="A2596">
        <v>2594</v>
      </c>
      <c r="B2596" t="s">
        <v>1615</v>
      </c>
      <c r="C2596" t="s">
        <v>3053</v>
      </c>
      <c r="D2596" t="s">
        <v>6526</v>
      </c>
      <c r="E2596" t="s">
        <v>6669</v>
      </c>
      <c r="F2596" t="s">
        <v>3746</v>
      </c>
      <c r="G2596" t="s">
        <v>6685</v>
      </c>
      <c r="H2596" s="6" t="s">
        <v>9160</v>
      </c>
    </row>
    <row r="2597" spans="1:8" ht="85" x14ac:dyDescent="0.2">
      <c r="A2597">
        <v>2595</v>
      </c>
      <c r="B2597" t="s">
        <v>1615</v>
      </c>
      <c r="C2597" t="s">
        <v>3053</v>
      </c>
      <c r="D2597" t="s">
        <v>6526</v>
      </c>
      <c r="E2597" t="s">
        <v>6669</v>
      </c>
      <c r="F2597" t="s">
        <v>3746</v>
      </c>
      <c r="G2597" t="s">
        <v>6686</v>
      </c>
      <c r="H2597" s="6" t="s">
        <v>9161</v>
      </c>
    </row>
    <row r="2598" spans="1:8" ht="102" x14ac:dyDescent="0.2">
      <c r="A2598">
        <v>2596</v>
      </c>
      <c r="B2598" t="s">
        <v>1615</v>
      </c>
      <c r="C2598" t="s">
        <v>3053</v>
      </c>
      <c r="D2598" t="s">
        <v>6526</v>
      </c>
      <c r="E2598" t="s">
        <v>6669</v>
      </c>
      <c r="F2598" t="s">
        <v>3746</v>
      </c>
      <c r="G2598" t="s">
        <v>6687</v>
      </c>
      <c r="H2598" s="6" t="s">
        <v>9162</v>
      </c>
    </row>
    <row r="2599" spans="1:8" ht="85" x14ac:dyDescent="0.2">
      <c r="A2599">
        <v>2597</v>
      </c>
      <c r="B2599" t="s">
        <v>1615</v>
      </c>
      <c r="C2599" t="s">
        <v>3053</v>
      </c>
      <c r="D2599" t="s">
        <v>6526</v>
      </c>
      <c r="E2599" t="s">
        <v>6669</v>
      </c>
      <c r="F2599" t="s">
        <v>3746</v>
      </c>
      <c r="G2599" t="s">
        <v>6688</v>
      </c>
      <c r="H2599" s="6" t="s">
        <v>9163</v>
      </c>
    </row>
    <row r="2600" spans="1:8" ht="102" x14ac:dyDescent="0.2">
      <c r="A2600">
        <v>2598</v>
      </c>
      <c r="B2600" t="s">
        <v>1615</v>
      </c>
      <c r="C2600" t="s">
        <v>3053</v>
      </c>
      <c r="D2600" t="s">
        <v>6526</v>
      </c>
      <c r="E2600" t="s">
        <v>6669</v>
      </c>
      <c r="F2600" t="s">
        <v>3746</v>
      </c>
      <c r="G2600" t="s">
        <v>6689</v>
      </c>
      <c r="H2600" s="6" t="s">
        <v>9164</v>
      </c>
    </row>
    <row r="2601" spans="1:8" ht="85" x14ac:dyDescent="0.2">
      <c r="A2601">
        <v>2599</v>
      </c>
      <c r="B2601" t="s">
        <v>1615</v>
      </c>
      <c r="C2601" t="s">
        <v>3053</v>
      </c>
      <c r="D2601" t="s">
        <v>6526</v>
      </c>
      <c r="E2601" t="s">
        <v>6669</v>
      </c>
      <c r="F2601" t="s">
        <v>3746</v>
      </c>
      <c r="G2601" t="s">
        <v>6690</v>
      </c>
      <c r="H2601" s="6" t="s">
        <v>9165</v>
      </c>
    </row>
    <row r="2602" spans="1:8" ht="102" x14ac:dyDescent="0.2">
      <c r="A2602">
        <v>2600</v>
      </c>
      <c r="B2602" t="s">
        <v>1615</v>
      </c>
      <c r="C2602" t="s">
        <v>3053</v>
      </c>
      <c r="D2602" t="s">
        <v>6526</v>
      </c>
      <c r="E2602" t="s">
        <v>6669</v>
      </c>
      <c r="F2602" t="s">
        <v>3746</v>
      </c>
      <c r="G2602" t="s">
        <v>6691</v>
      </c>
      <c r="H2602" s="6" t="s">
        <v>9166</v>
      </c>
    </row>
    <row r="2603" spans="1:8" ht="102" x14ac:dyDescent="0.2">
      <c r="A2603">
        <v>2601</v>
      </c>
      <c r="B2603" t="s">
        <v>1615</v>
      </c>
      <c r="C2603" t="s">
        <v>3053</v>
      </c>
      <c r="D2603" t="s">
        <v>6526</v>
      </c>
      <c r="E2603" t="s">
        <v>6669</v>
      </c>
      <c r="F2603" t="s">
        <v>3746</v>
      </c>
      <c r="G2603" t="s">
        <v>6692</v>
      </c>
      <c r="H2603" s="6" t="s">
        <v>9167</v>
      </c>
    </row>
    <row r="2604" spans="1:8" ht="102" x14ac:dyDescent="0.2">
      <c r="A2604">
        <v>2602</v>
      </c>
      <c r="B2604" t="s">
        <v>1615</v>
      </c>
      <c r="C2604" t="s">
        <v>3053</v>
      </c>
      <c r="D2604" t="s">
        <v>6526</v>
      </c>
      <c r="E2604" t="s">
        <v>6669</v>
      </c>
      <c r="F2604" t="s">
        <v>3746</v>
      </c>
      <c r="G2604" t="s">
        <v>6693</v>
      </c>
      <c r="H2604" s="6" t="s">
        <v>9168</v>
      </c>
    </row>
    <row r="2605" spans="1:8" ht="85" x14ac:dyDescent="0.2">
      <c r="A2605">
        <v>2603</v>
      </c>
      <c r="B2605" t="s">
        <v>1615</v>
      </c>
      <c r="C2605" t="s">
        <v>3053</v>
      </c>
      <c r="D2605" t="s">
        <v>6526</v>
      </c>
      <c r="E2605" t="s">
        <v>6669</v>
      </c>
      <c r="F2605" t="s">
        <v>3746</v>
      </c>
      <c r="G2605" t="s">
        <v>6694</v>
      </c>
      <c r="H2605" s="6" t="s">
        <v>9169</v>
      </c>
    </row>
    <row r="2606" spans="1:8" ht="153" x14ac:dyDescent="0.2">
      <c r="A2606">
        <v>2604</v>
      </c>
      <c r="B2606" t="s">
        <v>1615</v>
      </c>
      <c r="C2606" t="s">
        <v>3053</v>
      </c>
      <c r="D2606" t="s">
        <v>6526</v>
      </c>
      <c r="E2606" t="s">
        <v>6669</v>
      </c>
      <c r="F2606" t="s">
        <v>3746</v>
      </c>
      <c r="G2606" t="s">
        <v>6695</v>
      </c>
      <c r="H2606" s="6" t="s">
        <v>9170</v>
      </c>
    </row>
    <row r="2607" spans="1:8" ht="85" x14ac:dyDescent="0.2">
      <c r="A2607">
        <v>2605</v>
      </c>
      <c r="B2607" t="s">
        <v>1615</v>
      </c>
      <c r="C2607" t="s">
        <v>3053</v>
      </c>
      <c r="D2607" t="s">
        <v>6526</v>
      </c>
      <c r="E2607" t="s">
        <v>6669</v>
      </c>
      <c r="F2607" t="s">
        <v>3746</v>
      </c>
      <c r="G2607" t="s">
        <v>6696</v>
      </c>
      <c r="H2607" s="6" t="s">
        <v>9171</v>
      </c>
    </row>
    <row r="2608" spans="1:8" ht="102" x14ac:dyDescent="0.2">
      <c r="A2608">
        <v>2606</v>
      </c>
      <c r="B2608" t="s">
        <v>1615</v>
      </c>
      <c r="C2608" t="s">
        <v>3053</v>
      </c>
      <c r="D2608" t="s">
        <v>6526</v>
      </c>
      <c r="E2608" t="s">
        <v>6669</v>
      </c>
      <c r="F2608" t="s">
        <v>3746</v>
      </c>
      <c r="G2608" t="s">
        <v>6697</v>
      </c>
      <c r="H2608" s="6" t="s">
        <v>9172</v>
      </c>
    </row>
    <row r="2609" spans="1:8" ht="85" x14ac:dyDescent="0.2">
      <c r="A2609">
        <v>2607</v>
      </c>
      <c r="B2609" t="s">
        <v>1615</v>
      </c>
      <c r="C2609" t="s">
        <v>3053</v>
      </c>
      <c r="D2609" t="s">
        <v>6526</v>
      </c>
      <c r="E2609" t="s">
        <v>6669</v>
      </c>
      <c r="F2609" t="s">
        <v>3746</v>
      </c>
      <c r="G2609" t="s">
        <v>6698</v>
      </c>
      <c r="H2609" s="6" t="s">
        <v>9173</v>
      </c>
    </row>
    <row r="2610" spans="1:8" ht="51" x14ac:dyDescent="0.2">
      <c r="A2610">
        <v>2608</v>
      </c>
      <c r="B2610" t="s">
        <v>1615</v>
      </c>
      <c r="C2610" t="s">
        <v>3053</v>
      </c>
      <c r="D2610" t="s">
        <v>6526</v>
      </c>
      <c r="E2610" t="s">
        <v>6699</v>
      </c>
      <c r="F2610" t="s">
        <v>6700</v>
      </c>
      <c r="G2610" t="s">
        <v>6701</v>
      </c>
      <c r="H2610" s="6" t="s">
        <v>9174</v>
      </c>
    </row>
    <row r="2611" spans="1:8" ht="85" x14ac:dyDescent="0.2">
      <c r="A2611">
        <v>2609</v>
      </c>
      <c r="B2611" t="s">
        <v>1615</v>
      </c>
      <c r="C2611" t="s">
        <v>3053</v>
      </c>
      <c r="D2611" t="s">
        <v>6526</v>
      </c>
      <c r="E2611" t="s">
        <v>6699</v>
      </c>
      <c r="F2611" t="s">
        <v>6700</v>
      </c>
      <c r="G2611" t="s">
        <v>6702</v>
      </c>
      <c r="H2611" s="6" t="s">
        <v>9175</v>
      </c>
    </row>
    <row r="2612" spans="1:8" ht="153" x14ac:dyDescent="0.2">
      <c r="A2612">
        <v>2610</v>
      </c>
      <c r="B2612" t="s">
        <v>1615</v>
      </c>
      <c r="C2612" t="s">
        <v>3053</v>
      </c>
      <c r="D2612" t="s">
        <v>6526</v>
      </c>
      <c r="E2612" t="s">
        <v>6699</v>
      </c>
      <c r="F2612" t="s">
        <v>6700</v>
      </c>
      <c r="G2612" t="s">
        <v>6703</v>
      </c>
      <c r="H2612" s="6" t="s">
        <v>9176</v>
      </c>
    </row>
  </sheetData>
  <hyperlinks>
    <hyperlink ref="G10" r:id="rId1" location="L2" xr:uid="{5815E7D7-CA15-A44B-9EE7-F24E30621FFD}"/>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75C2C-1E5D-3543-80B9-7020D3BA3063}">
  <dimension ref="A1:K5"/>
  <sheetViews>
    <sheetView tabSelected="1" topLeftCell="B1" zoomScale="131" workbookViewId="0">
      <selection activeCell="K3" sqref="K3"/>
    </sheetView>
  </sheetViews>
  <sheetFormatPr baseColWidth="10" defaultRowHeight="16" x14ac:dyDescent="0.2"/>
  <cols>
    <col min="3" max="3" width="16.5" customWidth="1"/>
    <col min="4" max="4" width="19" customWidth="1"/>
    <col min="5" max="5" width="27.6640625" customWidth="1"/>
    <col min="6" max="6" width="13.5" style="6" customWidth="1"/>
    <col min="7" max="7" width="15" customWidth="1"/>
  </cols>
  <sheetData>
    <row r="1" spans="1:11" ht="43" x14ac:dyDescent="0.2">
      <c r="A1" s="4" t="s">
        <v>1600</v>
      </c>
      <c r="B1" s="4" t="s">
        <v>1604</v>
      </c>
      <c r="C1" s="4" t="s">
        <v>1601</v>
      </c>
      <c r="D1" s="4" t="s">
        <v>1606</v>
      </c>
      <c r="E1" s="4" t="s">
        <v>1607</v>
      </c>
      <c r="F1" s="5" t="s">
        <v>3363</v>
      </c>
      <c r="G1" s="4" t="s">
        <v>1846</v>
      </c>
      <c r="H1" s="4" t="s">
        <v>1851</v>
      </c>
      <c r="I1" s="4" t="s">
        <v>1847</v>
      </c>
      <c r="J1" s="4" t="s">
        <v>1845</v>
      </c>
      <c r="K1" s="4" t="s">
        <v>1852</v>
      </c>
    </row>
    <row r="2" spans="1:11" x14ac:dyDescent="0.2">
      <c r="A2" s="4" t="s">
        <v>2</v>
      </c>
      <c r="B2" s="4">
        <v>1898</v>
      </c>
      <c r="C2" s="4">
        <v>832</v>
      </c>
      <c r="D2" s="4">
        <f>275+282</f>
        <v>557</v>
      </c>
      <c r="E2" s="4">
        <v>541</v>
      </c>
      <c r="F2" s="6">
        <f>'Error Message Vibecoding'!E1</f>
        <v>12</v>
      </c>
      <c r="G2">
        <f>'Error Message Vibecoding'!F1</f>
        <v>91</v>
      </c>
      <c r="H2">
        <v>4</v>
      </c>
      <c r="I2">
        <f>COUNTIFS(full_exp_sheet!G:G,TRUE,full_exp_sheet!D:D,TRUE)</f>
        <v>4</v>
      </c>
      <c r="J2">
        <f>COUNTIFS(full_exp_sheet!G:G,TRUE,full_exp_sheet!D:D,FALSE)</f>
        <v>456</v>
      </c>
      <c r="K2">
        <f>E2-G2-H2-I2</f>
        <v>442</v>
      </c>
    </row>
    <row r="3" spans="1:11" x14ac:dyDescent="0.2">
      <c r="A3" s="4" t="s">
        <v>1602</v>
      </c>
      <c r="B3" s="4">
        <v>2387</v>
      </c>
      <c r="C3" s="4">
        <v>1144</v>
      </c>
      <c r="D3">
        <f>79+735</f>
        <v>814</v>
      </c>
      <c r="E3">
        <v>816</v>
      </c>
      <c r="F3" s="6">
        <f>'Error Message Sideproject'!E1</f>
        <v>121</v>
      </c>
      <c r="G3">
        <f>'Error Message Sideproject'!F1 +1</f>
        <v>115</v>
      </c>
      <c r="H3">
        <v>4</v>
      </c>
      <c r="I3">
        <f>COUNTIFS(full_exp_sheet!F:F, TRUE,full_exp_sheet!D:D,TRUE)</f>
        <v>7</v>
      </c>
      <c r="J3" s="4">
        <f>J7</f>
        <v>0</v>
      </c>
      <c r="K3">
        <f>E3-G3-H3-I3</f>
        <v>690</v>
      </c>
    </row>
    <row r="4" spans="1:11" x14ac:dyDescent="0.2">
      <c r="A4" s="4" t="s">
        <v>1608</v>
      </c>
      <c r="B4" s="4" t="s">
        <v>1605</v>
      </c>
      <c r="C4" s="4"/>
      <c r="E4">
        <f>numbers!F6*E2</f>
        <v>180.33333333333331</v>
      </c>
    </row>
    <row r="5" spans="1:11" x14ac:dyDescent="0.2">
      <c r="A5" s="4" t="s">
        <v>1603</v>
      </c>
      <c r="B5" s="4" t="s">
        <v>1605</v>
      </c>
      <c r="C5" s="4"/>
      <c r="E5">
        <f>_xlfn.FLOOR.MATH(E2*numbers!B9)</f>
        <v>12233</v>
      </c>
      <c r="J5">
        <f>J2 + J3</f>
        <v>456</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64D11-2261-9140-8364-7DA1AB2BBC35}">
  <dimension ref="A1:D59"/>
  <sheetViews>
    <sheetView workbookViewId="0">
      <selection activeCell="H21" sqref="H21"/>
    </sheetView>
  </sheetViews>
  <sheetFormatPr baseColWidth="10" defaultRowHeight="16" x14ac:dyDescent="0.2"/>
  <sheetData>
    <row r="1" spans="1:4" x14ac:dyDescent="0.2">
      <c r="A1" t="s">
        <v>604</v>
      </c>
      <c r="B1" t="s">
        <v>2995</v>
      </c>
      <c r="C1">
        <v>60</v>
      </c>
      <c r="D1" t="s">
        <v>606</v>
      </c>
    </row>
    <row r="2" spans="1:4" x14ac:dyDescent="0.2">
      <c r="A2" t="s">
        <v>604</v>
      </c>
      <c r="B2" t="s">
        <v>2996</v>
      </c>
      <c r="C2">
        <v>482</v>
      </c>
      <c r="D2" t="s">
        <v>606</v>
      </c>
    </row>
    <row r="3" spans="1:4" x14ac:dyDescent="0.2">
      <c r="A3" t="s">
        <v>604</v>
      </c>
      <c r="B3" t="s">
        <v>605</v>
      </c>
      <c r="C3">
        <v>45</v>
      </c>
      <c r="D3" t="s">
        <v>606</v>
      </c>
    </row>
    <row r="4" spans="1:4" x14ac:dyDescent="0.2">
      <c r="A4" t="s">
        <v>604</v>
      </c>
      <c r="B4" t="s">
        <v>746</v>
      </c>
      <c r="C4">
        <v>1275</v>
      </c>
      <c r="D4" t="s">
        <v>606</v>
      </c>
    </row>
    <row r="5" spans="1:4" x14ac:dyDescent="0.2">
      <c r="A5" t="s">
        <v>604</v>
      </c>
      <c r="B5" t="s">
        <v>612</v>
      </c>
      <c r="C5">
        <v>100</v>
      </c>
      <c r="D5" t="s">
        <v>606</v>
      </c>
    </row>
    <row r="6" spans="1:4" x14ac:dyDescent="0.2">
      <c r="A6" t="s">
        <v>604</v>
      </c>
      <c r="B6" t="s">
        <v>2997</v>
      </c>
      <c r="C6">
        <v>467</v>
      </c>
      <c r="D6" t="s">
        <v>606</v>
      </c>
    </row>
    <row r="7" spans="1:4" x14ac:dyDescent="0.2">
      <c r="A7" t="s">
        <v>604</v>
      </c>
      <c r="B7" t="s">
        <v>2998</v>
      </c>
      <c r="C7">
        <v>234</v>
      </c>
      <c r="D7" t="s">
        <v>606</v>
      </c>
    </row>
    <row r="8" spans="1:4" x14ac:dyDescent="0.2">
      <c r="A8" t="s">
        <v>604</v>
      </c>
      <c r="B8" t="s">
        <v>2999</v>
      </c>
      <c r="C8">
        <v>34</v>
      </c>
      <c r="D8" t="s">
        <v>606</v>
      </c>
    </row>
    <row r="9" spans="1:4" x14ac:dyDescent="0.2">
      <c r="A9" t="s">
        <v>604</v>
      </c>
      <c r="B9" t="s">
        <v>897</v>
      </c>
      <c r="C9">
        <v>10</v>
      </c>
      <c r="D9" t="s">
        <v>606</v>
      </c>
    </row>
    <row r="10" spans="1:4" x14ac:dyDescent="0.2">
      <c r="A10" t="s">
        <v>604</v>
      </c>
      <c r="B10" t="s">
        <v>745</v>
      </c>
      <c r="C10">
        <v>114</v>
      </c>
      <c r="D10" t="s">
        <v>606</v>
      </c>
    </row>
    <row r="11" spans="1:4" x14ac:dyDescent="0.2">
      <c r="A11" t="s">
        <v>604</v>
      </c>
      <c r="B11" t="s">
        <v>3000</v>
      </c>
      <c r="C11">
        <v>14</v>
      </c>
      <c r="D11" t="s">
        <v>606</v>
      </c>
    </row>
    <row r="12" spans="1:4" x14ac:dyDescent="0.2">
      <c r="A12" t="s">
        <v>604</v>
      </c>
      <c r="B12" t="s">
        <v>3001</v>
      </c>
      <c r="C12">
        <v>15</v>
      </c>
      <c r="D12" t="s">
        <v>606</v>
      </c>
    </row>
    <row r="13" spans="1:4" x14ac:dyDescent="0.2">
      <c r="A13" t="s">
        <v>604</v>
      </c>
      <c r="B13" t="s">
        <v>3002</v>
      </c>
      <c r="C13">
        <v>836</v>
      </c>
      <c r="D13" t="s">
        <v>606</v>
      </c>
    </row>
    <row r="14" spans="1:4" x14ac:dyDescent="0.2">
      <c r="A14" t="s">
        <v>604</v>
      </c>
      <c r="B14" t="s">
        <v>3003</v>
      </c>
      <c r="C14">
        <v>321</v>
      </c>
      <c r="D14" t="s">
        <v>606</v>
      </c>
    </row>
    <row r="15" spans="1:4" x14ac:dyDescent="0.2">
      <c r="A15" t="s">
        <v>604</v>
      </c>
      <c r="B15" t="s">
        <v>3004</v>
      </c>
      <c r="C15">
        <v>14</v>
      </c>
      <c r="D15" t="s">
        <v>606</v>
      </c>
    </row>
    <row r="16" spans="1:4" x14ac:dyDescent="0.2">
      <c r="A16" t="s">
        <v>604</v>
      </c>
      <c r="B16" t="s">
        <v>3005</v>
      </c>
      <c r="C16">
        <v>2590</v>
      </c>
      <c r="D16" t="s">
        <v>606</v>
      </c>
    </row>
    <row r="17" spans="1:4" x14ac:dyDescent="0.2">
      <c r="A17" t="s">
        <v>604</v>
      </c>
      <c r="B17" t="s">
        <v>3006</v>
      </c>
      <c r="C17">
        <v>46</v>
      </c>
      <c r="D17" t="s">
        <v>606</v>
      </c>
    </row>
    <row r="18" spans="1:4" x14ac:dyDescent="0.2">
      <c r="A18" t="s">
        <v>604</v>
      </c>
      <c r="B18" t="s">
        <v>3007</v>
      </c>
      <c r="C18">
        <v>94</v>
      </c>
      <c r="D18" t="s">
        <v>606</v>
      </c>
    </row>
    <row r="19" spans="1:4" x14ac:dyDescent="0.2">
      <c r="A19" t="s">
        <v>604</v>
      </c>
      <c r="B19" t="s">
        <v>3008</v>
      </c>
      <c r="C19">
        <v>11</v>
      </c>
      <c r="D19" t="s">
        <v>606</v>
      </c>
    </row>
    <row r="20" spans="1:4" x14ac:dyDescent="0.2">
      <c r="A20" t="s">
        <v>604</v>
      </c>
      <c r="B20" t="s">
        <v>3009</v>
      </c>
      <c r="C20">
        <v>96</v>
      </c>
      <c r="D20" t="s">
        <v>606</v>
      </c>
    </row>
    <row r="21" spans="1:4" x14ac:dyDescent="0.2">
      <c r="A21" t="s">
        <v>604</v>
      </c>
      <c r="B21" t="s">
        <v>3010</v>
      </c>
      <c r="C21">
        <v>45</v>
      </c>
      <c r="D21" t="s">
        <v>606</v>
      </c>
    </row>
    <row r="22" spans="1:4" x14ac:dyDescent="0.2">
      <c r="A22" t="s">
        <v>604</v>
      </c>
      <c r="B22" t="s">
        <v>608</v>
      </c>
      <c r="C22">
        <v>44</v>
      </c>
      <c r="D22" t="s">
        <v>606</v>
      </c>
    </row>
    <row r="23" spans="1:4" x14ac:dyDescent="0.2">
      <c r="A23" t="s">
        <v>604</v>
      </c>
      <c r="B23" t="s">
        <v>607</v>
      </c>
      <c r="C23">
        <v>44</v>
      </c>
      <c r="D23" t="s">
        <v>606</v>
      </c>
    </row>
    <row r="24" spans="1:4" x14ac:dyDescent="0.2">
      <c r="A24" t="s">
        <v>604</v>
      </c>
      <c r="B24" t="s">
        <v>3011</v>
      </c>
      <c r="C24">
        <v>197</v>
      </c>
      <c r="D24" t="s">
        <v>606</v>
      </c>
    </row>
    <row r="25" spans="1:4" x14ac:dyDescent="0.2">
      <c r="A25" t="s">
        <v>604</v>
      </c>
      <c r="B25" t="s">
        <v>3012</v>
      </c>
      <c r="C25">
        <v>28</v>
      </c>
      <c r="D25" t="s">
        <v>606</v>
      </c>
    </row>
    <row r="26" spans="1:4" x14ac:dyDescent="0.2">
      <c r="A26" t="s">
        <v>604</v>
      </c>
      <c r="B26" t="s">
        <v>3013</v>
      </c>
      <c r="C26">
        <v>23</v>
      </c>
      <c r="D26" t="s">
        <v>606</v>
      </c>
    </row>
    <row r="27" spans="1:4" x14ac:dyDescent="0.2">
      <c r="A27" t="s">
        <v>604</v>
      </c>
      <c r="B27" t="s">
        <v>3014</v>
      </c>
      <c r="C27">
        <v>46</v>
      </c>
      <c r="D27" t="s">
        <v>606</v>
      </c>
    </row>
    <row r="28" spans="1:4" x14ac:dyDescent="0.2">
      <c r="A28" t="s">
        <v>604</v>
      </c>
      <c r="B28" t="s">
        <v>3015</v>
      </c>
      <c r="C28">
        <v>11</v>
      </c>
      <c r="D28" t="s">
        <v>606</v>
      </c>
    </row>
    <row r="29" spans="1:4" x14ac:dyDescent="0.2">
      <c r="A29" t="s">
        <v>604</v>
      </c>
      <c r="B29" t="s">
        <v>3016</v>
      </c>
      <c r="C29">
        <v>44</v>
      </c>
      <c r="D29" t="s">
        <v>606</v>
      </c>
    </row>
    <row r="30" spans="1:4" x14ac:dyDescent="0.2">
      <c r="A30" t="s">
        <v>604</v>
      </c>
      <c r="B30" t="s">
        <v>3017</v>
      </c>
      <c r="C30">
        <v>245</v>
      </c>
      <c r="D30" t="s">
        <v>606</v>
      </c>
    </row>
    <row r="31" spans="1:4" x14ac:dyDescent="0.2">
      <c r="A31" t="s">
        <v>604</v>
      </c>
      <c r="B31" t="s">
        <v>3018</v>
      </c>
      <c r="C31">
        <v>45</v>
      </c>
      <c r="D31" t="s">
        <v>606</v>
      </c>
    </row>
    <row r="32" spans="1:4" x14ac:dyDescent="0.2">
      <c r="A32" t="s">
        <v>604</v>
      </c>
      <c r="B32" t="s">
        <v>3019</v>
      </c>
      <c r="C32">
        <v>27</v>
      </c>
      <c r="D32" t="s">
        <v>606</v>
      </c>
    </row>
    <row r="33" spans="1:4" x14ac:dyDescent="0.2">
      <c r="A33" t="s">
        <v>604</v>
      </c>
      <c r="B33" t="s">
        <v>3020</v>
      </c>
      <c r="C33">
        <v>10</v>
      </c>
      <c r="D33" t="s">
        <v>606</v>
      </c>
    </row>
    <row r="34" spans="1:4" x14ac:dyDescent="0.2">
      <c r="A34" t="s">
        <v>604</v>
      </c>
      <c r="B34" t="s">
        <v>3021</v>
      </c>
      <c r="C34">
        <v>132</v>
      </c>
      <c r="D34" t="s">
        <v>606</v>
      </c>
    </row>
    <row r="35" spans="1:4" x14ac:dyDescent="0.2">
      <c r="A35" t="s">
        <v>604</v>
      </c>
      <c r="B35" t="s">
        <v>3022</v>
      </c>
      <c r="C35">
        <v>45</v>
      </c>
      <c r="D35" t="s">
        <v>606</v>
      </c>
    </row>
    <row r="36" spans="1:4" x14ac:dyDescent="0.2">
      <c r="A36" t="s">
        <v>604</v>
      </c>
      <c r="B36" t="s">
        <v>3023</v>
      </c>
      <c r="C36">
        <v>30</v>
      </c>
      <c r="D36" t="s">
        <v>606</v>
      </c>
    </row>
    <row r="37" spans="1:4" x14ac:dyDescent="0.2">
      <c r="A37" t="s">
        <v>604</v>
      </c>
      <c r="B37" t="s">
        <v>3024</v>
      </c>
      <c r="C37">
        <v>22</v>
      </c>
      <c r="D37" t="s">
        <v>606</v>
      </c>
    </row>
    <row r="38" spans="1:4" x14ac:dyDescent="0.2">
      <c r="A38" t="s">
        <v>604</v>
      </c>
      <c r="B38" t="s">
        <v>3025</v>
      </c>
      <c r="C38">
        <v>113</v>
      </c>
      <c r="D38" t="s">
        <v>606</v>
      </c>
    </row>
    <row r="39" spans="1:4" x14ac:dyDescent="0.2">
      <c r="A39" t="s">
        <v>604</v>
      </c>
      <c r="B39" t="s">
        <v>3026</v>
      </c>
      <c r="C39">
        <v>18</v>
      </c>
      <c r="D39" t="s">
        <v>606</v>
      </c>
    </row>
    <row r="40" spans="1:4" x14ac:dyDescent="0.2">
      <c r="A40" t="s">
        <v>604</v>
      </c>
      <c r="B40" t="s">
        <v>3027</v>
      </c>
      <c r="C40">
        <v>43</v>
      </c>
      <c r="D40" t="s">
        <v>606</v>
      </c>
    </row>
    <row r="41" spans="1:4" x14ac:dyDescent="0.2">
      <c r="A41" t="s">
        <v>604</v>
      </c>
      <c r="B41" t="s">
        <v>3028</v>
      </c>
      <c r="C41">
        <v>161</v>
      </c>
      <c r="D41" t="s">
        <v>606</v>
      </c>
    </row>
    <row r="42" spans="1:4" x14ac:dyDescent="0.2">
      <c r="A42" t="s">
        <v>604</v>
      </c>
      <c r="B42" t="s">
        <v>3029</v>
      </c>
      <c r="C42">
        <v>47</v>
      </c>
      <c r="D42" t="s">
        <v>606</v>
      </c>
    </row>
    <row r="43" spans="1:4" x14ac:dyDescent="0.2">
      <c r="A43" t="s">
        <v>604</v>
      </c>
      <c r="B43" t="s">
        <v>3030</v>
      </c>
      <c r="C43">
        <v>29</v>
      </c>
      <c r="D43" t="s">
        <v>606</v>
      </c>
    </row>
    <row r="44" spans="1:4" x14ac:dyDescent="0.2">
      <c r="A44" t="s">
        <v>604</v>
      </c>
      <c r="B44" t="s">
        <v>3031</v>
      </c>
      <c r="C44">
        <v>1494</v>
      </c>
      <c r="D44" t="s">
        <v>606</v>
      </c>
    </row>
    <row r="45" spans="1:4" x14ac:dyDescent="0.2">
      <c r="A45" t="s">
        <v>604</v>
      </c>
      <c r="B45" t="s">
        <v>3032</v>
      </c>
      <c r="C45">
        <v>160</v>
      </c>
      <c r="D45" t="s">
        <v>606</v>
      </c>
    </row>
    <row r="46" spans="1:4" x14ac:dyDescent="0.2">
      <c r="A46" t="s">
        <v>604</v>
      </c>
      <c r="B46" t="s">
        <v>3033</v>
      </c>
      <c r="C46">
        <v>477</v>
      </c>
      <c r="D46" t="s">
        <v>606</v>
      </c>
    </row>
    <row r="47" spans="1:4" x14ac:dyDescent="0.2">
      <c r="A47" t="s">
        <v>604</v>
      </c>
      <c r="B47" t="s">
        <v>3034</v>
      </c>
      <c r="C47">
        <v>10</v>
      </c>
      <c r="D47" t="s">
        <v>606</v>
      </c>
    </row>
    <row r="48" spans="1:4" x14ac:dyDescent="0.2">
      <c r="A48" t="s">
        <v>604</v>
      </c>
      <c r="B48" t="s">
        <v>3035</v>
      </c>
      <c r="C48">
        <v>16</v>
      </c>
      <c r="D48" t="s">
        <v>606</v>
      </c>
    </row>
    <row r="49" spans="1:4" x14ac:dyDescent="0.2">
      <c r="A49" t="s">
        <v>604</v>
      </c>
      <c r="B49" t="s">
        <v>3036</v>
      </c>
      <c r="C49">
        <v>14</v>
      </c>
      <c r="D49" t="s">
        <v>606</v>
      </c>
    </row>
    <row r="50" spans="1:4" x14ac:dyDescent="0.2">
      <c r="A50" t="s">
        <v>604</v>
      </c>
      <c r="B50" t="s">
        <v>3037</v>
      </c>
      <c r="C50">
        <v>41</v>
      </c>
      <c r="D50" t="s">
        <v>606</v>
      </c>
    </row>
    <row r="51" spans="1:4" x14ac:dyDescent="0.2">
      <c r="A51" t="s">
        <v>604</v>
      </c>
      <c r="B51" t="s">
        <v>3038</v>
      </c>
      <c r="C51">
        <v>11</v>
      </c>
      <c r="D51" t="s">
        <v>606</v>
      </c>
    </row>
    <row r="52" spans="1:4" x14ac:dyDescent="0.2">
      <c r="A52" t="s">
        <v>604</v>
      </c>
      <c r="B52" t="s">
        <v>3039</v>
      </c>
      <c r="C52">
        <v>27</v>
      </c>
      <c r="D52" t="s">
        <v>606</v>
      </c>
    </row>
    <row r="53" spans="1:4" x14ac:dyDescent="0.2">
      <c r="A53" t="s">
        <v>604</v>
      </c>
      <c r="B53" t="s">
        <v>3040</v>
      </c>
      <c r="C53">
        <v>26</v>
      </c>
      <c r="D53" t="s">
        <v>606</v>
      </c>
    </row>
    <row r="54" spans="1:4" x14ac:dyDescent="0.2">
      <c r="A54" t="s">
        <v>604</v>
      </c>
      <c r="B54" t="s">
        <v>896</v>
      </c>
      <c r="C54">
        <v>47</v>
      </c>
      <c r="D54" t="s">
        <v>606</v>
      </c>
    </row>
    <row r="55" spans="1:4" x14ac:dyDescent="0.2">
      <c r="A55" t="s">
        <v>604</v>
      </c>
      <c r="B55" t="s">
        <v>3041</v>
      </c>
      <c r="C55">
        <v>37</v>
      </c>
      <c r="D55" t="s">
        <v>606</v>
      </c>
    </row>
    <row r="56" spans="1:4" x14ac:dyDescent="0.2">
      <c r="A56" t="s">
        <v>604</v>
      </c>
      <c r="B56" t="s">
        <v>3042</v>
      </c>
      <c r="C56">
        <v>578</v>
      </c>
      <c r="D56" t="s">
        <v>606</v>
      </c>
    </row>
    <row r="57" spans="1:4" x14ac:dyDescent="0.2">
      <c r="A57" t="s">
        <v>604</v>
      </c>
      <c r="B57" t="s">
        <v>3043</v>
      </c>
      <c r="C57">
        <v>4794</v>
      </c>
      <c r="D57" t="s">
        <v>606</v>
      </c>
    </row>
    <row r="58" spans="1:4" x14ac:dyDescent="0.2">
      <c r="A58" t="s">
        <v>604</v>
      </c>
      <c r="B58" t="s">
        <v>895</v>
      </c>
      <c r="C58">
        <v>22</v>
      </c>
      <c r="D58" t="s">
        <v>606</v>
      </c>
    </row>
    <row r="59" spans="1:4" x14ac:dyDescent="0.2">
      <c r="A59" t="s">
        <v>604</v>
      </c>
      <c r="B59" t="s">
        <v>3044</v>
      </c>
      <c r="C59">
        <v>35</v>
      </c>
      <c r="D59" t="s">
        <v>606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B72AD-2B64-014C-BFDD-98FE5C8C11F9}">
  <dimension ref="A1:H236"/>
  <sheetViews>
    <sheetView workbookViewId="0">
      <selection activeCell="F6" sqref="F6"/>
    </sheetView>
  </sheetViews>
  <sheetFormatPr baseColWidth="10" defaultRowHeight="16" x14ac:dyDescent="0.2"/>
  <sheetData>
    <row r="1" spans="1:8" x14ac:dyDescent="0.2">
      <c r="A1" t="s">
        <v>1609</v>
      </c>
      <c r="B1">
        <v>301</v>
      </c>
      <c r="C1" t="s">
        <v>1612</v>
      </c>
      <c r="D1">
        <v>404</v>
      </c>
      <c r="E1">
        <f>COUNTIF(B:B,301)</f>
        <v>121</v>
      </c>
      <c r="F1">
        <f>COUNTIF(B:B, 404)</f>
        <v>114</v>
      </c>
      <c r="H1">
        <f>COUNTIF(D:D,404)</f>
        <v>114</v>
      </c>
    </row>
    <row r="2" spans="1:8" x14ac:dyDescent="0.2">
      <c r="A2" t="s">
        <v>1610</v>
      </c>
      <c r="B2">
        <v>301</v>
      </c>
      <c r="C2" t="s">
        <v>1613</v>
      </c>
      <c r="D2">
        <v>404</v>
      </c>
    </row>
    <row r="3" spans="1:8" x14ac:dyDescent="0.2">
      <c r="A3" t="s">
        <v>1611</v>
      </c>
      <c r="B3">
        <v>301</v>
      </c>
      <c r="C3" t="s">
        <v>1614</v>
      </c>
      <c r="D3">
        <v>404</v>
      </c>
    </row>
    <row r="4" spans="1:8" x14ac:dyDescent="0.2">
      <c r="A4" t="s">
        <v>1612</v>
      </c>
      <c r="B4">
        <v>404</v>
      </c>
      <c r="C4" t="s">
        <v>1616</v>
      </c>
      <c r="D4">
        <v>404</v>
      </c>
    </row>
    <row r="5" spans="1:8" x14ac:dyDescent="0.2">
      <c r="A5" t="s">
        <v>1613</v>
      </c>
      <c r="B5">
        <v>404</v>
      </c>
      <c r="C5" t="s">
        <v>1621</v>
      </c>
      <c r="D5">
        <v>404</v>
      </c>
    </row>
    <row r="6" spans="1:8" x14ac:dyDescent="0.2">
      <c r="A6" t="s">
        <v>1614</v>
      </c>
      <c r="B6">
        <v>404</v>
      </c>
      <c r="C6" t="s">
        <v>1622</v>
      </c>
      <c r="D6">
        <v>404</v>
      </c>
    </row>
    <row r="7" spans="1:8" x14ac:dyDescent="0.2">
      <c r="A7" t="s">
        <v>1615</v>
      </c>
      <c r="B7">
        <v>301</v>
      </c>
      <c r="C7" t="s">
        <v>1623</v>
      </c>
      <c r="D7">
        <v>404</v>
      </c>
    </row>
    <row r="8" spans="1:8" x14ac:dyDescent="0.2">
      <c r="A8" t="s">
        <v>1616</v>
      </c>
      <c r="B8">
        <v>404</v>
      </c>
      <c r="C8" t="s">
        <v>1624</v>
      </c>
      <c r="D8">
        <v>404</v>
      </c>
    </row>
    <row r="9" spans="1:8" x14ac:dyDescent="0.2">
      <c r="A9" t="s">
        <v>1617</v>
      </c>
      <c r="B9">
        <v>301</v>
      </c>
      <c r="C9" t="s">
        <v>1627</v>
      </c>
      <c r="D9">
        <v>404</v>
      </c>
    </row>
    <row r="10" spans="1:8" x14ac:dyDescent="0.2">
      <c r="A10" t="s">
        <v>1618</v>
      </c>
      <c r="B10">
        <v>301</v>
      </c>
      <c r="C10" t="s">
        <v>1630</v>
      </c>
      <c r="D10">
        <v>404</v>
      </c>
    </row>
    <row r="11" spans="1:8" x14ac:dyDescent="0.2">
      <c r="A11" t="s">
        <v>1619</v>
      </c>
      <c r="B11">
        <v>301</v>
      </c>
      <c r="C11" t="s">
        <v>1637</v>
      </c>
      <c r="D11">
        <v>404</v>
      </c>
    </row>
    <row r="12" spans="1:8" x14ac:dyDescent="0.2">
      <c r="A12" t="s">
        <v>1620</v>
      </c>
      <c r="B12">
        <v>301</v>
      </c>
      <c r="C12" t="s">
        <v>1639</v>
      </c>
      <c r="D12">
        <v>404</v>
      </c>
    </row>
    <row r="13" spans="1:8" x14ac:dyDescent="0.2">
      <c r="A13" t="s">
        <v>1621</v>
      </c>
      <c r="B13">
        <v>404</v>
      </c>
      <c r="C13" t="s">
        <v>1640</v>
      </c>
      <c r="D13">
        <v>404</v>
      </c>
    </row>
    <row r="14" spans="1:8" x14ac:dyDescent="0.2">
      <c r="A14" t="s">
        <v>1622</v>
      </c>
      <c r="B14">
        <v>404</v>
      </c>
      <c r="C14" t="s">
        <v>1642</v>
      </c>
      <c r="D14">
        <v>404</v>
      </c>
    </row>
    <row r="15" spans="1:8" x14ac:dyDescent="0.2">
      <c r="A15" t="s">
        <v>1623</v>
      </c>
      <c r="B15">
        <v>404</v>
      </c>
      <c r="C15" t="s">
        <v>1643</v>
      </c>
      <c r="D15">
        <v>404</v>
      </c>
    </row>
    <row r="16" spans="1:8" x14ac:dyDescent="0.2">
      <c r="A16" t="s">
        <v>1624</v>
      </c>
      <c r="B16">
        <v>404</v>
      </c>
      <c r="C16" t="s">
        <v>1644</v>
      </c>
      <c r="D16">
        <v>404</v>
      </c>
    </row>
    <row r="17" spans="1:4" x14ac:dyDescent="0.2">
      <c r="A17" t="s">
        <v>1625</v>
      </c>
      <c r="B17">
        <v>301</v>
      </c>
      <c r="C17" t="s">
        <v>1645</v>
      </c>
      <c r="D17">
        <v>404</v>
      </c>
    </row>
    <row r="18" spans="1:4" x14ac:dyDescent="0.2">
      <c r="A18" t="s">
        <v>1626</v>
      </c>
      <c r="B18">
        <v>301</v>
      </c>
      <c r="C18" t="s">
        <v>1646</v>
      </c>
      <c r="D18">
        <v>404</v>
      </c>
    </row>
    <row r="19" spans="1:4" x14ac:dyDescent="0.2">
      <c r="A19" t="s">
        <v>1627</v>
      </c>
      <c r="B19">
        <v>404</v>
      </c>
      <c r="C19" t="s">
        <v>1647</v>
      </c>
      <c r="D19">
        <v>404</v>
      </c>
    </row>
    <row r="20" spans="1:4" x14ac:dyDescent="0.2">
      <c r="A20" t="s">
        <v>1628</v>
      </c>
      <c r="B20">
        <v>301</v>
      </c>
      <c r="C20" t="s">
        <v>1648</v>
      </c>
      <c r="D20">
        <v>404</v>
      </c>
    </row>
    <row r="21" spans="1:4" x14ac:dyDescent="0.2">
      <c r="A21" t="s">
        <v>1629</v>
      </c>
      <c r="B21">
        <v>301</v>
      </c>
      <c r="C21" t="s">
        <v>1649</v>
      </c>
      <c r="D21">
        <v>404</v>
      </c>
    </row>
    <row r="22" spans="1:4" x14ac:dyDescent="0.2">
      <c r="A22" t="s">
        <v>1630</v>
      </c>
      <c r="B22">
        <v>404</v>
      </c>
      <c r="C22" t="s">
        <v>1652</v>
      </c>
      <c r="D22">
        <v>404</v>
      </c>
    </row>
    <row r="23" spans="1:4" x14ac:dyDescent="0.2">
      <c r="A23" t="s">
        <v>1631</v>
      </c>
      <c r="B23">
        <v>301</v>
      </c>
      <c r="C23" t="s">
        <v>1654</v>
      </c>
      <c r="D23">
        <v>404</v>
      </c>
    </row>
    <row r="24" spans="1:4" x14ac:dyDescent="0.2">
      <c r="A24" t="s">
        <v>1632</v>
      </c>
      <c r="B24">
        <v>301</v>
      </c>
      <c r="C24" t="s">
        <v>1658</v>
      </c>
      <c r="D24">
        <v>404</v>
      </c>
    </row>
    <row r="25" spans="1:4" x14ac:dyDescent="0.2">
      <c r="A25" t="s">
        <v>1633</v>
      </c>
      <c r="B25">
        <v>301</v>
      </c>
      <c r="C25" t="s">
        <v>1659</v>
      </c>
      <c r="D25">
        <v>404</v>
      </c>
    </row>
    <row r="26" spans="1:4" x14ac:dyDescent="0.2">
      <c r="A26" t="s">
        <v>1634</v>
      </c>
      <c r="B26">
        <v>301</v>
      </c>
      <c r="C26" t="s">
        <v>1660</v>
      </c>
      <c r="D26">
        <v>404</v>
      </c>
    </row>
    <row r="27" spans="1:4" x14ac:dyDescent="0.2">
      <c r="A27" t="s">
        <v>1635</v>
      </c>
      <c r="B27">
        <v>301</v>
      </c>
      <c r="C27" t="s">
        <v>1661</v>
      </c>
      <c r="D27">
        <v>404</v>
      </c>
    </row>
    <row r="28" spans="1:4" x14ac:dyDescent="0.2">
      <c r="A28" t="s">
        <v>1636</v>
      </c>
      <c r="B28">
        <v>301</v>
      </c>
      <c r="C28" t="s">
        <v>1664</v>
      </c>
      <c r="D28">
        <v>404</v>
      </c>
    </row>
    <row r="29" spans="1:4" x14ac:dyDescent="0.2">
      <c r="A29" t="s">
        <v>1637</v>
      </c>
      <c r="B29">
        <v>404</v>
      </c>
      <c r="C29" t="s">
        <v>1665</v>
      </c>
      <c r="D29">
        <v>404</v>
      </c>
    </row>
    <row r="30" spans="1:4" x14ac:dyDescent="0.2">
      <c r="A30" t="s">
        <v>1638</v>
      </c>
      <c r="B30">
        <v>301</v>
      </c>
      <c r="C30" t="s">
        <v>1666</v>
      </c>
      <c r="D30">
        <v>404</v>
      </c>
    </row>
    <row r="31" spans="1:4" x14ac:dyDescent="0.2">
      <c r="A31" t="s">
        <v>1639</v>
      </c>
      <c r="B31">
        <v>404</v>
      </c>
      <c r="C31" t="s">
        <v>1668</v>
      </c>
      <c r="D31">
        <v>404</v>
      </c>
    </row>
    <row r="32" spans="1:4" x14ac:dyDescent="0.2">
      <c r="A32" t="s">
        <v>1640</v>
      </c>
      <c r="B32">
        <v>404</v>
      </c>
      <c r="C32" t="s">
        <v>1669</v>
      </c>
      <c r="D32">
        <v>404</v>
      </c>
    </row>
    <row r="33" spans="1:4" x14ac:dyDescent="0.2">
      <c r="A33" t="s">
        <v>1641</v>
      </c>
      <c r="B33">
        <v>301</v>
      </c>
      <c r="C33" t="s">
        <v>1670</v>
      </c>
      <c r="D33">
        <v>404</v>
      </c>
    </row>
    <row r="34" spans="1:4" x14ac:dyDescent="0.2">
      <c r="A34" t="s">
        <v>1642</v>
      </c>
      <c r="B34">
        <v>404</v>
      </c>
      <c r="C34" t="s">
        <v>1671</v>
      </c>
      <c r="D34">
        <v>404</v>
      </c>
    </row>
    <row r="35" spans="1:4" x14ac:dyDescent="0.2">
      <c r="A35" t="s">
        <v>1643</v>
      </c>
      <c r="B35">
        <v>404</v>
      </c>
      <c r="C35" t="s">
        <v>1673</v>
      </c>
      <c r="D35">
        <v>404</v>
      </c>
    </row>
    <row r="36" spans="1:4" x14ac:dyDescent="0.2">
      <c r="A36" t="s">
        <v>1644</v>
      </c>
      <c r="B36">
        <v>404</v>
      </c>
      <c r="C36" t="s">
        <v>1675</v>
      </c>
      <c r="D36">
        <v>404</v>
      </c>
    </row>
    <row r="37" spans="1:4" x14ac:dyDescent="0.2">
      <c r="A37" t="s">
        <v>1645</v>
      </c>
      <c r="B37">
        <v>404</v>
      </c>
      <c r="C37" t="s">
        <v>1676</v>
      </c>
      <c r="D37">
        <v>404</v>
      </c>
    </row>
    <row r="38" spans="1:4" x14ac:dyDescent="0.2">
      <c r="A38" t="s">
        <v>1646</v>
      </c>
      <c r="B38">
        <v>404</v>
      </c>
      <c r="C38" t="s">
        <v>1679</v>
      </c>
      <c r="D38">
        <v>404</v>
      </c>
    </row>
    <row r="39" spans="1:4" x14ac:dyDescent="0.2">
      <c r="A39" t="s">
        <v>1647</v>
      </c>
      <c r="B39">
        <v>404</v>
      </c>
      <c r="C39" t="s">
        <v>1680</v>
      </c>
      <c r="D39">
        <v>404</v>
      </c>
    </row>
    <row r="40" spans="1:4" x14ac:dyDescent="0.2">
      <c r="A40" t="s">
        <v>1648</v>
      </c>
      <c r="B40">
        <v>404</v>
      </c>
      <c r="C40" t="s">
        <v>1681</v>
      </c>
      <c r="D40">
        <v>404</v>
      </c>
    </row>
    <row r="41" spans="1:4" x14ac:dyDescent="0.2">
      <c r="A41" t="s">
        <v>1649</v>
      </c>
      <c r="B41">
        <v>404</v>
      </c>
      <c r="C41" t="s">
        <v>1683</v>
      </c>
      <c r="D41">
        <v>404</v>
      </c>
    </row>
    <row r="42" spans="1:4" x14ac:dyDescent="0.2">
      <c r="A42" t="s">
        <v>1650</v>
      </c>
      <c r="B42">
        <v>301</v>
      </c>
      <c r="C42" t="s">
        <v>1685</v>
      </c>
      <c r="D42">
        <v>404</v>
      </c>
    </row>
    <row r="43" spans="1:4" x14ac:dyDescent="0.2">
      <c r="A43" t="s">
        <v>1651</v>
      </c>
      <c r="B43">
        <v>301</v>
      </c>
      <c r="C43" t="s">
        <v>1687</v>
      </c>
      <c r="D43">
        <v>404</v>
      </c>
    </row>
    <row r="44" spans="1:4" x14ac:dyDescent="0.2">
      <c r="A44" t="s">
        <v>1652</v>
      </c>
      <c r="B44">
        <v>404</v>
      </c>
      <c r="C44" t="s">
        <v>1688</v>
      </c>
      <c r="D44">
        <v>404</v>
      </c>
    </row>
    <row r="45" spans="1:4" x14ac:dyDescent="0.2">
      <c r="A45" t="s">
        <v>1653</v>
      </c>
      <c r="B45">
        <v>301</v>
      </c>
      <c r="C45" t="s">
        <v>1690</v>
      </c>
      <c r="D45">
        <v>404</v>
      </c>
    </row>
    <row r="46" spans="1:4" x14ac:dyDescent="0.2">
      <c r="A46" t="s">
        <v>1654</v>
      </c>
      <c r="B46">
        <v>404</v>
      </c>
      <c r="C46" t="s">
        <v>1693</v>
      </c>
      <c r="D46">
        <v>404</v>
      </c>
    </row>
    <row r="47" spans="1:4" x14ac:dyDescent="0.2">
      <c r="A47" t="s">
        <v>1655</v>
      </c>
      <c r="B47">
        <v>301</v>
      </c>
      <c r="C47" t="s">
        <v>1694</v>
      </c>
      <c r="D47">
        <v>404</v>
      </c>
    </row>
    <row r="48" spans="1:4" x14ac:dyDescent="0.2">
      <c r="A48" t="s">
        <v>1656</v>
      </c>
      <c r="B48">
        <v>301</v>
      </c>
      <c r="C48" t="s">
        <v>1695</v>
      </c>
      <c r="D48">
        <v>404</v>
      </c>
    </row>
    <row r="49" spans="1:4" x14ac:dyDescent="0.2">
      <c r="A49" t="s">
        <v>1657</v>
      </c>
      <c r="B49">
        <v>301</v>
      </c>
      <c r="C49" t="s">
        <v>1699</v>
      </c>
      <c r="D49">
        <v>404</v>
      </c>
    </row>
    <row r="50" spans="1:4" x14ac:dyDescent="0.2">
      <c r="A50" t="s">
        <v>1658</v>
      </c>
      <c r="B50">
        <v>404</v>
      </c>
      <c r="C50" t="s">
        <v>1703</v>
      </c>
      <c r="D50">
        <v>404</v>
      </c>
    </row>
    <row r="51" spans="1:4" x14ac:dyDescent="0.2">
      <c r="A51" t="s">
        <v>1659</v>
      </c>
      <c r="B51">
        <v>404</v>
      </c>
      <c r="C51" t="s">
        <v>1706</v>
      </c>
      <c r="D51">
        <v>404</v>
      </c>
    </row>
    <row r="52" spans="1:4" x14ac:dyDescent="0.2">
      <c r="A52" t="s">
        <v>1660</v>
      </c>
      <c r="B52">
        <v>404</v>
      </c>
      <c r="C52" t="s">
        <v>1707</v>
      </c>
      <c r="D52">
        <v>404</v>
      </c>
    </row>
    <row r="53" spans="1:4" x14ac:dyDescent="0.2">
      <c r="A53" t="s">
        <v>1661</v>
      </c>
      <c r="B53">
        <v>404</v>
      </c>
      <c r="C53" t="s">
        <v>1711</v>
      </c>
      <c r="D53">
        <v>404</v>
      </c>
    </row>
    <row r="54" spans="1:4" x14ac:dyDescent="0.2">
      <c r="A54" t="s">
        <v>1662</v>
      </c>
      <c r="B54">
        <v>301</v>
      </c>
      <c r="C54" t="s">
        <v>1712</v>
      </c>
      <c r="D54">
        <v>404</v>
      </c>
    </row>
    <row r="55" spans="1:4" x14ac:dyDescent="0.2">
      <c r="A55" t="s">
        <v>1663</v>
      </c>
      <c r="B55">
        <v>301</v>
      </c>
      <c r="C55" t="s">
        <v>1720</v>
      </c>
      <c r="D55">
        <v>404</v>
      </c>
    </row>
    <row r="56" spans="1:4" x14ac:dyDescent="0.2">
      <c r="A56" t="s">
        <v>1664</v>
      </c>
      <c r="B56">
        <v>404</v>
      </c>
      <c r="C56" t="s">
        <v>1723</v>
      </c>
      <c r="D56">
        <v>404</v>
      </c>
    </row>
    <row r="57" spans="1:4" x14ac:dyDescent="0.2">
      <c r="A57" t="s">
        <v>1665</v>
      </c>
      <c r="B57">
        <v>404</v>
      </c>
      <c r="C57" t="s">
        <v>1725</v>
      </c>
      <c r="D57">
        <v>404</v>
      </c>
    </row>
    <row r="58" spans="1:4" x14ac:dyDescent="0.2">
      <c r="A58" t="s">
        <v>1666</v>
      </c>
      <c r="B58">
        <v>404</v>
      </c>
      <c r="C58" t="s">
        <v>1728</v>
      </c>
      <c r="D58">
        <v>404</v>
      </c>
    </row>
    <row r="59" spans="1:4" x14ac:dyDescent="0.2">
      <c r="A59" t="s">
        <v>1667</v>
      </c>
      <c r="B59">
        <v>301</v>
      </c>
      <c r="C59" t="s">
        <v>1732</v>
      </c>
      <c r="D59">
        <v>404</v>
      </c>
    </row>
    <row r="60" spans="1:4" x14ac:dyDescent="0.2">
      <c r="A60" t="s">
        <v>1668</v>
      </c>
      <c r="B60">
        <v>404</v>
      </c>
      <c r="C60" t="s">
        <v>1733</v>
      </c>
      <c r="D60">
        <v>404</v>
      </c>
    </row>
    <row r="61" spans="1:4" x14ac:dyDescent="0.2">
      <c r="A61" t="s">
        <v>1669</v>
      </c>
      <c r="B61">
        <v>404</v>
      </c>
      <c r="C61" t="s">
        <v>1735</v>
      </c>
      <c r="D61">
        <v>404</v>
      </c>
    </row>
    <row r="62" spans="1:4" x14ac:dyDescent="0.2">
      <c r="A62" t="s">
        <v>1670</v>
      </c>
      <c r="B62">
        <v>404</v>
      </c>
      <c r="C62" t="s">
        <v>1738</v>
      </c>
      <c r="D62">
        <v>404</v>
      </c>
    </row>
    <row r="63" spans="1:4" x14ac:dyDescent="0.2">
      <c r="A63" t="s">
        <v>1671</v>
      </c>
      <c r="B63">
        <v>404</v>
      </c>
      <c r="C63" t="s">
        <v>1739</v>
      </c>
      <c r="D63">
        <v>404</v>
      </c>
    </row>
    <row r="64" spans="1:4" x14ac:dyDescent="0.2">
      <c r="A64" t="s">
        <v>1672</v>
      </c>
      <c r="B64">
        <v>301</v>
      </c>
      <c r="C64" t="s">
        <v>1740</v>
      </c>
      <c r="D64">
        <v>404</v>
      </c>
    </row>
    <row r="65" spans="1:4" x14ac:dyDescent="0.2">
      <c r="A65" t="s">
        <v>1673</v>
      </c>
      <c r="B65">
        <v>404</v>
      </c>
      <c r="C65" t="s">
        <v>1743</v>
      </c>
      <c r="D65">
        <v>404</v>
      </c>
    </row>
    <row r="66" spans="1:4" x14ac:dyDescent="0.2">
      <c r="A66" t="s">
        <v>1674</v>
      </c>
      <c r="B66">
        <v>301</v>
      </c>
      <c r="C66" t="s">
        <v>1745</v>
      </c>
      <c r="D66">
        <v>404</v>
      </c>
    </row>
    <row r="67" spans="1:4" x14ac:dyDescent="0.2">
      <c r="A67" t="s">
        <v>1675</v>
      </c>
      <c r="B67">
        <v>404</v>
      </c>
      <c r="C67" t="s">
        <v>1746</v>
      </c>
      <c r="D67">
        <v>404</v>
      </c>
    </row>
    <row r="68" spans="1:4" x14ac:dyDescent="0.2">
      <c r="A68" t="s">
        <v>1676</v>
      </c>
      <c r="B68">
        <v>404</v>
      </c>
      <c r="C68" t="s">
        <v>1747</v>
      </c>
      <c r="D68">
        <v>404</v>
      </c>
    </row>
    <row r="69" spans="1:4" x14ac:dyDescent="0.2">
      <c r="A69" t="s">
        <v>1677</v>
      </c>
      <c r="B69">
        <v>301</v>
      </c>
      <c r="C69" t="s">
        <v>1749</v>
      </c>
      <c r="D69">
        <v>404</v>
      </c>
    </row>
    <row r="70" spans="1:4" x14ac:dyDescent="0.2">
      <c r="A70" t="s">
        <v>1678</v>
      </c>
      <c r="B70">
        <v>301</v>
      </c>
      <c r="C70" t="s">
        <v>1751</v>
      </c>
      <c r="D70">
        <v>404</v>
      </c>
    </row>
    <row r="71" spans="1:4" x14ac:dyDescent="0.2">
      <c r="A71" t="s">
        <v>1679</v>
      </c>
      <c r="B71">
        <v>404</v>
      </c>
      <c r="C71" t="s">
        <v>1753</v>
      </c>
      <c r="D71">
        <v>404</v>
      </c>
    </row>
    <row r="72" spans="1:4" x14ac:dyDescent="0.2">
      <c r="A72" t="s">
        <v>1680</v>
      </c>
      <c r="B72">
        <v>404</v>
      </c>
      <c r="C72" t="s">
        <v>1756</v>
      </c>
      <c r="D72">
        <v>404</v>
      </c>
    </row>
    <row r="73" spans="1:4" x14ac:dyDescent="0.2">
      <c r="A73" t="s">
        <v>1681</v>
      </c>
      <c r="B73">
        <v>404</v>
      </c>
      <c r="C73" t="s">
        <v>1757</v>
      </c>
      <c r="D73">
        <v>404</v>
      </c>
    </row>
    <row r="74" spans="1:4" x14ac:dyDescent="0.2">
      <c r="A74" t="s">
        <v>1682</v>
      </c>
      <c r="B74">
        <v>301</v>
      </c>
      <c r="C74" t="s">
        <v>1758</v>
      </c>
      <c r="D74">
        <v>404</v>
      </c>
    </row>
    <row r="75" spans="1:4" x14ac:dyDescent="0.2">
      <c r="A75" t="s">
        <v>1683</v>
      </c>
      <c r="B75">
        <v>404</v>
      </c>
      <c r="C75" t="s">
        <v>1759</v>
      </c>
      <c r="D75">
        <v>404</v>
      </c>
    </row>
    <row r="76" spans="1:4" x14ac:dyDescent="0.2">
      <c r="A76" t="s">
        <v>1684</v>
      </c>
      <c r="B76">
        <v>301</v>
      </c>
      <c r="C76" t="s">
        <v>1760</v>
      </c>
      <c r="D76">
        <v>404</v>
      </c>
    </row>
    <row r="77" spans="1:4" x14ac:dyDescent="0.2">
      <c r="A77" t="s">
        <v>1685</v>
      </c>
      <c r="B77">
        <v>404</v>
      </c>
      <c r="C77" t="s">
        <v>1761</v>
      </c>
      <c r="D77">
        <v>404</v>
      </c>
    </row>
    <row r="78" spans="1:4" x14ac:dyDescent="0.2">
      <c r="A78" t="s">
        <v>1686</v>
      </c>
      <c r="B78">
        <v>301</v>
      </c>
      <c r="C78" t="s">
        <v>1762</v>
      </c>
      <c r="D78">
        <v>404</v>
      </c>
    </row>
    <row r="79" spans="1:4" x14ac:dyDescent="0.2">
      <c r="A79" t="s">
        <v>1687</v>
      </c>
      <c r="B79">
        <v>404</v>
      </c>
      <c r="C79" t="s">
        <v>1763</v>
      </c>
      <c r="D79">
        <v>404</v>
      </c>
    </row>
    <row r="80" spans="1:4" x14ac:dyDescent="0.2">
      <c r="A80" t="s">
        <v>1688</v>
      </c>
      <c r="B80">
        <v>404</v>
      </c>
      <c r="C80" t="s">
        <v>1764</v>
      </c>
      <c r="D80">
        <v>404</v>
      </c>
    </row>
    <row r="81" spans="1:4" x14ac:dyDescent="0.2">
      <c r="A81" t="s">
        <v>1689</v>
      </c>
      <c r="B81">
        <v>301</v>
      </c>
      <c r="C81" t="s">
        <v>1766</v>
      </c>
      <c r="D81">
        <v>404</v>
      </c>
    </row>
    <row r="82" spans="1:4" x14ac:dyDescent="0.2">
      <c r="A82" t="s">
        <v>1690</v>
      </c>
      <c r="B82">
        <v>404</v>
      </c>
      <c r="C82" t="s">
        <v>1769</v>
      </c>
      <c r="D82">
        <v>404</v>
      </c>
    </row>
    <row r="83" spans="1:4" x14ac:dyDescent="0.2">
      <c r="A83" t="s">
        <v>1691</v>
      </c>
      <c r="B83">
        <v>301</v>
      </c>
      <c r="C83" t="s">
        <v>1770</v>
      </c>
      <c r="D83">
        <v>404</v>
      </c>
    </row>
    <row r="84" spans="1:4" x14ac:dyDescent="0.2">
      <c r="A84" t="s">
        <v>1692</v>
      </c>
      <c r="B84">
        <v>301</v>
      </c>
      <c r="C84" t="s">
        <v>1775</v>
      </c>
      <c r="D84">
        <v>404</v>
      </c>
    </row>
    <row r="85" spans="1:4" x14ac:dyDescent="0.2">
      <c r="A85" t="s">
        <v>1693</v>
      </c>
      <c r="B85">
        <v>404</v>
      </c>
      <c r="C85" t="s">
        <v>1777</v>
      </c>
      <c r="D85">
        <v>404</v>
      </c>
    </row>
    <row r="86" spans="1:4" x14ac:dyDescent="0.2">
      <c r="A86" t="s">
        <v>1694</v>
      </c>
      <c r="B86">
        <v>404</v>
      </c>
      <c r="C86" t="s">
        <v>1779</v>
      </c>
      <c r="D86">
        <v>404</v>
      </c>
    </row>
    <row r="87" spans="1:4" x14ac:dyDescent="0.2">
      <c r="A87" t="s">
        <v>1695</v>
      </c>
      <c r="B87">
        <v>404</v>
      </c>
      <c r="C87" t="s">
        <v>1782</v>
      </c>
      <c r="D87">
        <v>404</v>
      </c>
    </row>
    <row r="88" spans="1:4" x14ac:dyDescent="0.2">
      <c r="A88" t="s">
        <v>1696</v>
      </c>
      <c r="B88">
        <v>301</v>
      </c>
      <c r="C88" t="s">
        <v>1783</v>
      </c>
      <c r="D88">
        <v>404</v>
      </c>
    </row>
    <row r="89" spans="1:4" x14ac:dyDescent="0.2">
      <c r="A89" t="s">
        <v>1697</v>
      </c>
      <c r="B89">
        <v>301</v>
      </c>
      <c r="C89" t="s">
        <v>1789</v>
      </c>
      <c r="D89">
        <v>404</v>
      </c>
    </row>
    <row r="90" spans="1:4" x14ac:dyDescent="0.2">
      <c r="A90" t="s">
        <v>1698</v>
      </c>
      <c r="B90">
        <v>301</v>
      </c>
      <c r="C90" t="s">
        <v>1790</v>
      </c>
      <c r="D90">
        <v>404</v>
      </c>
    </row>
    <row r="91" spans="1:4" x14ac:dyDescent="0.2">
      <c r="A91" t="s">
        <v>1699</v>
      </c>
      <c r="B91">
        <v>404</v>
      </c>
      <c r="C91" t="s">
        <v>1791</v>
      </c>
      <c r="D91">
        <v>404</v>
      </c>
    </row>
    <row r="92" spans="1:4" x14ac:dyDescent="0.2">
      <c r="A92" t="s">
        <v>1700</v>
      </c>
      <c r="B92">
        <v>301</v>
      </c>
      <c r="C92" t="s">
        <v>1793</v>
      </c>
      <c r="D92">
        <v>404</v>
      </c>
    </row>
    <row r="93" spans="1:4" x14ac:dyDescent="0.2">
      <c r="A93" t="s">
        <v>1701</v>
      </c>
      <c r="B93">
        <v>301</v>
      </c>
      <c r="C93" t="s">
        <v>1794</v>
      </c>
      <c r="D93">
        <v>404</v>
      </c>
    </row>
    <row r="94" spans="1:4" x14ac:dyDescent="0.2">
      <c r="A94" t="s">
        <v>1702</v>
      </c>
      <c r="B94">
        <v>301</v>
      </c>
      <c r="C94" t="s">
        <v>1795</v>
      </c>
      <c r="D94">
        <v>404</v>
      </c>
    </row>
    <row r="95" spans="1:4" x14ac:dyDescent="0.2">
      <c r="A95" t="s">
        <v>1703</v>
      </c>
      <c r="B95">
        <v>404</v>
      </c>
      <c r="C95" t="s">
        <v>1799</v>
      </c>
      <c r="D95">
        <v>404</v>
      </c>
    </row>
    <row r="96" spans="1:4" x14ac:dyDescent="0.2">
      <c r="A96" t="s">
        <v>1704</v>
      </c>
      <c r="B96">
        <v>301</v>
      </c>
      <c r="C96" t="s">
        <v>1800</v>
      </c>
      <c r="D96">
        <v>404</v>
      </c>
    </row>
    <row r="97" spans="1:4" x14ac:dyDescent="0.2">
      <c r="A97" t="s">
        <v>1705</v>
      </c>
      <c r="B97">
        <v>301</v>
      </c>
      <c r="C97" t="s">
        <v>1802</v>
      </c>
      <c r="D97">
        <v>404</v>
      </c>
    </row>
    <row r="98" spans="1:4" x14ac:dyDescent="0.2">
      <c r="A98" t="s">
        <v>1706</v>
      </c>
      <c r="B98">
        <v>404</v>
      </c>
      <c r="C98" t="s">
        <v>1803</v>
      </c>
      <c r="D98">
        <v>404</v>
      </c>
    </row>
    <row r="99" spans="1:4" x14ac:dyDescent="0.2">
      <c r="A99" t="s">
        <v>1707</v>
      </c>
      <c r="B99">
        <v>404</v>
      </c>
      <c r="C99" t="s">
        <v>1806</v>
      </c>
      <c r="D99">
        <v>404</v>
      </c>
    </row>
    <row r="100" spans="1:4" x14ac:dyDescent="0.2">
      <c r="A100" t="s">
        <v>1708</v>
      </c>
      <c r="B100">
        <v>301</v>
      </c>
      <c r="C100" t="s">
        <v>1808</v>
      </c>
      <c r="D100">
        <v>404</v>
      </c>
    </row>
    <row r="101" spans="1:4" x14ac:dyDescent="0.2">
      <c r="A101" t="s">
        <v>1709</v>
      </c>
      <c r="B101">
        <v>301</v>
      </c>
      <c r="C101" t="s">
        <v>1809</v>
      </c>
      <c r="D101">
        <v>404</v>
      </c>
    </row>
    <row r="102" spans="1:4" x14ac:dyDescent="0.2">
      <c r="A102" t="s">
        <v>1710</v>
      </c>
      <c r="B102">
        <v>301</v>
      </c>
      <c r="C102" t="s">
        <v>1811</v>
      </c>
      <c r="D102">
        <v>404</v>
      </c>
    </row>
    <row r="103" spans="1:4" x14ac:dyDescent="0.2">
      <c r="A103" t="s">
        <v>1711</v>
      </c>
      <c r="B103">
        <v>404</v>
      </c>
      <c r="C103" t="s">
        <v>1815</v>
      </c>
      <c r="D103">
        <v>404</v>
      </c>
    </row>
    <row r="104" spans="1:4" x14ac:dyDescent="0.2">
      <c r="A104" t="s">
        <v>1712</v>
      </c>
      <c r="B104">
        <v>404</v>
      </c>
      <c r="C104" t="s">
        <v>1816</v>
      </c>
      <c r="D104">
        <v>404</v>
      </c>
    </row>
    <row r="105" spans="1:4" x14ac:dyDescent="0.2">
      <c r="A105" t="s">
        <v>1713</v>
      </c>
      <c r="B105">
        <v>301</v>
      </c>
      <c r="C105" t="s">
        <v>1818</v>
      </c>
      <c r="D105">
        <v>404</v>
      </c>
    </row>
    <row r="106" spans="1:4" x14ac:dyDescent="0.2">
      <c r="A106" t="s">
        <v>1714</v>
      </c>
      <c r="B106">
        <v>301</v>
      </c>
      <c r="C106" t="s">
        <v>1821</v>
      </c>
      <c r="D106">
        <v>404</v>
      </c>
    </row>
    <row r="107" spans="1:4" x14ac:dyDescent="0.2">
      <c r="A107" t="s">
        <v>1715</v>
      </c>
      <c r="B107">
        <v>301</v>
      </c>
      <c r="C107" t="s">
        <v>1823</v>
      </c>
      <c r="D107">
        <v>404</v>
      </c>
    </row>
    <row r="108" spans="1:4" x14ac:dyDescent="0.2">
      <c r="A108" t="s">
        <v>1716</v>
      </c>
      <c r="B108">
        <v>301</v>
      </c>
      <c r="C108" t="s">
        <v>1828</v>
      </c>
      <c r="D108">
        <v>404</v>
      </c>
    </row>
    <row r="109" spans="1:4" x14ac:dyDescent="0.2">
      <c r="A109" t="s">
        <v>1717</v>
      </c>
      <c r="B109">
        <v>301</v>
      </c>
      <c r="C109" t="s">
        <v>1829</v>
      </c>
    </row>
    <row r="110" spans="1:4" x14ac:dyDescent="0.2">
      <c r="A110" t="s">
        <v>1718</v>
      </c>
      <c r="B110">
        <v>301</v>
      </c>
      <c r="C110" t="s">
        <v>1831</v>
      </c>
      <c r="D110">
        <v>404</v>
      </c>
    </row>
    <row r="111" spans="1:4" x14ac:dyDescent="0.2">
      <c r="A111" t="s">
        <v>1719</v>
      </c>
      <c r="B111">
        <v>301</v>
      </c>
      <c r="C111" t="s">
        <v>1835</v>
      </c>
      <c r="D111">
        <v>404</v>
      </c>
    </row>
    <row r="112" spans="1:4" x14ac:dyDescent="0.2">
      <c r="A112" t="s">
        <v>1720</v>
      </c>
      <c r="B112">
        <v>404</v>
      </c>
      <c r="C112" t="s">
        <v>1836</v>
      </c>
      <c r="D112">
        <v>404</v>
      </c>
    </row>
    <row r="113" spans="1:4" x14ac:dyDescent="0.2">
      <c r="A113" t="s">
        <v>1721</v>
      </c>
      <c r="B113">
        <v>301</v>
      </c>
      <c r="C113" t="s">
        <v>1838</v>
      </c>
      <c r="D113">
        <v>404</v>
      </c>
    </row>
    <row r="114" spans="1:4" x14ac:dyDescent="0.2">
      <c r="A114" t="s">
        <v>1722</v>
      </c>
      <c r="B114">
        <v>301</v>
      </c>
      <c r="C114" t="s">
        <v>1841</v>
      </c>
      <c r="D114">
        <v>404</v>
      </c>
    </row>
    <row r="115" spans="1:4" x14ac:dyDescent="0.2">
      <c r="A115" t="s">
        <v>1723</v>
      </c>
      <c r="B115">
        <v>404</v>
      </c>
      <c r="C115" t="s">
        <v>1842</v>
      </c>
      <c r="D115">
        <v>404</v>
      </c>
    </row>
    <row r="116" spans="1:4" x14ac:dyDescent="0.2">
      <c r="A116" t="s">
        <v>1724</v>
      </c>
      <c r="B116">
        <v>301</v>
      </c>
    </row>
    <row r="117" spans="1:4" x14ac:dyDescent="0.2">
      <c r="A117" t="s">
        <v>1725</v>
      </c>
      <c r="B117">
        <v>404</v>
      </c>
    </row>
    <row r="118" spans="1:4" x14ac:dyDescent="0.2">
      <c r="A118" t="s">
        <v>1726</v>
      </c>
      <c r="B118">
        <v>301</v>
      </c>
    </row>
    <row r="119" spans="1:4" x14ac:dyDescent="0.2">
      <c r="A119" t="s">
        <v>1727</v>
      </c>
      <c r="B119">
        <v>301</v>
      </c>
    </row>
    <row r="120" spans="1:4" x14ac:dyDescent="0.2">
      <c r="A120" t="s">
        <v>1728</v>
      </c>
      <c r="B120">
        <v>404</v>
      </c>
    </row>
    <row r="121" spans="1:4" x14ac:dyDescent="0.2">
      <c r="A121" t="s">
        <v>1729</v>
      </c>
      <c r="B121">
        <v>301</v>
      </c>
    </row>
    <row r="122" spans="1:4" x14ac:dyDescent="0.2">
      <c r="A122" t="s">
        <v>1730</v>
      </c>
      <c r="B122">
        <v>301</v>
      </c>
    </row>
    <row r="123" spans="1:4" x14ac:dyDescent="0.2">
      <c r="A123" t="s">
        <v>1731</v>
      </c>
      <c r="B123">
        <v>301</v>
      </c>
    </row>
    <row r="124" spans="1:4" x14ac:dyDescent="0.2">
      <c r="A124" t="s">
        <v>1732</v>
      </c>
      <c r="B124">
        <v>404</v>
      </c>
    </row>
    <row r="125" spans="1:4" x14ac:dyDescent="0.2">
      <c r="A125" t="s">
        <v>1733</v>
      </c>
      <c r="B125">
        <v>404</v>
      </c>
    </row>
    <row r="126" spans="1:4" x14ac:dyDescent="0.2">
      <c r="A126" t="s">
        <v>1734</v>
      </c>
      <c r="B126">
        <v>301</v>
      </c>
    </row>
    <row r="127" spans="1:4" x14ac:dyDescent="0.2">
      <c r="A127" t="s">
        <v>1735</v>
      </c>
      <c r="B127">
        <v>404</v>
      </c>
    </row>
    <row r="128" spans="1:4" x14ac:dyDescent="0.2">
      <c r="A128" t="s">
        <v>1736</v>
      </c>
      <c r="B128">
        <v>301</v>
      </c>
    </row>
    <row r="129" spans="1:2" x14ac:dyDescent="0.2">
      <c r="A129" t="s">
        <v>1737</v>
      </c>
      <c r="B129">
        <v>301</v>
      </c>
    </row>
    <row r="130" spans="1:2" x14ac:dyDescent="0.2">
      <c r="A130" t="s">
        <v>1738</v>
      </c>
      <c r="B130">
        <v>404</v>
      </c>
    </row>
    <row r="131" spans="1:2" x14ac:dyDescent="0.2">
      <c r="A131" t="s">
        <v>1739</v>
      </c>
      <c r="B131">
        <v>404</v>
      </c>
    </row>
    <row r="132" spans="1:2" x14ac:dyDescent="0.2">
      <c r="A132" t="s">
        <v>1740</v>
      </c>
      <c r="B132">
        <v>404</v>
      </c>
    </row>
    <row r="133" spans="1:2" x14ac:dyDescent="0.2">
      <c r="A133" t="s">
        <v>1741</v>
      </c>
      <c r="B133">
        <v>301</v>
      </c>
    </row>
    <row r="134" spans="1:2" x14ac:dyDescent="0.2">
      <c r="A134" t="s">
        <v>1742</v>
      </c>
      <c r="B134">
        <v>301</v>
      </c>
    </row>
    <row r="135" spans="1:2" x14ac:dyDescent="0.2">
      <c r="A135" t="s">
        <v>1743</v>
      </c>
      <c r="B135">
        <v>404</v>
      </c>
    </row>
    <row r="136" spans="1:2" x14ac:dyDescent="0.2">
      <c r="A136" t="s">
        <v>1744</v>
      </c>
      <c r="B136">
        <v>301</v>
      </c>
    </row>
    <row r="137" spans="1:2" x14ac:dyDescent="0.2">
      <c r="A137" t="s">
        <v>1745</v>
      </c>
      <c r="B137">
        <v>404</v>
      </c>
    </row>
    <row r="138" spans="1:2" x14ac:dyDescent="0.2">
      <c r="A138" t="s">
        <v>1746</v>
      </c>
      <c r="B138">
        <v>404</v>
      </c>
    </row>
    <row r="139" spans="1:2" x14ac:dyDescent="0.2">
      <c r="A139" t="s">
        <v>1747</v>
      </c>
      <c r="B139">
        <v>404</v>
      </c>
    </row>
    <row r="140" spans="1:2" x14ac:dyDescent="0.2">
      <c r="A140" t="s">
        <v>1748</v>
      </c>
      <c r="B140">
        <v>301</v>
      </c>
    </row>
    <row r="141" spans="1:2" x14ac:dyDescent="0.2">
      <c r="A141" t="s">
        <v>1749</v>
      </c>
      <c r="B141">
        <v>404</v>
      </c>
    </row>
    <row r="142" spans="1:2" x14ac:dyDescent="0.2">
      <c r="A142" t="s">
        <v>1750</v>
      </c>
      <c r="B142">
        <v>301</v>
      </c>
    </row>
    <row r="143" spans="1:2" x14ac:dyDescent="0.2">
      <c r="A143" t="s">
        <v>1751</v>
      </c>
      <c r="B143">
        <v>404</v>
      </c>
    </row>
    <row r="144" spans="1:2" x14ac:dyDescent="0.2">
      <c r="A144" t="s">
        <v>1752</v>
      </c>
      <c r="B144">
        <v>301</v>
      </c>
    </row>
    <row r="145" spans="1:2" x14ac:dyDescent="0.2">
      <c r="A145" t="s">
        <v>1753</v>
      </c>
      <c r="B145">
        <v>404</v>
      </c>
    </row>
    <row r="146" spans="1:2" x14ac:dyDescent="0.2">
      <c r="A146" t="s">
        <v>1754</v>
      </c>
      <c r="B146">
        <v>301</v>
      </c>
    </row>
    <row r="147" spans="1:2" x14ac:dyDescent="0.2">
      <c r="A147" t="s">
        <v>1755</v>
      </c>
      <c r="B147">
        <v>301</v>
      </c>
    </row>
    <row r="148" spans="1:2" x14ac:dyDescent="0.2">
      <c r="A148" t="s">
        <v>1756</v>
      </c>
      <c r="B148">
        <v>404</v>
      </c>
    </row>
    <row r="149" spans="1:2" x14ac:dyDescent="0.2">
      <c r="A149" t="s">
        <v>1757</v>
      </c>
      <c r="B149">
        <v>404</v>
      </c>
    </row>
    <row r="150" spans="1:2" x14ac:dyDescent="0.2">
      <c r="A150" t="s">
        <v>1758</v>
      </c>
      <c r="B150">
        <v>404</v>
      </c>
    </row>
    <row r="151" spans="1:2" x14ac:dyDescent="0.2">
      <c r="A151" t="s">
        <v>1759</v>
      </c>
      <c r="B151">
        <v>404</v>
      </c>
    </row>
    <row r="152" spans="1:2" x14ac:dyDescent="0.2">
      <c r="A152" t="s">
        <v>1760</v>
      </c>
      <c r="B152">
        <v>404</v>
      </c>
    </row>
    <row r="153" spans="1:2" x14ac:dyDescent="0.2">
      <c r="A153" t="s">
        <v>1761</v>
      </c>
      <c r="B153">
        <v>404</v>
      </c>
    </row>
    <row r="154" spans="1:2" x14ac:dyDescent="0.2">
      <c r="A154" t="s">
        <v>1762</v>
      </c>
      <c r="B154">
        <v>404</v>
      </c>
    </row>
    <row r="155" spans="1:2" x14ac:dyDescent="0.2">
      <c r="A155" t="s">
        <v>1763</v>
      </c>
      <c r="B155">
        <v>404</v>
      </c>
    </row>
    <row r="156" spans="1:2" x14ac:dyDescent="0.2">
      <c r="A156" t="s">
        <v>1764</v>
      </c>
      <c r="B156">
        <v>404</v>
      </c>
    </row>
    <row r="157" spans="1:2" x14ac:dyDescent="0.2">
      <c r="A157" t="s">
        <v>1765</v>
      </c>
      <c r="B157">
        <v>301</v>
      </c>
    </row>
    <row r="158" spans="1:2" x14ac:dyDescent="0.2">
      <c r="A158" t="s">
        <v>1766</v>
      </c>
      <c r="B158">
        <v>404</v>
      </c>
    </row>
    <row r="159" spans="1:2" x14ac:dyDescent="0.2">
      <c r="A159" t="s">
        <v>1767</v>
      </c>
      <c r="B159">
        <v>301</v>
      </c>
    </row>
    <row r="160" spans="1:2" x14ac:dyDescent="0.2">
      <c r="A160" t="s">
        <v>1768</v>
      </c>
      <c r="B160">
        <v>301</v>
      </c>
    </row>
    <row r="161" spans="1:2" x14ac:dyDescent="0.2">
      <c r="A161" t="s">
        <v>1769</v>
      </c>
      <c r="B161">
        <v>404</v>
      </c>
    </row>
    <row r="162" spans="1:2" x14ac:dyDescent="0.2">
      <c r="A162" t="s">
        <v>1770</v>
      </c>
      <c r="B162">
        <v>404</v>
      </c>
    </row>
    <row r="163" spans="1:2" x14ac:dyDescent="0.2">
      <c r="A163" t="s">
        <v>1771</v>
      </c>
      <c r="B163">
        <v>301</v>
      </c>
    </row>
    <row r="164" spans="1:2" x14ac:dyDescent="0.2">
      <c r="A164" t="s">
        <v>1772</v>
      </c>
      <c r="B164">
        <v>301</v>
      </c>
    </row>
    <row r="165" spans="1:2" x14ac:dyDescent="0.2">
      <c r="A165" t="s">
        <v>1773</v>
      </c>
      <c r="B165">
        <v>301</v>
      </c>
    </row>
    <row r="166" spans="1:2" x14ac:dyDescent="0.2">
      <c r="A166" t="s">
        <v>1774</v>
      </c>
      <c r="B166">
        <v>301</v>
      </c>
    </row>
    <row r="167" spans="1:2" x14ac:dyDescent="0.2">
      <c r="A167" t="s">
        <v>1775</v>
      </c>
      <c r="B167">
        <v>404</v>
      </c>
    </row>
    <row r="168" spans="1:2" x14ac:dyDescent="0.2">
      <c r="A168" t="s">
        <v>1776</v>
      </c>
      <c r="B168">
        <v>301</v>
      </c>
    </row>
    <row r="169" spans="1:2" x14ac:dyDescent="0.2">
      <c r="A169" t="s">
        <v>1777</v>
      </c>
      <c r="B169">
        <v>404</v>
      </c>
    </row>
    <row r="170" spans="1:2" x14ac:dyDescent="0.2">
      <c r="A170" t="s">
        <v>1778</v>
      </c>
      <c r="B170">
        <v>301</v>
      </c>
    </row>
    <row r="171" spans="1:2" x14ac:dyDescent="0.2">
      <c r="A171" t="s">
        <v>1779</v>
      </c>
      <c r="B171">
        <v>404</v>
      </c>
    </row>
    <row r="172" spans="1:2" x14ac:dyDescent="0.2">
      <c r="A172" t="s">
        <v>1780</v>
      </c>
      <c r="B172">
        <v>301</v>
      </c>
    </row>
    <row r="173" spans="1:2" x14ac:dyDescent="0.2">
      <c r="A173" t="s">
        <v>1781</v>
      </c>
      <c r="B173">
        <v>301</v>
      </c>
    </row>
    <row r="174" spans="1:2" x14ac:dyDescent="0.2">
      <c r="A174" t="s">
        <v>1782</v>
      </c>
      <c r="B174">
        <v>404</v>
      </c>
    </row>
    <row r="175" spans="1:2" x14ac:dyDescent="0.2">
      <c r="A175" t="s">
        <v>1783</v>
      </c>
      <c r="B175">
        <v>404</v>
      </c>
    </row>
    <row r="176" spans="1:2" x14ac:dyDescent="0.2">
      <c r="A176" t="s">
        <v>1784</v>
      </c>
      <c r="B176">
        <v>301</v>
      </c>
    </row>
    <row r="177" spans="1:2" x14ac:dyDescent="0.2">
      <c r="A177" t="s">
        <v>1785</v>
      </c>
      <c r="B177">
        <v>301</v>
      </c>
    </row>
    <row r="178" spans="1:2" x14ac:dyDescent="0.2">
      <c r="A178" t="s">
        <v>1786</v>
      </c>
      <c r="B178">
        <v>301</v>
      </c>
    </row>
    <row r="179" spans="1:2" x14ac:dyDescent="0.2">
      <c r="A179" t="s">
        <v>1787</v>
      </c>
      <c r="B179">
        <v>301</v>
      </c>
    </row>
    <row r="180" spans="1:2" x14ac:dyDescent="0.2">
      <c r="A180" t="s">
        <v>1788</v>
      </c>
      <c r="B180">
        <v>301</v>
      </c>
    </row>
    <row r="181" spans="1:2" x14ac:dyDescent="0.2">
      <c r="A181" t="s">
        <v>1789</v>
      </c>
      <c r="B181">
        <v>404</v>
      </c>
    </row>
    <row r="182" spans="1:2" x14ac:dyDescent="0.2">
      <c r="A182" t="s">
        <v>1790</v>
      </c>
      <c r="B182">
        <v>404</v>
      </c>
    </row>
    <row r="183" spans="1:2" x14ac:dyDescent="0.2">
      <c r="A183" t="s">
        <v>1791</v>
      </c>
      <c r="B183">
        <v>404</v>
      </c>
    </row>
    <row r="184" spans="1:2" x14ac:dyDescent="0.2">
      <c r="A184" t="s">
        <v>1792</v>
      </c>
      <c r="B184">
        <v>301</v>
      </c>
    </row>
    <row r="185" spans="1:2" x14ac:dyDescent="0.2">
      <c r="A185" t="s">
        <v>1793</v>
      </c>
      <c r="B185">
        <v>404</v>
      </c>
    </row>
    <row r="186" spans="1:2" x14ac:dyDescent="0.2">
      <c r="A186" t="s">
        <v>1794</v>
      </c>
      <c r="B186">
        <v>404</v>
      </c>
    </row>
    <row r="187" spans="1:2" x14ac:dyDescent="0.2">
      <c r="A187" t="s">
        <v>1795</v>
      </c>
      <c r="B187">
        <v>404</v>
      </c>
    </row>
    <row r="188" spans="1:2" x14ac:dyDescent="0.2">
      <c r="A188" t="s">
        <v>1796</v>
      </c>
      <c r="B188">
        <v>301</v>
      </c>
    </row>
    <row r="189" spans="1:2" x14ac:dyDescent="0.2">
      <c r="A189" t="s">
        <v>1797</v>
      </c>
      <c r="B189">
        <v>301</v>
      </c>
    </row>
    <row r="190" spans="1:2" x14ac:dyDescent="0.2">
      <c r="A190" t="s">
        <v>1798</v>
      </c>
      <c r="B190">
        <v>301</v>
      </c>
    </row>
    <row r="191" spans="1:2" x14ac:dyDescent="0.2">
      <c r="A191" t="s">
        <v>1799</v>
      </c>
      <c r="B191">
        <v>404</v>
      </c>
    </row>
    <row r="192" spans="1:2" x14ac:dyDescent="0.2">
      <c r="A192" t="s">
        <v>1800</v>
      </c>
      <c r="B192">
        <v>404</v>
      </c>
    </row>
    <row r="193" spans="1:2" x14ac:dyDescent="0.2">
      <c r="A193" t="s">
        <v>1801</v>
      </c>
      <c r="B193">
        <v>301</v>
      </c>
    </row>
    <row r="194" spans="1:2" x14ac:dyDescent="0.2">
      <c r="A194" t="s">
        <v>1802</v>
      </c>
      <c r="B194">
        <v>404</v>
      </c>
    </row>
    <row r="195" spans="1:2" x14ac:dyDescent="0.2">
      <c r="A195" t="s">
        <v>1803</v>
      </c>
      <c r="B195">
        <v>404</v>
      </c>
    </row>
    <row r="196" spans="1:2" x14ac:dyDescent="0.2">
      <c r="A196" t="s">
        <v>1804</v>
      </c>
      <c r="B196">
        <v>301</v>
      </c>
    </row>
    <row r="197" spans="1:2" x14ac:dyDescent="0.2">
      <c r="A197" t="s">
        <v>1805</v>
      </c>
      <c r="B197">
        <v>301</v>
      </c>
    </row>
    <row r="198" spans="1:2" x14ac:dyDescent="0.2">
      <c r="A198" t="s">
        <v>1806</v>
      </c>
      <c r="B198">
        <v>404</v>
      </c>
    </row>
    <row r="199" spans="1:2" x14ac:dyDescent="0.2">
      <c r="A199" t="s">
        <v>1807</v>
      </c>
      <c r="B199">
        <v>301</v>
      </c>
    </row>
    <row r="200" spans="1:2" x14ac:dyDescent="0.2">
      <c r="A200" t="s">
        <v>1808</v>
      </c>
      <c r="B200">
        <v>404</v>
      </c>
    </row>
    <row r="201" spans="1:2" x14ac:dyDescent="0.2">
      <c r="A201" t="s">
        <v>1809</v>
      </c>
      <c r="B201">
        <v>404</v>
      </c>
    </row>
    <row r="202" spans="1:2" x14ac:dyDescent="0.2">
      <c r="A202" t="s">
        <v>1810</v>
      </c>
      <c r="B202">
        <v>301</v>
      </c>
    </row>
    <row r="203" spans="1:2" x14ac:dyDescent="0.2">
      <c r="A203" t="s">
        <v>1811</v>
      </c>
      <c r="B203">
        <v>404</v>
      </c>
    </row>
    <row r="204" spans="1:2" x14ac:dyDescent="0.2">
      <c r="A204" t="s">
        <v>1812</v>
      </c>
      <c r="B204">
        <v>301</v>
      </c>
    </row>
    <row r="205" spans="1:2" x14ac:dyDescent="0.2">
      <c r="A205" t="s">
        <v>1813</v>
      </c>
      <c r="B205">
        <v>301</v>
      </c>
    </row>
    <row r="206" spans="1:2" x14ac:dyDescent="0.2">
      <c r="A206" t="s">
        <v>1814</v>
      </c>
      <c r="B206">
        <v>301</v>
      </c>
    </row>
    <row r="207" spans="1:2" x14ac:dyDescent="0.2">
      <c r="A207" t="s">
        <v>1815</v>
      </c>
      <c r="B207">
        <v>404</v>
      </c>
    </row>
    <row r="208" spans="1:2" x14ac:dyDescent="0.2">
      <c r="A208" t="s">
        <v>1816</v>
      </c>
      <c r="B208">
        <v>404</v>
      </c>
    </row>
    <row r="209" spans="1:2" x14ac:dyDescent="0.2">
      <c r="A209" t="s">
        <v>1817</v>
      </c>
      <c r="B209">
        <v>301</v>
      </c>
    </row>
    <row r="210" spans="1:2" x14ac:dyDescent="0.2">
      <c r="A210" t="s">
        <v>1818</v>
      </c>
      <c r="B210">
        <v>404</v>
      </c>
    </row>
    <row r="211" spans="1:2" x14ac:dyDescent="0.2">
      <c r="A211" t="s">
        <v>1819</v>
      </c>
      <c r="B211">
        <v>301</v>
      </c>
    </row>
    <row r="212" spans="1:2" x14ac:dyDescent="0.2">
      <c r="A212" t="s">
        <v>1820</v>
      </c>
      <c r="B212">
        <v>301</v>
      </c>
    </row>
    <row r="213" spans="1:2" x14ac:dyDescent="0.2">
      <c r="A213" t="s">
        <v>1821</v>
      </c>
      <c r="B213">
        <v>404</v>
      </c>
    </row>
    <row r="214" spans="1:2" x14ac:dyDescent="0.2">
      <c r="A214" t="s">
        <v>1822</v>
      </c>
      <c r="B214">
        <v>301</v>
      </c>
    </row>
    <row r="215" spans="1:2" x14ac:dyDescent="0.2">
      <c r="A215" t="s">
        <v>1823</v>
      </c>
      <c r="B215">
        <v>404</v>
      </c>
    </row>
    <row r="216" spans="1:2" x14ac:dyDescent="0.2">
      <c r="A216" t="s">
        <v>1824</v>
      </c>
      <c r="B216">
        <v>301</v>
      </c>
    </row>
    <row r="217" spans="1:2" x14ac:dyDescent="0.2">
      <c r="A217" t="s">
        <v>1825</v>
      </c>
      <c r="B217">
        <v>301</v>
      </c>
    </row>
    <row r="218" spans="1:2" x14ac:dyDescent="0.2">
      <c r="A218" t="s">
        <v>1826</v>
      </c>
      <c r="B218">
        <v>301</v>
      </c>
    </row>
    <row r="219" spans="1:2" x14ac:dyDescent="0.2">
      <c r="A219" t="s">
        <v>1827</v>
      </c>
      <c r="B219">
        <v>301</v>
      </c>
    </row>
    <row r="220" spans="1:2" x14ac:dyDescent="0.2">
      <c r="A220" t="s">
        <v>1828</v>
      </c>
      <c r="B220">
        <v>404</v>
      </c>
    </row>
    <row r="221" spans="1:2" x14ac:dyDescent="0.2">
      <c r="A221" t="s">
        <v>1829</v>
      </c>
    </row>
    <row r="222" spans="1:2" x14ac:dyDescent="0.2">
      <c r="A222" t="s">
        <v>1830</v>
      </c>
      <c r="B222">
        <v>301</v>
      </c>
    </row>
    <row r="223" spans="1:2" x14ac:dyDescent="0.2">
      <c r="A223" t="s">
        <v>1831</v>
      </c>
      <c r="B223">
        <v>404</v>
      </c>
    </row>
    <row r="224" spans="1:2" x14ac:dyDescent="0.2">
      <c r="A224" t="s">
        <v>1832</v>
      </c>
      <c r="B224">
        <v>301</v>
      </c>
    </row>
    <row r="225" spans="1:2" x14ac:dyDescent="0.2">
      <c r="A225" t="s">
        <v>1833</v>
      </c>
      <c r="B225">
        <v>301</v>
      </c>
    </row>
    <row r="226" spans="1:2" x14ac:dyDescent="0.2">
      <c r="A226" t="s">
        <v>1834</v>
      </c>
      <c r="B226">
        <v>301</v>
      </c>
    </row>
    <row r="227" spans="1:2" x14ac:dyDescent="0.2">
      <c r="A227" t="s">
        <v>1835</v>
      </c>
      <c r="B227">
        <v>404</v>
      </c>
    </row>
    <row r="228" spans="1:2" x14ac:dyDescent="0.2">
      <c r="A228" t="s">
        <v>1836</v>
      </c>
      <c r="B228">
        <v>404</v>
      </c>
    </row>
    <row r="229" spans="1:2" x14ac:dyDescent="0.2">
      <c r="A229" t="s">
        <v>1837</v>
      </c>
      <c r="B229">
        <v>301</v>
      </c>
    </row>
    <row r="230" spans="1:2" x14ac:dyDescent="0.2">
      <c r="A230" t="s">
        <v>1838</v>
      </c>
      <c r="B230">
        <v>404</v>
      </c>
    </row>
    <row r="231" spans="1:2" x14ac:dyDescent="0.2">
      <c r="A231" t="s">
        <v>1839</v>
      </c>
      <c r="B231">
        <v>301</v>
      </c>
    </row>
    <row r="232" spans="1:2" x14ac:dyDescent="0.2">
      <c r="A232" t="s">
        <v>1840</v>
      </c>
      <c r="B232">
        <v>301</v>
      </c>
    </row>
    <row r="233" spans="1:2" x14ac:dyDescent="0.2">
      <c r="A233" t="s">
        <v>1841</v>
      </c>
      <c r="B233">
        <v>404</v>
      </c>
    </row>
    <row r="234" spans="1:2" x14ac:dyDescent="0.2">
      <c r="A234" t="s">
        <v>1842</v>
      </c>
      <c r="B234">
        <v>404</v>
      </c>
    </row>
    <row r="235" spans="1:2" x14ac:dyDescent="0.2">
      <c r="A235" t="s">
        <v>1843</v>
      </c>
      <c r="B235">
        <v>301</v>
      </c>
    </row>
    <row r="236" spans="1:2" x14ac:dyDescent="0.2">
      <c r="A236" t="s">
        <v>1844</v>
      </c>
      <c r="B236">
        <v>301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C7785-51CD-9846-9C7D-5F4A5A89DD99}">
  <dimension ref="A1:F106"/>
  <sheetViews>
    <sheetView workbookViewId="0">
      <selection activeCell="B20" sqref="B20"/>
    </sheetView>
  </sheetViews>
  <sheetFormatPr baseColWidth="10" defaultRowHeight="16" x14ac:dyDescent="0.2"/>
  <sheetData>
    <row r="1" spans="1:6" x14ac:dyDescent="0.2">
      <c r="A1" t="s">
        <v>1853</v>
      </c>
      <c r="B1">
        <v>404</v>
      </c>
      <c r="E1">
        <f>COUNTIF(B:B,301)</f>
        <v>12</v>
      </c>
      <c r="F1">
        <f>COUNTIF(B:B, 404)</f>
        <v>91</v>
      </c>
    </row>
    <row r="2" spans="1:6" x14ac:dyDescent="0.2">
      <c r="A2" t="s">
        <v>1854</v>
      </c>
      <c r="B2">
        <v>404</v>
      </c>
    </row>
    <row r="3" spans="1:6" x14ac:dyDescent="0.2">
      <c r="A3" t="s">
        <v>1856</v>
      </c>
      <c r="B3">
        <v>404</v>
      </c>
    </row>
    <row r="4" spans="1:6" x14ac:dyDescent="0.2">
      <c r="A4" t="s">
        <v>1857</v>
      </c>
      <c r="B4">
        <v>404</v>
      </c>
    </row>
    <row r="5" spans="1:6" x14ac:dyDescent="0.2">
      <c r="A5" t="s">
        <v>1858</v>
      </c>
      <c r="B5">
        <v>404</v>
      </c>
    </row>
    <row r="6" spans="1:6" x14ac:dyDescent="0.2">
      <c r="A6" t="s">
        <v>1860</v>
      </c>
      <c r="B6">
        <v>404</v>
      </c>
    </row>
    <row r="7" spans="1:6" x14ac:dyDescent="0.2">
      <c r="A7" t="s">
        <v>1861</v>
      </c>
      <c r="B7">
        <v>404</v>
      </c>
    </row>
    <row r="8" spans="1:6" x14ac:dyDescent="0.2">
      <c r="A8" t="s">
        <v>1862</v>
      </c>
      <c r="B8">
        <v>404</v>
      </c>
    </row>
    <row r="9" spans="1:6" x14ac:dyDescent="0.2">
      <c r="A9" t="s">
        <v>1863</v>
      </c>
      <c r="B9">
        <v>404</v>
      </c>
    </row>
    <row r="10" spans="1:6" x14ac:dyDescent="0.2">
      <c r="A10" t="s">
        <v>1864</v>
      </c>
      <c r="B10">
        <v>404</v>
      </c>
    </row>
    <row r="11" spans="1:6" x14ac:dyDescent="0.2">
      <c r="A11" t="s">
        <v>1865</v>
      </c>
      <c r="B11">
        <v>404</v>
      </c>
    </row>
    <row r="12" spans="1:6" x14ac:dyDescent="0.2">
      <c r="A12" t="s">
        <v>1866</v>
      </c>
      <c r="B12">
        <v>404</v>
      </c>
    </row>
    <row r="13" spans="1:6" x14ac:dyDescent="0.2">
      <c r="A13" t="s">
        <v>1867</v>
      </c>
      <c r="B13">
        <v>404</v>
      </c>
    </row>
    <row r="14" spans="1:6" x14ac:dyDescent="0.2">
      <c r="A14" t="s">
        <v>1869</v>
      </c>
      <c r="B14">
        <v>404</v>
      </c>
    </row>
    <row r="15" spans="1:6" x14ac:dyDescent="0.2">
      <c r="A15" t="s">
        <v>1870</v>
      </c>
      <c r="B15">
        <v>404</v>
      </c>
    </row>
    <row r="16" spans="1:6" x14ac:dyDescent="0.2">
      <c r="A16" t="s">
        <v>1875</v>
      </c>
      <c r="B16">
        <v>404</v>
      </c>
    </row>
    <row r="17" spans="1:2" x14ac:dyDescent="0.2">
      <c r="A17" t="s">
        <v>1877</v>
      </c>
      <c r="B17">
        <v>404</v>
      </c>
    </row>
    <row r="18" spans="1:2" x14ac:dyDescent="0.2">
      <c r="A18" t="s">
        <v>1878</v>
      </c>
      <c r="B18">
        <v>404</v>
      </c>
    </row>
    <row r="19" spans="1:2" x14ac:dyDescent="0.2">
      <c r="A19" t="s">
        <v>1879</v>
      </c>
      <c r="B19">
        <v>404</v>
      </c>
    </row>
    <row r="20" spans="1:2" x14ac:dyDescent="0.2">
      <c r="A20" t="s">
        <v>1880</v>
      </c>
      <c r="B20">
        <v>404</v>
      </c>
    </row>
    <row r="21" spans="1:2" x14ac:dyDescent="0.2">
      <c r="A21" t="s">
        <v>1881</v>
      </c>
      <c r="B21">
        <v>404</v>
      </c>
    </row>
    <row r="22" spans="1:2" x14ac:dyDescent="0.2">
      <c r="A22" t="s">
        <v>1882</v>
      </c>
      <c r="B22">
        <v>404</v>
      </c>
    </row>
    <row r="23" spans="1:2" x14ac:dyDescent="0.2">
      <c r="A23" t="s">
        <v>1884</v>
      </c>
      <c r="B23">
        <v>404</v>
      </c>
    </row>
    <row r="24" spans="1:2" x14ac:dyDescent="0.2">
      <c r="A24" t="s">
        <v>1885</v>
      </c>
      <c r="B24">
        <v>404</v>
      </c>
    </row>
    <row r="25" spans="1:2" x14ac:dyDescent="0.2">
      <c r="A25" t="s">
        <v>1886</v>
      </c>
      <c r="B25">
        <v>404</v>
      </c>
    </row>
    <row r="26" spans="1:2" x14ac:dyDescent="0.2">
      <c r="A26" t="s">
        <v>1887</v>
      </c>
      <c r="B26">
        <v>404</v>
      </c>
    </row>
    <row r="27" spans="1:2" x14ac:dyDescent="0.2">
      <c r="A27" t="s">
        <v>1888</v>
      </c>
      <c r="B27">
        <v>404</v>
      </c>
    </row>
    <row r="28" spans="1:2" x14ac:dyDescent="0.2">
      <c r="A28" t="s">
        <v>1889</v>
      </c>
      <c r="B28">
        <v>404</v>
      </c>
    </row>
    <row r="29" spans="1:2" x14ac:dyDescent="0.2">
      <c r="A29" t="s">
        <v>1890</v>
      </c>
      <c r="B29">
        <v>404</v>
      </c>
    </row>
    <row r="30" spans="1:2" x14ac:dyDescent="0.2">
      <c r="A30" t="s">
        <v>1891</v>
      </c>
      <c r="B30">
        <v>404</v>
      </c>
    </row>
    <row r="31" spans="1:2" x14ac:dyDescent="0.2">
      <c r="A31" t="s">
        <v>1892</v>
      </c>
      <c r="B31">
        <v>404</v>
      </c>
    </row>
    <row r="32" spans="1:2" x14ac:dyDescent="0.2">
      <c r="A32" t="s">
        <v>1893</v>
      </c>
      <c r="B32">
        <v>404</v>
      </c>
    </row>
    <row r="33" spans="1:2" x14ac:dyDescent="0.2">
      <c r="A33" t="s">
        <v>1895</v>
      </c>
      <c r="B33">
        <v>404</v>
      </c>
    </row>
    <row r="34" spans="1:2" x14ac:dyDescent="0.2">
      <c r="A34" t="s">
        <v>1897</v>
      </c>
      <c r="B34">
        <v>404</v>
      </c>
    </row>
    <row r="35" spans="1:2" x14ac:dyDescent="0.2">
      <c r="A35" t="s">
        <v>1898</v>
      </c>
      <c r="B35">
        <v>404</v>
      </c>
    </row>
    <row r="36" spans="1:2" x14ac:dyDescent="0.2">
      <c r="A36" t="s">
        <v>9179</v>
      </c>
      <c r="B36">
        <v>404</v>
      </c>
    </row>
    <row r="37" spans="1:2" x14ac:dyDescent="0.2">
      <c r="A37" t="s">
        <v>1899</v>
      </c>
      <c r="B37">
        <v>404</v>
      </c>
    </row>
    <row r="38" spans="1:2" x14ac:dyDescent="0.2">
      <c r="A38" t="s">
        <v>1903</v>
      </c>
      <c r="B38">
        <v>404</v>
      </c>
    </row>
    <row r="39" spans="1:2" x14ac:dyDescent="0.2">
      <c r="A39" t="s">
        <v>1904</v>
      </c>
      <c r="B39">
        <v>404</v>
      </c>
    </row>
    <row r="40" spans="1:2" x14ac:dyDescent="0.2">
      <c r="A40" t="s">
        <v>1906</v>
      </c>
      <c r="B40">
        <v>404</v>
      </c>
    </row>
    <row r="41" spans="1:2" x14ac:dyDescent="0.2">
      <c r="A41" t="s">
        <v>1907</v>
      </c>
      <c r="B41">
        <v>404</v>
      </c>
    </row>
    <row r="42" spans="1:2" x14ac:dyDescent="0.2">
      <c r="A42" t="s">
        <v>1908</v>
      </c>
      <c r="B42">
        <v>404</v>
      </c>
    </row>
    <row r="43" spans="1:2" x14ac:dyDescent="0.2">
      <c r="A43" t="s">
        <v>1909</v>
      </c>
      <c r="B43">
        <v>404</v>
      </c>
    </row>
    <row r="44" spans="1:2" x14ac:dyDescent="0.2">
      <c r="A44" t="s">
        <v>1910</v>
      </c>
      <c r="B44">
        <v>404</v>
      </c>
    </row>
    <row r="45" spans="1:2" x14ac:dyDescent="0.2">
      <c r="A45" t="s">
        <v>1911</v>
      </c>
      <c r="B45">
        <v>404</v>
      </c>
    </row>
    <row r="46" spans="1:2" x14ac:dyDescent="0.2">
      <c r="A46" t="s">
        <v>1912</v>
      </c>
      <c r="B46">
        <v>404</v>
      </c>
    </row>
    <row r="47" spans="1:2" x14ac:dyDescent="0.2">
      <c r="A47" t="s">
        <v>1913</v>
      </c>
      <c r="B47">
        <v>404</v>
      </c>
    </row>
    <row r="48" spans="1:2" x14ac:dyDescent="0.2">
      <c r="A48" t="s">
        <v>1915</v>
      </c>
      <c r="B48">
        <v>404</v>
      </c>
    </row>
    <row r="49" spans="1:2" x14ac:dyDescent="0.2">
      <c r="A49" t="s">
        <v>1918</v>
      </c>
      <c r="B49">
        <v>404</v>
      </c>
    </row>
    <row r="50" spans="1:2" x14ac:dyDescent="0.2">
      <c r="A50" t="s">
        <v>1919</v>
      </c>
      <c r="B50">
        <v>404</v>
      </c>
    </row>
    <row r="51" spans="1:2" x14ac:dyDescent="0.2">
      <c r="A51" t="s">
        <v>1921</v>
      </c>
      <c r="B51">
        <v>404</v>
      </c>
    </row>
    <row r="52" spans="1:2" x14ac:dyDescent="0.2">
      <c r="A52" t="s">
        <v>1923</v>
      </c>
    </row>
    <row r="53" spans="1:2" x14ac:dyDescent="0.2">
      <c r="A53" t="s">
        <v>1925</v>
      </c>
      <c r="B53">
        <v>404</v>
      </c>
    </row>
    <row r="54" spans="1:2" x14ac:dyDescent="0.2">
      <c r="A54" t="s">
        <v>1926</v>
      </c>
      <c r="B54">
        <v>404</v>
      </c>
    </row>
    <row r="55" spans="1:2" x14ac:dyDescent="0.2">
      <c r="A55" t="s">
        <v>1927</v>
      </c>
      <c r="B55">
        <v>404</v>
      </c>
    </row>
    <row r="56" spans="1:2" x14ac:dyDescent="0.2">
      <c r="A56" t="s">
        <v>1928</v>
      </c>
      <c r="B56">
        <v>404</v>
      </c>
    </row>
    <row r="57" spans="1:2" x14ac:dyDescent="0.2">
      <c r="A57" t="s">
        <v>1929</v>
      </c>
      <c r="B57">
        <v>404</v>
      </c>
    </row>
    <row r="58" spans="1:2" x14ac:dyDescent="0.2">
      <c r="A58" t="s">
        <v>1930</v>
      </c>
      <c r="B58">
        <v>404</v>
      </c>
    </row>
    <row r="59" spans="1:2" x14ac:dyDescent="0.2">
      <c r="A59" t="s">
        <v>1931</v>
      </c>
      <c r="B59">
        <v>404</v>
      </c>
    </row>
    <row r="60" spans="1:2" x14ac:dyDescent="0.2">
      <c r="A60" t="s">
        <v>1933</v>
      </c>
      <c r="B60">
        <v>404</v>
      </c>
    </row>
    <row r="61" spans="1:2" x14ac:dyDescent="0.2">
      <c r="A61" t="s">
        <v>1934</v>
      </c>
      <c r="B61">
        <v>404</v>
      </c>
    </row>
    <row r="62" spans="1:2" x14ac:dyDescent="0.2">
      <c r="A62" t="s">
        <v>1935</v>
      </c>
      <c r="B62">
        <v>404</v>
      </c>
    </row>
    <row r="63" spans="1:2" x14ac:dyDescent="0.2">
      <c r="A63" t="s">
        <v>1937</v>
      </c>
      <c r="B63">
        <v>404</v>
      </c>
    </row>
    <row r="64" spans="1:2" x14ac:dyDescent="0.2">
      <c r="A64" t="s">
        <v>1938</v>
      </c>
      <c r="B64">
        <v>404</v>
      </c>
    </row>
    <row r="65" spans="1:2" x14ac:dyDescent="0.2">
      <c r="A65" t="s">
        <v>1939</v>
      </c>
      <c r="B65">
        <v>404</v>
      </c>
    </row>
    <row r="66" spans="1:2" x14ac:dyDescent="0.2">
      <c r="A66" t="s">
        <v>1940</v>
      </c>
      <c r="B66">
        <v>404</v>
      </c>
    </row>
    <row r="67" spans="1:2" x14ac:dyDescent="0.2">
      <c r="A67" t="s">
        <v>1941</v>
      </c>
      <c r="B67">
        <v>404</v>
      </c>
    </row>
    <row r="68" spans="1:2" x14ac:dyDescent="0.2">
      <c r="A68" t="s">
        <v>1945</v>
      </c>
      <c r="B68">
        <v>404</v>
      </c>
    </row>
    <row r="69" spans="1:2" x14ac:dyDescent="0.2">
      <c r="A69" t="s">
        <v>1946</v>
      </c>
      <c r="B69">
        <v>404</v>
      </c>
    </row>
    <row r="71" spans="1:2" x14ac:dyDescent="0.2">
      <c r="A71" s="7"/>
    </row>
    <row r="72" spans="1:2" x14ac:dyDescent="0.2">
      <c r="A72" t="s">
        <v>1924</v>
      </c>
      <c r="B72">
        <v>301</v>
      </c>
    </row>
    <row r="73" spans="1:2" x14ac:dyDescent="0.2">
      <c r="A73" t="s">
        <v>1925</v>
      </c>
      <c r="B73">
        <v>404</v>
      </c>
    </row>
    <row r="74" spans="1:2" x14ac:dyDescent="0.2">
      <c r="A74" t="s">
        <v>1926</v>
      </c>
      <c r="B74">
        <v>404</v>
      </c>
    </row>
    <row r="75" spans="1:2" x14ac:dyDescent="0.2">
      <c r="A75" t="s">
        <v>1927</v>
      </c>
      <c r="B75">
        <v>404</v>
      </c>
    </row>
    <row r="76" spans="1:2" x14ac:dyDescent="0.2">
      <c r="A76" t="s">
        <v>1928</v>
      </c>
      <c r="B76">
        <v>404</v>
      </c>
    </row>
    <row r="77" spans="1:2" x14ac:dyDescent="0.2">
      <c r="A77" t="s">
        <v>1929</v>
      </c>
      <c r="B77">
        <v>404</v>
      </c>
    </row>
    <row r="78" spans="1:2" x14ac:dyDescent="0.2">
      <c r="A78" t="s">
        <v>1930</v>
      </c>
      <c r="B78">
        <v>404</v>
      </c>
    </row>
    <row r="79" spans="1:2" x14ac:dyDescent="0.2">
      <c r="A79" t="s">
        <v>1931</v>
      </c>
      <c r="B79">
        <v>404</v>
      </c>
    </row>
    <row r="80" spans="1:2" x14ac:dyDescent="0.2">
      <c r="A80" t="s">
        <v>1932</v>
      </c>
      <c r="B80">
        <v>301</v>
      </c>
    </row>
    <row r="81" spans="1:2" x14ac:dyDescent="0.2">
      <c r="A81" t="s">
        <v>1933</v>
      </c>
      <c r="B81">
        <v>404</v>
      </c>
    </row>
    <row r="82" spans="1:2" x14ac:dyDescent="0.2">
      <c r="A82" t="s">
        <v>1934</v>
      </c>
      <c r="B82">
        <v>404</v>
      </c>
    </row>
    <row r="83" spans="1:2" x14ac:dyDescent="0.2">
      <c r="A83" t="s">
        <v>1935</v>
      </c>
      <c r="B83">
        <v>404</v>
      </c>
    </row>
    <row r="84" spans="1:2" x14ac:dyDescent="0.2">
      <c r="A84" t="s">
        <v>1936</v>
      </c>
      <c r="B84">
        <v>301</v>
      </c>
    </row>
    <row r="85" spans="1:2" x14ac:dyDescent="0.2">
      <c r="A85" t="s">
        <v>1937</v>
      </c>
      <c r="B85">
        <v>404</v>
      </c>
    </row>
    <row r="86" spans="1:2" x14ac:dyDescent="0.2">
      <c r="A86" t="s">
        <v>1938</v>
      </c>
      <c r="B86">
        <v>404</v>
      </c>
    </row>
    <row r="87" spans="1:2" x14ac:dyDescent="0.2">
      <c r="A87" t="s">
        <v>1939</v>
      </c>
      <c r="B87">
        <v>404</v>
      </c>
    </row>
    <row r="88" spans="1:2" x14ac:dyDescent="0.2">
      <c r="A88" t="s">
        <v>1940</v>
      </c>
      <c r="B88">
        <v>404</v>
      </c>
    </row>
    <row r="89" spans="1:2" x14ac:dyDescent="0.2">
      <c r="A89" t="s">
        <v>1941</v>
      </c>
      <c r="B89">
        <v>404</v>
      </c>
    </row>
    <row r="90" spans="1:2" x14ac:dyDescent="0.2">
      <c r="A90" t="s">
        <v>1942</v>
      </c>
      <c r="B90">
        <v>301</v>
      </c>
    </row>
    <row r="91" spans="1:2" x14ac:dyDescent="0.2">
      <c r="A91" t="s">
        <v>1943</v>
      </c>
      <c r="B91">
        <v>301</v>
      </c>
    </row>
    <row r="92" spans="1:2" x14ac:dyDescent="0.2">
      <c r="A92" t="s">
        <v>1944</v>
      </c>
      <c r="B92">
        <v>301</v>
      </c>
    </row>
    <row r="93" spans="1:2" x14ac:dyDescent="0.2">
      <c r="A93" t="s">
        <v>1945</v>
      </c>
      <c r="B93">
        <v>404</v>
      </c>
    </row>
    <row r="94" spans="1:2" x14ac:dyDescent="0.2">
      <c r="A94" t="s">
        <v>1946</v>
      </c>
      <c r="B94">
        <v>404</v>
      </c>
    </row>
    <row r="95" spans="1:2" x14ac:dyDescent="0.2">
      <c r="A95" t="s">
        <v>1947</v>
      </c>
      <c r="B95">
        <v>301</v>
      </c>
    </row>
    <row r="96" spans="1:2" x14ac:dyDescent="0.2">
      <c r="A96" t="s">
        <v>1948</v>
      </c>
      <c r="B96">
        <v>301</v>
      </c>
    </row>
    <row r="97" spans="1:2" x14ac:dyDescent="0.2">
      <c r="A97" t="s">
        <v>1949</v>
      </c>
      <c r="B97">
        <v>301</v>
      </c>
    </row>
    <row r="98" spans="1:2" x14ac:dyDescent="0.2">
      <c r="A98" t="s">
        <v>1950</v>
      </c>
      <c r="B98">
        <v>404</v>
      </c>
    </row>
    <row r="99" spans="1:2" x14ac:dyDescent="0.2">
      <c r="A99" t="s">
        <v>1951</v>
      </c>
      <c r="B99">
        <v>404</v>
      </c>
    </row>
    <row r="100" spans="1:2" x14ac:dyDescent="0.2">
      <c r="A100" t="s">
        <v>1952</v>
      </c>
      <c r="B100">
        <v>404</v>
      </c>
    </row>
    <row r="101" spans="1:2" x14ac:dyDescent="0.2">
      <c r="A101" t="s">
        <v>1953</v>
      </c>
      <c r="B101">
        <v>404</v>
      </c>
    </row>
    <row r="102" spans="1:2" x14ac:dyDescent="0.2">
      <c r="A102" t="s">
        <v>1954</v>
      </c>
      <c r="B102">
        <v>404</v>
      </c>
    </row>
    <row r="103" spans="1:2" x14ac:dyDescent="0.2">
      <c r="A103" t="s">
        <v>1955</v>
      </c>
      <c r="B103">
        <v>301</v>
      </c>
    </row>
    <row r="104" spans="1:2" x14ac:dyDescent="0.2">
      <c r="A104" t="s">
        <v>1956</v>
      </c>
      <c r="B104">
        <v>404</v>
      </c>
    </row>
    <row r="105" spans="1:2" x14ac:dyDescent="0.2">
      <c r="A105" t="s">
        <v>1957</v>
      </c>
      <c r="B105">
        <v>301</v>
      </c>
    </row>
    <row r="106" spans="1:2" x14ac:dyDescent="0.2">
      <c r="A106" t="s">
        <v>1958</v>
      </c>
      <c r="B106">
        <v>301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full_exp_sheet</vt:lpstr>
      <vt:lpstr>main_exp_sheet</vt:lpstr>
      <vt:lpstr>numbers</vt:lpstr>
      <vt:lpstr>Numbers 2</vt:lpstr>
      <vt:lpstr>Sheet1</vt:lpstr>
      <vt:lpstr>Data Tinder</vt:lpstr>
      <vt:lpstr>Timing</vt:lpstr>
      <vt:lpstr>Error Message Sideproject</vt:lpstr>
      <vt:lpstr>Error Message Vibecoding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Anders Freeman</cp:lastModifiedBy>
  <dcterms:created xsi:type="dcterms:W3CDTF">2026-03-17T15:28:03Z</dcterms:created>
  <dcterms:modified xsi:type="dcterms:W3CDTF">2026-04-28T17:53:56Z</dcterms:modified>
</cp:coreProperties>
</file>